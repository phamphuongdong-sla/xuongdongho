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ật tư " sheetId="1" r:id="rId5"/>
  </sheets>
  <definedNames/>
  <calcPr/>
</workbook>
</file>

<file path=xl/sharedStrings.xml><?xml version="1.0" encoding="utf-8"?>
<sst xmlns="http://schemas.openxmlformats.org/spreadsheetml/2006/main" count="117" uniqueCount="58">
  <si>
    <t>TỔNG HỢP VẬT TƯ SỬA CHỮA NĂM 2026</t>
  </si>
  <si>
    <t>STT</t>
  </si>
  <si>
    <t>Tên vật tư</t>
  </si>
  <si>
    <t>Thành tiền</t>
  </si>
  <si>
    <t>ĐVT</t>
  </si>
  <si>
    <t>Tồn đầu kỳ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</si>
  <si>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</si>
  <si>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</si>
  <si>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</si>
  <si>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</si>
  <si>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</si>
  <si>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</si>
  <si>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</si>
  <si>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</si>
  <si>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</si>
  <si>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</si>
  <si>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</si>
  <si>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</si>
  <si>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Cuối kỳ</t>
  </si>
  <si>
    <t>Nhập VT</t>
  </si>
  <si>
    <t>Sử dụng</t>
  </si>
  <si>
    <t>Tên kho : 02-Kho Văn phòng Công ty (20 )</t>
  </si>
  <si>
    <t>Nắp đồng hồ D15</t>
  </si>
  <si>
    <t>Cái</t>
  </si>
  <si>
    <t>Chụp xoay đồng hồ D15</t>
  </si>
  <si>
    <t>Gioăng sắt</t>
  </si>
  <si>
    <t>Mặt số đồng hồ D15</t>
  </si>
  <si>
    <t xml:space="preserve"> Nắp chặn buồng đo D15</t>
  </si>
  <si>
    <t>Cánh quạt đồng hồ D15</t>
  </si>
  <si>
    <t>Buồng đo đồng hồ D15</t>
  </si>
  <si>
    <t>Bộ phận chỉnh bù lưu lượng
đồng hồ D15 (vít tinh chỉnh)</t>
  </si>
  <si>
    <t>Gioăng nắp chặn buồng đo
đồng hồ D15 (số 9)</t>
  </si>
  <si>
    <t>Gioăng ốc chặn nút chỉnh
 đồng hồ D15 (số 14)</t>
  </si>
  <si>
    <t>Vành chống từ đồng hồ D15</t>
  </si>
  <si>
    <t>Gioăng cao su chặn buồng đo
D15 (gioăng số 12)</t>
  </si>
  <si>
    <t>Ốc chặn MTM bộ phận 
chỉnh bù lưu lượng D15</t>
  </si>
  <si>
    <t>Nắp đồng hồ to</t>
  </si>
  <si>
    <t>Chụp xoay đồng hồ to</t>
  </si>
  <si>
    <t>Mặt số D25-32</t>
  </si>
  <si>
    <t>Mặt số D40-50</t>
  </si>
  <si>
    <t>Cánh quạt D25,32</t>
  </si>
  <si>
    <t>Cánh quạt D40,50</t>
  </si>
  <si>
    <t>Buồng đo D25,32</t>
  </si>
  <si>
    <t>Buồng đo D40,50</t>
  </si>
  <si>
    <t>Chụp buồng đo D40,50</t>
  </si>
  <si>
    <t>Nắp chặn trên D40,50,25,32</t>
  </si>
  <si>
    <t>Vòng chặn D25,32</t>
  </si>
  <si>
    <t>Vành chống từ</t>
  </si>
  <si>
    <t>gioăng số 7 D40,50,25,32</t>
  </si>
  <si>
    <t>gioăng số 9 D40 nhỏ</t>
  </si>
  <si>
    <t>gioăng số 12 D40</t>
  </si>
  <si>
    <t>gioăng số 9 D40 to</t>
  </si>
  <si>
    <t>gioăng số 11 D25</t>
  </si>
  <si>
    <t>Vít tinh chỉnh D25,32</t>
  </si>
  <si>
    <t>Vít tinh chỉnh D40,50</t>
  </si>
  <si>
    <t>Lưới lọc 25,32</t>
  </si>
  <si>
    <t>Lưới lọc 40,50</t>
  </si>
  <si>
    <t>Vành Dưới Buồng đo D40-D50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</si>
</sst>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b/>
      <sz val="14.0"/>
      <color rgb="FF000000"/>
      <name val="Times New Roman"/>
    </font>
    <font>
      <sz val="11.0"/>
      <color theme="1"/>
      <name val="Calibri"/>
    </font>
    <font>
      <b/>
      <sz val="11.0"/>
      <color rgb="FF000000"/>
      <name val="Times New Roman"/>
    </font>
    <font>
      <sz val="8.0"/>
      <color rgb="FF000000"/>
      <name val="Helvetica Neue"/>
    </font>
    <font/>
    <font>
      <sz val="8.0"/>
      <color theme="1"/>
      <name val="Helvetica Neue"/>
    </font>
    <font>
      <b/>
      <sz val="8.0"/>
      <color theme="1"/>
      <name val="Helvetica Neue"/>
    </font>
    <font>
      <b/>
      <sz val="10.0"/>
      <color rgb="FF000000"/>
      <name val="Cambria"/>
    </font>
    <font>
      <sz val="8.0"/>
      <color rgb="FF000000"/>
      <name val="Times New Roman"/>
    </font>
    <font>
      <sz val="11.0"/>
      <color theme="1"/>
      <name val="Cambria"/>
    </font>
    <font>
      <sz val="9.0"/>
      <color theme="1"/>
      <name val="Calibri"/>
    </font>
    <font>
      <b/>
      <sz val="10.0"/>
      <color rgb="FFCC4125"/>
      <name val="Cambria"/>
    </font>
    <font>
      <b/>
      <sz val="10.0"/>
      <color rgb="FF00FF00"/>
      <name val="Cambria"/>
    </font>
    <font>
      <b/>
      <sz val="10.0"/>
      <color rgb="FF0000FF"/>
      <name val="Cambria"/>
    </font>
    <font>
      <b/>
      <sz val="12.0"/>
      <color rgb="FF0000FF"/>
      <name val="Cambria"/>
    </font>
    <font>
      <b/>
      <sz val="10.0"/>
      <color rgb="FF0000FF"/>
      <name val="Helvetica Neue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ADC7E7"/>
        <bgColor rgb="FFADC7E7"/>
      </patternFill>
    </fill>
    <fill>
      <patternFill patternType="solid">
        <fgColor rgb="FFFDE9D9"/>
        <bgColor rgb="FFFDE9D9"/>
      </patternFill>
    </fill>
    <fill>
      <patternFill patternType="solid">
        <fgColor rgb="FFF0F0F0"/>
        <bgColor rgb="FFF0F0F0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D7D7D7"/>
        <bgColor rgb="FFD7D7D7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21">
    <border/>
    <border>
      <left style="thin">
        <color rgb="FF7DA2CE"/>
      </left>
      <right style="thin">
        <color rgb="FF7DA2CE"/>
      </right>
      <top style="thin">
        <color rgb="FF7DA2CE"/>
      </top>
    </border>
    <border>
      <left style="thin">
        <color rgb="FF7DA2CE"/>
      </left>
      <right/>
      <top style="thin">
        <color rgb="FF7DA2CE"/>
      </top>
    </border>
    <border>
      <left/>
      <right style="thin">
        <color rgb="FF7DA2CE"/>
      </right>
      <top style="thin">
        <color rgb="FF7DA2CE"/>
      </top>
    </border>
    <border>
      <left style="thin">
        <color rgb="FF7DA2CE"/>
      </left>
      <top style="thin">
        <color rgb="FF7DA2CE"/>
      </top>
      <bottom style="thin">
        <color rgb="FF7DA2CE"/>
      </bottom>
    </border>
    <border>
      <right/>
      <top style="thin">
        <color rgb="FF7DA2CE"/>
      </top>
      <bottom style="thin">
        <color rgb="FF7DA2CE"/>
      </bottom>
    </border>
    <border>
      <top style="thin">
        <color rgb="FF7DA2CE"/>
      </top>
      <bottom style="thin">
        <color rgb="FF7DA2CE"/>
      </bottom>
    </border>
    <border>
      <left style="thin">
        <color rgb="FF7DA2CE"/>
      </left>
      <right style="thin">
        <color rgb="FF7DA2CE"/>
      </right>
      <bottom style="thin">
        <color rgb="FF7DA2CE"/>
      </bottom>
    </border>
    <border>
      <left style="thin">
        <color rgb="FF7DA2CE"/>
      </left>
      <right/>
      <bottom style="thin">
        <color rgb="FF7DA2CE"/>
      </bottom>
    </border>
    <border>
      <left/>
      <right style="thin">
        <color rgb="FF7DA2CE"/>
      </right>
    </border>
    <border>
      <left style="thin">
        <color rgb="FF7DA2CE"/>
      </left>
      <right style="thin">
        <color rgb="FF7DA2CE"/>
      </right>
      <top style="thin">
        <color rgb="FF7DA2CE"/>
      </top>
      <bottom style="thin">
        <color rgb="FF7DA2CE"/>
      </bottom>
    </border>
    <border>
      <left/>
      <right style="thin">
        <color rgb="FF7DA2CE"/>
      </right>
      <bottom/>
    </border>
    <border>
      <left style="thin">
        <color rgb="FF7DA2CE"/>
      </left>
      <right style="thin">
        <color rgb="FF7DA2CE"/>
      </right>
      <bottom style="thin">
        <color rgb="FFC0C0C0"/>
      </bottom>
    </border>
    <border>
      <left/>
      <right/>
      <top/>
      <bottom/>
    </border>
    <border>
      <left/>
      <right/>
      <top/>
      <bottom style="thin">
        <color rgb="FFC0C0C0"/>
      </bottom>
    </border>
    <border>
      <left/>
      <right/>
      <top/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right style="thin">
        <color rgb="FFC0C0C0"/>
      </right>
      <bottom style="thin">
        <color rgb="FF7DA2CE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" fillId="3" fontId="4" numFmtId="40" xfId="0" applyAlignment="1" applyBorder="1" applyFill="1" applyFont="1" applyNumberFormat="1">
      <alignment horizontal="center" shrinkToFit="0" vertical="center" wrapText="1"/>
    </xf>
    <xf borderId="1" fillId="3" fontId="6" numFmtId="40" xfId="0" applyAlignment="1" applyBorder="1" applyFill="1" applyFont="1" applyNumberFormat="1">
      <alignment horizontal="center" vertical="center"/>
    </xf>
    <xf borderId="10" fillId="4" fontId="7" numFmtId="0" xfId="0" applyAlignment="1" applyBorder="1" applyFill="1" applyFont="1">
      <alignment horizontal="left" vertical="center"/>
    </xf>
    <xf borderId="11" fillId="0" fontId="5" numFmtId="0" xfId="0" applyBorder="1" applyFont="1"/>
    <xf borderId="12" fillId="0" fontId="5" numFmtId="0" xfId="0" applyBorder="1" applyFont="1"/>
    <xf borderId="13" fillId="4" fontId="7" numFmtId="0" xfId="0" applyAlignment="1" applyBorder="1" applyFill="1" applyFont="1">
      <alignment horizontal="left" vertical="center"/>
    </xf>
    <xf borderId="13" fillId="2" fontId="4" numFmtId="0" xfId="0" applyAlignment="1" applyBorder="1" applyFill="1" applyFont="1">
      <alignment horizontal="center" shrinkToFit="0" vertical="center" wrapText="1"/>
    </xf>
    <xf borderId="14" fillId="3" fontId="4" numFmtId="40" xfId="0" applyAlignment="1" applyBorder="1" applyFill="1" applyFont="1" applyNumberFormat="1">
      <alignment horizontal="center" shrinkToFit="0" vertical="center" wrapText="1"/>
    </xf>
    <xf borderId="15" fillId="3" fontId="4" numFmtId="40" xfId="0" applyAlignment="1" applyBorder="1" applyFill="1" applyFont="1" applyNumberFormat="1">
      <alignment horizontal="center" shrinkToFit="0" vertical="center" wrapText="1"/>
    </xf>
    <xf borderId="14" fillId="3" fontId="6" numFmtId="40" xfId="0" applyAlignment="1" applyBorder="1" applyFill="1" applyFont="1" applyNumberFormat="1">
      <alignment horizontal="center" shrinkToFit="0" vertical="center" wrapText="1"/>
    </xf>
    <xf borderId="16" fillId="0" fontId="6" numFmtId="0" xfId="0" applyAlignment="1" applyBorder="1" applyFont="1">
      <alignment horizontal="left" vertical="center"/>
    </xf>
    <xf borderId="17" fillId="0" fontId="8" numFmtId="0" xfId="0" applyAlignment="1" applyBorder="1" applyFont="1">
      <alignment horizontal="left" vertical="center"/>
    </xf>
    <xf borderId="17" fillId="0" fontId="6" numFmtId="3" xfId="0" applyAlignment="1" applyBorder="1" applyFont="1" applyNumberFormat="1">
      <alignment horizontal="right" shrinkToFit="0" wrapText="1"/>
    </xf>
    <xf borderId="17" fillId="0" fontId="6" numFmtId="0" xfId="0" applyAlignment="1" applyBorder="1" applyFont="1">
      <alignment horizontal="left" vertical="center"/>
    </xf>
    <xf borderId="17" fillId="5" fontId="6" numFmtId="38" xfId="0" applyAlignment="1" applyBorder="1" applyFill="1" applyFont="1" applyNumberFormat="1">
      <alignment horizontal="right" readingOrder="0" vertical="center"/>
    </xf>
    <xf borderId="17" fillId="6" fontId="4" numFmtId="38" xfId="0" applyAlignment="1" applyBorder="1" applyFill="1" applyFont="1" applyNumberFormat="1">
      <alignment horizontal="right" readingOrder="0"/>
    </xf>
    <xf borderId="17" fillId="0" fontId="6" numFmtId="38" xfId="0" applyAlignment="1" applyBorder="1" applyFont="1" applyNumberFormat="1">
      <alignment horizontal="right" readingOrder="0" vertical="center"/>
    </xf>
    <xf borderId="17" fillId="0" fontId="6" numFmtId="38" xfId="0" applyAlignment="1" applyBorder="1" applyFont="1" applyNumberFormat="1">
      <alignment horizontal="right" vertical="center"/>
    </xf>
    <xf borderId="16" fillId="0" fontId="6" numFmtId="38" xfId="0" applyAlignment="1" applyBorder="1" applyFont="1" applyNumberFormat="1">
      <alignment horizontal="right" readingOrder="0" vertical="center"/>
    </xf>
    <xf borderId="0" fillId="0" fontId="6" numFmtId="38" xfId="0" applyAlignment="1" applyFont="1" applyNumberFormat="1">
      <alignment horizontal="right" vertical="center"/>
    </xf>
    <xf borderId="0" fillId="0" fontId="9" numFmtId="38" xfId="0" applyAlignment="1" applyFont="1" applyNumberFormat="1">
      <alignment horizontal="center" readingOrder="0"/>
    </xf>
    <xf borderId="18" fillId="0" fontId="6" numFmtId="38" xfId="0" applyAlignment="1" applyBorder="1" applyFont="1" applyNumberFormat="1">
      <alignment horizontal="right" readingOrder="0" vertical="center"/>
    </xf>
    <xf borderId="17" fillId="5" fontId="6" numFmtId="38" xfId="0" applyAlignment="1" applyBorder="1" applyFill="1" applyFont="1" applyNumberFormat="1">
      <alignment horizontal="right" vertical="center"/>
    </xf>
    <xf borderId="17" fillId="7" fontId="6" numFmtId="38" xfId="0" applyAlignment="1" applyBorder="1" applyFill="1" applyFont="1" applyNumberFormat="1">
      <alignment horizontal="right" vertical="center"/>
    </xf>
    <xf borderId="17" fillId="0" fontId="8" numFmtId="0" xfId="0" applyAlignment="1" applyBorder="1" applyFont="1">
      <alignment horizontal="left"/>
    </xf>
    <xf borderId="19" fillId="0" fontId="10" numFmtId="3" xfId="0" applyAlignment="1" applyBorder="1" applyFont="1" applyNumberFormat="1">
      <alignment horizontal="right"/>
    </xf>
    <xf borderId="19" fillId="0" fontId="4" numFmtId="38" xfId="0" applyAlignment="1" applyBorder="1" applyFont="1" applyNumberFormat="1">
      <alignment horizontal="right" readingOrder="0"/>
    </xf>
    <xf borderId="19" fillId="0" fontId="2" numFmtId="3" xfId="0" applyBorder="1" applyFont="1" applyNumberFormat="1"/>
    <xf borderId="17" fillId="6" fontId="4" numFmtId="38" xfId="0" applyAlignment="1" applyBorder="1" applyFill="1" applyFont="1" applyNumberFormat="1">
      <alignment horizontal="right"/>
    </xf>
    <xf borderId="16" fillId="0" fontId="6" numFmtId="38" xfId="0" applyAlignment="1" applyBorder="1" applyFont="1" applyNumberFormat="1">
      <alignment horizontal="right" vertical="center"/>
    </xf>
    <xf borderId="0" fillId="0" fontId="9" numFmtId="38" xfId="0" applyAlignment="1" applyFont="1" applyNumberFormat="1">
      <alignment horizontal="center"/>
    </xf>
    <xf borderId="18" fillId="0" fontId="6" numFmtId="38" xfId="0" applyAlignment="1" applyBorder="1" applyFont="1" applyNumberFormat="1">
      <alignment horizontal="right" vertical="center"/>
    </xf>
    <xf borderId="19" fillId="0" fontId="6" numFmtId="3" xfId="0" applyAlignment="1" applyBorder="1" applyFont="1" applyNumberFormat="1">
      <alignment horizontal="right" shrinkToFit="0" wrapText="1"/>
    </xf>
    <xf borderId="0" fillId="0" fontId="11" numFmtId="0" xfId="0" applyAlignment="1" applyFont="1">
      <alignment readingOrder="0"/>
    </xf>
    <xf borderId="19" fillId="0" fontId="6" numFmtId="38" xfId="0" applyAlignment="1" applyBorder="1" applyFont="1" applyNumberFormat="1">
      <alignment horizontal="right" vertical="center"/>
    </xf>
    <xf borderId="19" fillId="0" fontId="6" numFmtId="38" xfId="0" applyAlignment="1" applyBorder="1" applyFont="1" applyNumberFormat="1">
      <alignment horizontal="right" readingOrder="0" vertical="center"/>
    </xf>
    <xf borderId="17" fillId="0" fontId="12" numFmtId="0" xfId="0" applyAlignment="1" applyBorder="1" applyFont="1">
      <alignment horizontal="left"/>
    </xf>
    <xf borderId="19" fillId="0" fontId="4" numFmtId="38" xfId="0" applyAlignment="1" applyBorder="1" applyFont="1" applyNumberFormat="1">
      <alignment horizontal="right"/>
    </xf>
    <xf borderId="17" fillId="0" fontId="12" numFmtId="0" xfId="0" applyAlignment="1" applyBorder="1" applyFont="1">
      <alignment horizontal="left" vertical="center"/>
    </xf>
    <xf borderId="17" fillId="0" fontId="13" numFmtId="0" xfId="0" applyAlignment="1" applyBorder="1" applyFont="1">
      <alignment horizontal="left"/>
    </xf>
    <xf borderId="17" fillId="0" fontId="14" numFmtId="0" xfId="0" applyAlignment="1" applyBorder="1" applyFont="1">
      <alignment horizontal="left"/>
    </xf>
    <xf borderId="17" fillId="0" fontId="13" numFmtId="0" xfId="0" applyAlignment="1" applyBorder="1" applyFont="1">
      <alignment horizontal="left" vertical="center"/>
    </xf>
    <xf borderId="17" fillId="0" fontId="15" numFmtId="0" xfId="0" applyAlignment="1" applyBorder="1" applyFont="1">
      <alignment horizontal="left" vertical="center"/>
    </xf>
    <xf borderId="17" fillId="0" fontId="14" numFmtId="0" xfId="0" applyAlignment="1" applyBorder="1" applyFont="1">
      <alignment horizontal="left" vertical="center"/>
    </xf>
    <xf borderId="17" fillId="0" fontId="14" numFmtId="0" xfId="0" applyAlignment="1" applyBorder="1" applyFont="1">
      <alignment horizontal="left" shrinkToFit="0" vertical="center" wrapText="1"/>
    </xf>
    <xf borderId="17" fillId="0" fontId="16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10" fillId="8" fontId="6" numFmtId="0" xfId="0" applyAlignment="1" applyBorder="1" applyFill="1" applyFont="1">
      <alignment horizontal="left" vertical="center"/>
    </xf>
    <xf borderId="17" fillId="9" fontId="6" numFmtId="38" xfId="0" applyAlignment="1" applyBorder="1" applyFill="1" applyFont="1" applyNumberFormat="1">
      <alignment horizontal="right" vertical="center"/>
    </xf>
    <xf borderId="13" fillId="10" fontId="17" numFmtId="38" xfId="0" applyBorder="1" applyFill="1" applyFont="1" applyNumberFormat="1"/>
    <xf borderId="13" fillId="10" fontId="2" numFmtId="38" xfId="0" applyBorder="1" applyFill="1" applyFont="1" applyNumberFormat="1"/>
    <xf borderId="0" fillId="0" fontId="17" numFmtId="4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8DB3E2"/>
          <bgColor rgb="FF8DB3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 outlineLevelRow="1"/>
  <cols>
    <col customWidth="1" min="1" max="1" width="1.43"/>
    <col customWidth="1" min="2" max="2" width="7.14"/>
    <col customWidth="1" min="3" max="3" width="25.71"/>
    <col customWidth="1" min="4" max="4" width="9.86"/>
    <col customWidth="1" min="5" max="5" width="5.29"/>
    <col customWidth="1" min="6" max="6" width="7.86"/>
    <col customWidth="1" min="7" max="33" width="7.0"/>
  </cols>
  <sheetData>
    <row r="1">
      <c r="A1" s="1" t="s">
        <v>0</v>
      </c>
      <c r="X1" s="1"/>
      <c r="Y1" s="1"/>
      <c r="Z1" s="1"/>
      <c r="AF1" s="2"/>
    </row>
    <row r="2">
      <c r="A2" s="3"/>
      <c r="X2" s="3"/>
      <c r="Y2" s="3"/>
      <c r="Z2" s="3"/>
      <c r="AF2" s="2"/>
    </row>
    <row r="3" ht="16.5" customHeight="1">
      <c r="B3" s="4" t="s">
        <v>1</v>
      </c>
      <c r="C3" s="5" t="s">
        <v>2</v>
      </c>
      <c r="D3" s="5" t="s">
        <v>3</v>
      </c>
      <c r="E3" s="4" t="s">
        <v>4</v>
      </c>
      <c r="F3" s="6" t="s">
        <v>5</v>
      </c>
      <c r="G3" s="7" t="s">
        <v>6</v>
      </c>
      <c r="H3" s="8"/>
      <c r="I3" s="7" t="s">
        <v>7</v>
      </c>
      <c r="J3" s="8"/>
      <c r="K3" s="7" t="s">
        <v>8</v>
      </c>
      <c r="L3" s="8"/>
      <c r="M3" s="7" t="s">
        <v>9</v>
      </c>
      <c r="N3" s="8"/>
      <c r="O3" s="7" t="s">
        <v>10</v>
      </c>
      <c r="P3" s="8"/>
      <c r="Q3" s="7" t="s">
        <v>11</v>
      </c>
      <c r="R3" s="8"/>
      <c r="S3" s="7" t="s">
        <v>12</v>
      </c>
      <c r="T3" s="8"/>
      <c r="U3" s="7" t="s">
        <v>13</v>
      </c>
      <c r="V3" s="8"/>
      <c r="W3" s="7" t="s">
        <v>14</v>
      </c>
      <c r="X3" s="8"/>
      <c r="Y3" s="7" t="s">
        <v>15</v>
      </c>
      <c r="Z3" s="8"/>
      <c r="AA3" s="7" t="s">
        <v>16</v>
      </c>
      <c r="AB3" s="8"/>
      <c r="AC3" s="7" t="s">
        <v>17</v>
      </c>
      <c r="AD3" s="8"/>
      <c r="AE3" s="9" t="s">
        <v>18</v>
      </c>
      <c r="AF3" s="10"/>
      <c r="AG3" s="8"/>
    </row>
    <row r="4" ht="21.0" customHeight="1">
      <c r="B4" s="11"/>
      <c r="C4" s="12"/>
      <c r="D4" s="12"/>
      <c r="E4" s="11"/>
      <c r="F4" s="13"/>
      <c r="G4" s="14" t="s">
        <v>19</v>
      </c>
      <c r="H4" s="14" t="s">
        <v>20</v>
      </c>
      <c r="I4" s="14" t="s">
        <v>19</v>
      </c>
      <c r="J4" s="14" t="s">
        <v>20</v>
      </c>
      <c r="K4" s="14" t="s">
        <v>19</v>
      </c>
      <c r="L4" s="14" t="s">
        <v>20</v>
      </c>
      <c r="M4" s="14" t="s">
        <v>19</v>
      </c>
      <c r="N4" s="14" t="s">
        <v>20</v>
      </c>
      <c r="O4" s="14" t="s">
        <v>19</v>
      </c>
      <c r="P4" s="14" t="s">
        <v>20</v>
      </c>
      <c r="Q4" s="14" t="s">
        <v>19</v>
      </c>
      <c r="R4" s="14" t="s">
        <v>20</v>
      </c>
      <c r="S4" s="14" t="s">
        <v>19</v>
      </c>
      <c r="T4" s="14" t="s">
        <v>20</v>
      </c>
      <c r="U4" s="14" t="s">
        <v>19</v>
      </c>
      <c r="V4" s="14" t="s">
        <v>20</v>
      </c>
      <c r="W4" s="14" t="s">
        <v>19</v>
      </c>
      <c r="X4" s="14" t="s">
        <v>20</v>
      </c>
      <c r="Y4" s="14" t="s">
        <v>19</v>
      </c>
      <c r="Z4" s="14" t="s">
        <v>20</v>
      </c>
      <c r="AA4" s="14" t="s">
        <v>19</v>
      </c>
      <c r="AB4" s="14" t="s">
        <v>20</v>
      </c>
      <c r="AC4" s="14" t="s">
        <v>19</v>
      </c>
      <c r="AD4" s="14" t="s">
        <v>20</v>
      </c>
      <c r="AE4" s="14" t="s">
        <v>19</v>
      </c>
      <c r="AF4" s="15" t="s">
        <v>20</v>
      </c>
      <c r="AG4" s="14" t="s">
        <v>18</v>
      </c>
    </row>
    <row r="5">
      <c r="A5" s="16" t="s">
        <v>21</v>
      </c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>
      <c r="A6" s="19"/>
      <c r="F6" s="20"/>
      <c r="G6" s="21"/>
      <c r="H6" s="21"/>
      <c r="I6" s="21"/>
      <c r="J6" s="21"/>
      <c r="K6" s="22"/>
      <c r="L6" s="22"/>
      <c r="M6" s="22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3"/>
      <c r="AG6" s="21"/>
    </row>
    <row r="7" outlineLevel="1">
      <c r="B7" s="24">
        <v>1.0</v>
      </c>
      <c r="C7" s="25" t="s">
        <v>22</v>
      </c>
      <c r="D7" s="26">
        <v>14300.0</v>
      </c>
      <c r="E7" s="27" t="s">
        <v>23</v>
      </c>
      <c r="F7" s="28">
        <v>0.0</v>
      </c>
      <c r="G7" s="29">
        <v>4500.0</v>
      </c>
      <c r="H7" s="30">
        <v>1380.0</v>
      </c>
      <c r="I7" s="31"/>
      <c r="J7" s="32">
        <v>1380.0</v>
      </c>
      <c r="K7" s="33"/>
      <c r="L7" s="34">
        <v>920.0</v>
      </c>
      <c r="M7" s="33"/>
      <c r="N7" s="35">
        <v>710.0</v>
      </c>
      <c r="O7" s="30">
        <v>1000.0</v>
      </c>
      <c r="P7" s="30">
        <v>700.0</v>
      </c>
      <c r="Q7" s="30">
        <v>2000.0</v>
      </c>
      <c r="R7" s="30">
        <v>700.0</v>
      </c>
      <c r="S7" s="30">
        <v>1500.0</v>
      </c>
      <c r="T7" s="30">
        <v>300.0</v>
      </c>
      <c r="U7" s="31"/>
      <c r="V7" s="30">
        <v>400.0</v>
      </c>
      <c r="W7" s="31"/>
      <c r="X7" s="30"/>
      <c r="Y7" s="31"/>
      <c r="Z7" s="30"/>
      <c r="AA7" s="31"/>
      <c r="AB7" s="30"/>
      <c r="AC7" s="31"/>
      <c r="AD7" s="30"/>
      <c r="AE7" s="36">
        <f t="shared" ref="AE7:AE30" si="1">SUM(G7,I7,K7,M7,O7,Q7,S7,U7,W7,Y7,AA7,AC7)</f>
        <v>9000</v>
      </c>
      <c r="AF7" s="36">
        <f t="shared" ref="AF7:AF41" si="2">H7+J7+L7+N7+P7+R7+T7+V7+X7+Z7+AB7+AD7</f>
        <v>6490</v>
      </c>
      <c r="AG7" s="37">
        <f t="shared" ref="AG7:AG41" si="3">(F7+AE7)-AF7</f>
        <v>2510</v>
      </c>
    </row>
    <row r="8" outlineLevel="1">
      <c r="B8" s="24">
        <v>2.0</v>
      </c>
      <c r="C8" s="38" t="s">
        <v>24</v>
      </c>
      <c r="D8" s="39">
        <v>22750.0</v>
      </c>
      <c r="E8" s="27" t="s">
        <v>23</v>
      </c>
      <c r="F8" s="28">
        <v>138.0</v>
      </c>
      <c r="G8" s="40">
        <v>4500.0</v>
      </c>
      <c r="H8" s="30">
        <v>1380.0</v>
      </c>
      <c r="I8" s="31"/>
      <c r="J8" s="32">
        <v>1380.0</v>
      </c>
      <c r="K8" s="33"/>
      <c r="L8" s="34">
        <v>920.0</v>
      </c>
      <c r="M8" s="33"/>
      <c r="N8" s="35">
        <v>710.0</v>
      </c>
      <c r="O8" s="30">
        <v>1000.0</v>
      </c>
      <c r="P8" s="30">
        <v>700.0</v>
      </c>
      <c r="Q8" s="31"/>
      <c r="R8" s="30">
        <v>700.0</v>
      </c>
      <c r="S8" s="30">
        <v>3500.0</v>
      </c>
      <c r="T8" s="30">
        <v>300.0</v>
      </c>
      <c r="U8" s="31"/>
      <c r="V8" s="30">
        <v>400.0</v>
      </c>
      <c r="W8" s="31"/>
      <c r="X8" s="31"/>
      <c r="Y8" s="31"/>
      <c r="Z8" s="31"/>
      <c r="AA8" s="31"/>
      <c r="AB8" s="31"/>
      <c r="AC8" s="31"/>
      <c r="AD8" s="31"/>
      <c r="AE8" s="36">
        <f t="shared" si="1"/>
        <v>9000</v>
      </c>
      <c r="AF8" s="36">
        <f t="shared" si="2"/>
        <v>6490</v>
      </c>
      <c r="AG8" s="37">
        <f t="shared" si="3"/>
        <v>2648</v>
      </c>
    </row>
    <row r="9" ht="15.75" customHeight="1" outlineLevel="1">
      <c r="B9" s="24">
        <v>3.0</v>
      </c>
      <c r="C9" s="38" t="s">
        <v>25</v>
      </c>
      <c r="D9" s="41"/>
      <c r="E9" s="27" t="s">
        <v>23</v>
      </c>
      <c r="F9" s="28">
        <v>0.0</v>
      </c>
      <c r="G9" s="42"/>
      <c r="H9" s="30">
        <v>0.0</v>
      </c>
      <c r="I9" s="31"/>
      <c r="J9" s="43"/>
      <c r="K9" s="33"/>
      <c r="L9" s="44"/>
      <c r="M9" s="33"/>
      <c r="N9" s="45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6">
        <f t="shared" si="1"/>
        <v>0</v>
      </c>
      <c r="AF9" s="36">
        <f t="shared" si="2"/>
        <v>0</v>
      </c>
      <c r="AG9" s="36">
        <f t="shared" si="3"/>
        <v>0</v>
      </c>
    </row>
    <row r="10" outlineLevel="1">
      <c r="B10" s="24">
        <v>4.0</v>
      </c>
      <c r="C10" s="25" t="s">
        <v>26</v>
      </c>
      <c r="D10" s="46">
        <v>179400.0</v>
      </c>
      <c r="E10" s="27" t="s">
        <v>23</v>
      </c>
      <c r="F10" s="28">
        <v>2570.0</v>
      </c>
      <c r="G10" s="29">
        <v>2500.0</v>
      </c>
      <c r="H10" s="47">
        <v>1380.0</v>
      </c>
      <c r="I10" s="31"/>
      <c r="J10" s="32">
        <v>1380.0</v>
      </c>
      <c r="K10" s="33"/>
      <c r="L10" s="34">
        <v>920.0</v>
      </c>
      <c r="M10" s="33"/>
      <c r="N10" s="35">
        <v>710.0</v>
      </c>
      <c r="O10" s="30">
        <v>1000.0</v>
      </c>
      <c r="P10" s="30">
        <v>530.0</v>
      </c>
      <c r="Q10" s="31"/>
      <c r="R10" s="30">
        <v>530.0</v>
      </c>
      <c r="S10" s="30">
        <v>500.0</v>
      </c>
      <c r="T10" s="30">
        <v>260.0</v>
      </c>
      <c r="U10" s="31"/>
      <c r="V10" s="30">
        <v>300.0</v>
      </c>
      <c r="W10" s="31"/>
      <c r="X10" s="31"/>
      <c r="Y10" s="31"/>
      <c r="Z10" s="31"/>
      <c r="AA10" s="31"/>
      <c r="AB10" s="31"/>
      <c r="AC10" s="31"/>
      <c r="AD10" s="31"/>
      <c r="AE10" s="36">
        <f t="shared" si="1"/>
        <v>4000</v>
      </c>
      <c r="AF10" s="36">
        <f t="shared" si="2"/>
        <v>6010</v>
      </c>
      <c r="AG10" s="37">
        <f t="shared" si="3"/>
        <v>560</v>
      </c>
    </row>
    <row r="11" outlineLevel="1">
      <c r="B11" s="24">
        <v>5.0</v>
      </c>
      <c r="C11" s="38" t="s">
        <v>27</v>
      </c>
      <c r="D11" s="39">
        <v>32500.0</v>
      </c>
      <c r="E11" s="27" t="s">
        <v>23</v>
      </c>
      <c r="F11" s="28">
        <v>5440.0</v>
      </c>
      <c r="G11" s="29">
        <v>800.0</v>
      </c>
      <c r="H11" s="30">
        <v>500.0</v>
      </c>
      <c r="I11" s="31"/>
      <c r="J11" s="32">
        <v>400.0</v>
      </c>
      <c r="K11" s="33"/>
      <c r="L11" s="34">
        <v>430.0</v>
      </c>
      <c r="M11" s="33"/>
      <c r="N11" s="35">
        <v>250.0</v>
      </c>
      <c r="O11" s="30">
        <v>1000.0</v>
      </c>
      <c r="P11" s="30">
        <v>220.0</v>
      </c>
      <c r="Q11" s="31"/>
      <c r="R11" s="30">
        <v>250.0</v>
      </c>
      <c r="S11" s="30"/>
      <c r="T11" s="30">
        <v>125.0</v>
      </c>
      <c r="U11" s="31"/>
      <c r="V11" s="30">
        <v>160.0</v>
      </c>
      <c r="W11" s="31"/>
      <c r="X11" s="31"/>
      <c r="Y11" s="31"/>
      <c r="Z11" s="31"/>
      <c r="AA11" s="31"/>
      <c r="AB11" s="31"/>
      <c r="AC11" s="31"/>
      <c r="AD11" s="31"/>
      <c r="AE11" s="36">
        <f t="shared" si="1"/>
        <v>1800</v>
      </c>
      <c r="AF11" s="36">
        <f t="shared" si="2"/>
        <v>2335</v>
      </c>
      <c r="AG11" s="37">
        <f t="shared" si="3"/>
        <v>4905</v>
      </c>
    </row>
    <row r="12" outlineLevel="1">
      <c r="B12" s="24">
        <v>6.0</v>
      </c>
      <c r="C12" s="38" t="s">
        <v>28</v>
      </c>
      <c r="D12" s="39">
        <v>52000.0</v>
      </c>
      <c r="E12" s="27" t="s">
        <v>23</v>
      </c>
      <c r="F12" s="28">
        <v>459.0</v>
      </c>
      <c r="G12" s="29">
        <v>4500.0</v>
      </c>
      <c r="H12" s="30">
        <v>1380.0</v>
      </c>
      <c r="I12" s="31"/>
      <c r="J12" s="32">
        <v>1380.0</v>
      </c>
      <c r="K12" s="33"/>
      <c r="L12" s="34">
        <v>920.0</v>
      </c>
      <c r="M12" s="33"/>
      <c r="N12" s="35">
        <v>710.0</v>
      </c>
      <c r="O12" s="30">
        <v>1000.0</v>
      </c>
      <c r="P12" s="30">
        <v>535.0</v>
      </c>
      <c r="Q12" s="31"/>
      <c r="R12" s="30">
        <v>530.0</v>
      </c>
      <c r="S12" s="30">
        <v>3500.0</v>
      </c>
      <c r="T12" s="30">
        <v>215.0</v>
      </c>
      <c r="U12" s="31"/>
      <c r="V12" s="30">
        <v>250.0</v>
      </c>
      <c r="W12" s="31"/>
      <c r="X12" s="31"/>
      <c r="Y12" s="31"/>
      <c r="Z12" s="31"/>
      <c r="AA12" s="31"/>
      <c r="AB12" s="31"/>
      <c r="AC12" s="31"/>
      <c r="AD12" s="31"/>
      <c r="AE12" s="36">
        <f t="shared" si="1"/>
        <v>9000</v>
      </c>
      <c r="AF12" s="36">
        <f t="shared" si="2"/>
        <v>5920</v>
      </c>
      <c r="AG12" s="37">
        <f t="shared" si="3"/>
        <v>3539</v>
      </c>
    </row>
    <row r="13" outlineLevel="1">
      <c r="B13" s="24">
        <v>7.0</v>
      </c>
      <c r="C13" s="38" t="s">
        <v>29</v>
      </c>
      <c r="D13" s="39">
        <v>46800.0</v>
      </c>
      <c r="E13" s="27" t="s">
        <v>23</v>
      </c>
      <c r="F13" s="28">
        <v>103.0</v>
      </c>
      <c r="G13" s="29">
        <v>4500.0</v>
      </c>
      <c r="H13" s="30">
        <v>1380.0</v>
      </c>
      <c r="I13" s="31"/>
      <c r="J13" s="32">
        <v>1380.0</v>
      </c>
      <c r="K13" s="33"/>
      <c r="L13" s="34">
        <v>920.0</v>
      </c>
      <c r="M13" s="33"/>
      <c r="N13" s="35">
        <v>710.0</v>
      </c>
      <c r="O13" s="30">
        <v>1000.0</v>
      </c>
      <c r="P13" s="30">
        <v>535.0</v>
      </c>
      <c r="Q13" s="31"/>
      <c r="R13" s="30">
        <v>520.0</v>
      </c>
      <c r="S13" s="30">
        <v>3500.0</v>
      </c>
      <c r="T13" s="30">
        <v>205.0</v>
      </c>
      <c r="U13" s="31"/>
      <c r="V13" s="30">
        <v>245.0</v>
      </c>
      <c r="W13" s="31"/>
      <c r="X13" s="31"/>
      <c r="Y13" s="31"/>
      <c r="Z13" s="31"/>
      <c r="AA13" s="31"/>
      <c r="AB13" s="31"/>
      <c r="AC13" s="31"/>
      <c r="AD13" s="31"/>
      <c r="AE13" s="36">
        <f t="shared" si="1"/>
        <v>9000</v>
      </c>
      <c r="AF13" s="36">
        <f t="shared" si="2"/>
        <v>5895</v>
      </c>
      <c r="AG13" s="37">
        <f t="shared" si="3"/>
        <v>3208</v>
      </c>
    </row>
    <row r="14" outlineLevel="1">
      <c r="B14" s="24">
        <v>8.0</v>
      </c>
      <c r="C14" s="38" t="s">
        <v>30</v>
      </c>
      <c r="D14" s="39">
        <v>14300.0</v>
      </c>
      <c r="E14" s="27" t="s">
        <v>23</v>
      </c>
      <c r="F14" s="28">
        <v>0.0</v>
      </c>
      <c r="G14" s="29">
        <v>4500.0</v>
      </c>
      <c r="H14" s="30">
        <v>1380.0</v>
      </c>
      <c r="I14" s="31"/>
      <c r="J14" s="32">
        <v>1380.0</v>
      </c>
      <c r="K14" s="33"/>
      <c r="L14" s="34">
        <v>940.0</v>
      </c>
      <c r="M14" s="33"/>
      <c r="N14" s="35">
        <v>720.0</v>
      </c>
      <c r="O14" s="30">
        <v>1000.0</v>
      </c>
      <c r="P14" s="30">
        <v>715.0</v>
      </c>
      <c r="Q14" s="30">
        <v>2000.0</v>
      </c>
      <c r="R14" s="30">
        <v>730.0</v>
      </c>
      <c r="S14" s="30">
        <v>1500.0</v>
      </c>
      <c r="T14" s="30">
        <v>310.0</v>
      </c>
      <c r="U14" s="31"/>
      <c r="V14" s="30">
        <v>415.0</v>
      </c>
      <c r="W14" s="31"/>
      <c r="X14" s="31"/>
      <c r="Y14" s="31"/>
      <c r="Z14" s="31"/>
      <c r="AA14" s="31"/>
      <c r="AB14" s="31"/>
      <c r="AC14" s="31"/>
      <c r="AD14" s="31"/>
      <c r="AE14" s="36">
        <f t="shared" si="1"/>
        <v>9000</v>
      </c>
      <c r="AF14" s="36">
        <f t="shared" si="2"/>
        <v>6590</v>
      </c>
      <c r="AG14" s="37">
        <f t="shared" si="3"/>
        <v>2410</v>
      </c>
    </row>
    <row r="15" outlineLevel="1">
      <c r="B15" s="24">
        <v>9.0</v>
      </c>
      <c r="C15" s="25" t="s">
        <v>31</v>
      </c>
      <c r="D15" s="46">
        <v>14300.0</v>
      </c>
      <c r="E15" s="27" t="s">
        <v>23</v>
      </c>
      <c r="F15" s="28">
        <v>0.0</v>
      </c>
      <c r="G15" s="40">
        <v>4500.0</v>
      </c>
      <c r="H15" s="30">
        <v>1380.0</v>
      </c>
      <c r="I15" s="31"/>
      <c r="J15" s="32">
        <v>1380.0</v>
      </c>
      <c r="K15" s="33"/>
      <c r="L15" s="34">
        <v>940.0</v>
      </c>
      <c r="M15" s="33"/>
      <c r="N15" s="35">
        <v>710.0</v>
      </c>
      <c r="O15" s="30">
        <v>1000.0</v>
      </c>
      <c r="P15" s="30">
        <v>700.0</v>
      </c>
      <c r="Q15" s="31"/>
      <c r="R15" s="30">
        <v>700.0</v>
      </c>
      <c r="S15" s="30">
        <v>3500.0</v>
      </c>
      <c r="T15" s="30">
        <v>300.0</v>
      </c>
      <c r="U15" s="31"/>
      <c r="V15" s="30">
        <v>400.0</v>
      </c>
      <c r="W15" s="31"/>
      <c r="X15" s="31"/>
      <c r="Y15" s="31"/>
      <c r="Z15" s="31"/>
      <c r="AA15" s="31"/>
      <c r="AB15" s="31"/>
      <c r="AC15" s="31"/>
      <c r="AD15" s="31"/>
      <c r="AE15" s="36">
        <f t="shared" si="1"/>
        <v>9000</v>
      </c>
      <c r="AF15" s="36">
        <f t="shared" si="2"/>
        <v>6510</v>
      </c>
      <c r="AG15" s="37">
        <f t="shared" si="3"/>
        <v>2490</v>
      </c>
    </row>
    <row r="16" ht="30.0" customHeight="1" outlineLevel="1">
      <c r="B16" s="24">
        <v>10.0</v>
      </c>
      <c r="C16" s="25" t="s">
        <v>32</v>
      </c>
      <c r="D16" s="46">
        <v>4420.0</v>
      </c>
      <c r="E16" s="27" t="s">
        <v>23</v>
      </c>
      <c r="F16" s="28">
        <v>870.0</v>
      </c>
      <c r="G16" s="29">
        <v>2000.0</v>
      </c>
      <c r="H16" s="30">
        <v>360.0</v>
      </c>
      <c r="I16" s="31"/>
      <c r="J16" s="32">
        <v>380.0</v>
      </c>
      <c r="K16" s="33"/>
      <c r="L16" s="34">
        <v>400.0</v>
      </c>
      <c r="M16" s="33"/>
      <c r="N16" s="35">
        <v>300.0</v>
      </c>
      <c r="O16" s="30">
        <v>1000.0</v>
      </c>
      <c r="P16" s="30">
        <v>165.0</v>
      </c>
      <c r="Q16" s="31"/>
      <c r="R16" s="30">
        <v>170.0</v>
      </c>
      <c r="S16" s="31"/>
      <c r="T16" s="30">
        <v>145.0</v>
      </c>
      <c r="U16" s="31"/>
      <c r="V16" s="30">
        <v>160.0</v>
      </c>
      <c r="W16" s="31"/>
      <c r="X16" s="31"/>
      <c r="Y16" s="31"/>
      <c r="Z16" s="31"/>
      <c r="AA16" s="31"/>
      <c r="AB16" s="31"/>
      <c r="AC16" s="31"/>
      <c r="AD16" s="31"/>
      <c r="AE16" s="36">
        <f t="shared" si="1"/>
        <v>3000</v>
      </c>
      <c r="AF16" s="36">
        <f t="shared" si="2"/>
        <v>2080</v>
      </c>
      <c r="AG16" s="37">
        <f t="shared" si="3"/>
        <v>1790</v>
      </c>
    </row>
    <row r="17" outlineLevel="1">
      <c r="B17" s="24">
        <v>11.0</v>
      </c>
      <c r="C17" s="38" t="s">
        <v>33</v>
      </c>
      <c r="D17" s="39">
        <v>19500.0</v>
      </c>
      <c r="E17" s="27" t="s">
        <v>23</v>
      </c>
      <c r="F17" s="28">
        <v>2369.0</v>
      </c>
      <c r="G17" s="29">
        <v>2500.0</v>
      </c>
      <c r="H17" s="30">
        <v>620.0</v>
      </c>
      <c r="I17" s="31"/>
      <c r="J17" s="32">
        <v>650.0</v>
      </c>
      <c r="K17" s="33"/>
      <c r="L17" s="34">
        <v>670.0</v>
      </c>
      <c r="M17" s="33"/>
      <c r="N17" s="35">
        <v>350.0</v>
      </c>
      <c r="O17" s="30">
        <v>1000.0</v>
      </c>
      <c r="P17" s="30">
        <v>430.0</v>
      </c>
      <c r="Q17" s="31"/>
      <c r="R17" s="30">
        <v>415.0</v>
      </c>
      <c r="S17" s="30">
        <v>1500.0</v>
      </c>
      <c r="T17" s="30">
        <v>205.0</v>
      </c>
      <c r="U17" s="31"/>
      <c r="V17" s="30">
        <v>230.0</v>
      </c>
      <c r="W17" s="31"/>
      <c r="X17" s="31"/>
      <c r="Y17" s="31"/>
      <c r="Z17" s="31"/>
      <c r="AA17" s="31"/>
      <c r="AB17" s="31"/>
      <c r="AC17" s="31"/>
      <c r="AD17" s="31"/>
      <c r="AE17" s="36">
        <f t="shared" si="1"/>
        <v>5000</v>
      </c>
      <c r="AF17" s="36">
        <f t="shared" si="2"/>
        <v>3570</v>
      </c>
      <c r="AG17" s="37">
        <f t="shared" si="3"/>
        <v>3799</v>
      </c>
    </row>
    <row r="18" outlineLevel="1">
      <c r="B18" s="24">
        <v>12.0</v>
      </c>
      <c r="C18" s="38" t="s">
        <v>34</v>
      </c>
      <c r="D18" s="39">
        <v>11700.0</v>
      </c>
      <c r="E18" s="27" t="s">
        <v>23</v>
      </c>
      <c r="F18" s="28">
        <v>255.0</v>
      </c>
      <c r="G18" s="29">
        <v>4500.0</v>
      </c>
      <c r="H18" s="30">
        <v>1380.0</v>
      </c>
      <c r="I18" s="31"/>
      <c r="J18" s="30">
        <v>1380.0</v>
      </c>
      <c r="K18" s="48"/>
      <c r="L18" s="49">
        <v>930.0</v>
      </c>
      <c r="M18" s="48"/>
      <c r="N18" s="30">
        <v>710.0</v>
      </c>
      <c r="O18" s="30">
        <v>1000.0</v>
      </c>
      <c r="P18" s="30">
        <v>700.0</v>
      </c>
      <c r="Q18" s="30">
        <v>2000.0</v>
      </c>
      <c r="R18" s="30">
        <v>700.0</v>
      </c>
      <c r="S18" s="30">
        <v>1500.0</v>
      </c>
      <c r="T18" s="30">
        <v>300.0</v>
      </c>
      <c r="U18" s="31"/>
      <c r="V18" s="30">
        <v>400.0</v>
      </c>
      <c r="W18" s="31"/>
      <c r="X18" s="31"/>
      <c r="Y18" s="31"/>
      <c r="Z18" s="31"/>
      <c r="AA18" s="31"/>
      <c r="AB18" s="31"/>
      <c r="AC18" s="31"/>
      <c r="AD18" s="31"/>
      <c r="AE18" s="36">
        <f t="shared" si="1"/>
        <v>9000</v>
      </c>
      <c r="AF18" s="36">
        <f t="shared" si="2"/>
        <v>6500</v>
      </c>
      <c r="AG18" s="37">
        <f t="shared" si="3"/>
        <v>2755</v>
      </c>
    </row>
    <row r="19" outlineLevel="1">
      <c r="B19" s="24">
        <v>13.0</v>
      </c>
      <c r="C19" s="38" t="s">
        <v>35</v>
      </c>
      <c r="D19" s="39">
        <v>10660.0</v>
      </c>
      <c r="E19" s="27" t="s">
        <v>23</v>
      </c>
      <c r="F19" s="28">
        <v>2870.0</v>
      </c>
      <c r="G19" s="40">
        <v>2000.0</v>
      </c>
      <c r="H19" s="30">
        <v>500.0</v>
      </c>
      <c r="I19" s="31"/>
      <c r="J19" s="30">
        <v>450.0</v>
      </c>
      <c r="K19" s="31"/>
      <c r="L19" s="30">
        <v>500.0</v>
      </c>
      <c r="M19" s="31"/>
      <c r="N19" s="30">
        <v>300.0</v>
      </c>
      <c r="O19" s="30">
        <v>1000.0</v>
      </c>
      <c r="P19" s="30">
        <v>320.0</v>
      </c>
      <c r="Q19" s="31"/>
      <c r="R19" s="30">
        <v>330.0</v>
      </c>
      <c r="S19" s="31"/>
      <c r="T19" s="30">
        <v>120.0</v>
      </c>
      <c r="U19" s="31"/>
      <c r="V19" s="30">
        <v>140.0</v>
      </c>
      <c r="W19" s="31"/>
      <c r="X19" s="31"/>
      <c r="Y19" s="31"/>
      <c r="Z19" s="31"/>
      <c r="AA19" s="31"/>
      <c r="AB19" s="31"/>
      <c r="AC19" s="31"/>
      <c r="AD19" s="31"/>
      <c r="AE19" s="36">
        <f t="shared" si="1"/>
        <v>3000</v>
      </c>
      <c r="AF19" s="36">
        <f t="shared" si="2"/>
        <v>2660</v>
      </c>
      <c r="AG19" s="37">
        <f t="shared" si="3"/>
        <v>3210</v>
      </c>
    </row>
    <row r="20" outlineLevel="1">
      <c r="B20" s="24">
        <v>14.0</v>
      </c>
      <c r="C20" s="50" t="s">
        <v>36</v>
      </c>
      <c r="D20" s="39">
        <v>21000.0</v>
      </c>
      <c r="E20" s="27" t="s">
        <v>23</v>
      </c>
      <c r="F20" s="28">
        <v>0.0</v>
      </c>
      <c r="G20" s="5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6">
        <f t="shared" si="1"/>
        <v>0</v>
      </c>
      <c r="AF20" s="36">
        <f t="shared" si="2"/>
        <v>0</v>
      </c>
      <c r="AG20" s="37">
        <f t="shared" si="3"/>
        <v>0</v>
      </c>
    </row>
    <row r="21" ht="15.75" customHeight="1" outlineLevel="1">
      <c r="B21" s="24">
        <v>15.0</v>
      </c>
      <c r="C21" s="52" t="s">
        <v>37</v>
      </c>
      <c r="D21" s="46">
        <v>83400.0</v>
      </c>
      <c r="E21" s="27" t="s">
        <v>23</v>
      </c>
      <c r="F21" s="28">
        <v>0.0</v>
      </c>
      <c r="G21" s="5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6">
        <f t="shared" si="1"/>
        <v>0</v>
      </c>
      <c r="AF21" s="36">
        <f t="shared" si="2"/>
        <v>0</v>
      </c>
      <c r="AG21" s="37">
        <f t="shared" si="3"/>
        <v>0</v>
      </c>
    </row>
    <row r="22" ht="15.75" customHeight="1" outlineLevel="1">
      <c r="B22" s="24">
        <v>16.0</v>
      </c>
      <c r="C22" s="53" t="s">
        <v>38</v>
      </c>
      <c r="D22" s="39">
        <v>659100.0</v>
      </c>
      <c r="E22" s="27" t="s">
        <v>23</v>
      </c>
      <c r="F22" s="28">
        <v>25.0</v>
      </c>
      <c r="G22" s="29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6">
        <f t="shared" si="1"/>
        <v>0</v>
      </c>
      <c r="AF22" s="36">
        <f t="shared" si="2"/>
        <v>0</v>
      </c>
      <c r="AG22" s="37">
        <f t="shared" si="3"/>
        <v>25</v>
      </c>
    </row>
    <row r="23" ht="15.75" customHeight="1" outlineLevel="1">
      <c r="B23" s="24">
        <v>17.0</v>
      </c>
      <c r="C23" s="54" t="s">
        <v>39</v>
      </c>
      <c r="D23" s="39">
        <v>791000.0</v>
      </c>
      <c r="E23" s="27" t="s">
        <v>23</v>
      </c>
      <c r="F23" s="28">
        <v>87.0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6">
        <f t="shared" si="1"/>
        <v>0</v>
      </c>
      <c r="AF23" s="36">
        <f t="shared" si="2"/>
        <v>0</v>
      </c>
      <c r="AG23" s="37">
        <f t="shared" si="3"/>
        <v>87</v>
      </c>
    </row>
    <row r="24" ht="15.75" customHeight="1" outlineLevel="1">
      <c r="A24" s="2">
        <v>4.0</v>
      </c>
      <c r="B24" s="24">
        <v>18.0</v>
      </c>
      <c r="C24" s="55" t="s">
        <v>40</v>
      </c>
      <c r="D24" s="46">
        <v>197800.0</v>
      </c>
      <c r="E24" s="27" t="s">
        <v>23</v>
      </c>
      <c r="F24" s="28">
        <v>11.0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6">
        <f t="shared" si="1"/>
        <v>0</v>
      </c>
      <c r="AF24" s="36">
        <f t="shared" si="2"/>
        <v>0</v>
      </c>
      <c r="AG24" s="37">
        <f t="shared" si="3"/>
        <v>11</v>
      </c>
    </row>
    <row r="25" ht="15.75" customHeight="1" outlineLevel="1">
      <c r="B25" s="24">
        <v>19.0</v>
      </c>
      <c r="C25" s="54" t="s">
        <v>41</v>
      </c>
      <c r="D25" s="39">
        <v>347100.0</v>
      </c>
      <c r="E25" s="27" t="s">
        <v>23</v>
      </c>
      <c r="F25" s="28">
        <v>0.0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6">
        <f t="shared" si="1"/>
        <v>0</v>
      </c>
      <c r="AF25" s="36">
        <f t="shared" si="2"/>
        <v>0</v>
      </c>
      <c r="AG25" s="37">
        <f t="shared" si="3"/>
        <v>0</v>
      </c>
    </row>
    <row r="26" ht="15.75" customHeight="1" outlineLevel="1">
      <c r="B26" s="24">
        <v>20.0</v>
      </c>
      <c r="C26" s="53" t="s">
        <v>42</v>
      </c>
      <c r="D26" s="39">
        <v>131900.0</v>
      </c>
      <c r="E26" s="27" t="s">
        <v>23</v>
      </c>
      <c r="F26" s="28">
        <v>10.0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6">
        <f t="shared" si="1"/>
        <v>0</v>
      </c>
      <c r="AF26" s="36">
        <f t="shared" si="2"/>
        <v>0</v>
      </c>
      <c r="AG26" s="37">
        <f t="shared" si="3"/>
        <v>10</v>
      </c>
    </row>
    <row r="27" ht="15.75" customHeight="1" outlineLevel="1">
      <c r="B27" s="24">
        <v>21.0</v>
      </c>
      <c r="C27" s="56" t="s">
        <v>43</v>
      </c>
      <c r="D27" s="39">
        <v>462700.0</v>
      </c>
      <c r="E27" s="27" t="s">
        <v>23</v>
      </c>
      <c r="F27" s="28">
        <v>70.0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6">
        <f t="shared" si="1"/>
        <v>0</v>
      </c>
      <c r="AF27" s="36">
        <f t="shared" si="2"/>
        <v>0</v>
      </c>
      <c r="AG27" s="37">
        <f t="shared" si="3"/>
        <v>70</v>
      </c>
    </row>
    <row r="28" ht="15.75" customHeight="1" outlineLevel="1">
      <c r="B28" s="24">
        <v>22.0</v>
      </c>
      <c r="C28" s="54" t="s">
        <v>44</v>
      </c>
      <c r="D28" s="39">
        <v>173700.0</v>
      </c>
      <c r="E28" s="27" t="s">
        <v>23</v>
      </c>
      <c r="F28" s="28">
        <v>88.0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6">
        <f t="shared" si="1"/>
        <v>0</v>
      </c>
      <c r="AF28" s="36">
        <f t="shared" si="2"/>
        <v>0</v>
      </c>
      <c r="AG28" s="37">
        <f t="shared" si="3"/>
        <v>88</v>
      </c>
    </row>
    <row r="29" ht="15.75" customHeight="1" outlineLevel="1">
      <c r="B29" s="24">
        <v>23.0</v>
      </c>
      <c r="C29" s="57" t="s">
        <v>45</v>
      </c>
      <c r="D29" s="46">
        <v>173700.0</v>
      </c>
      <c r="E29" s="27" t="s">
        <v>23</v>
      </c>
      <c r="F29" s="28">
        <v>0.0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6">
        <f t="shared" si="1"/>
        <v>0</v>
      </c>
      <c r="AF29" s="36">
        <f t="shared" si="2"/>
        <v>0</v>
      </c>
      <c r="AG29" s="37">
        <f t="shared" si="3"/>
        <v>0</v>
      </c>
    </row>
    <row r="30" ht="15.75" customHeight="1" outlineLevel="1">
      <c r="B30" s="24">
        <v>25.0</v>
      </c>
      <c r="C30" s="53" t="s">
        <v>46</v>
      </c>
      <c r="D30" s="39">
        <v>58500.0</v>
      </c>
      <c r="E30" s="27" t="s">
        <v>23</v>
      </c>
      <c r="F30" s="28">
        <v>0.0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6">
        <f t="shared" si="1"/>
        <v>0</v>
      </c>
      <c r="AF30" s="36">
        <f t="shared" si="2"/>
        <v>0</v>
      </c>
      <c r="AG30" s="37">
        <f t="shared" si="3"/>
        <v>0</v>
      </c>
    </row>
    <row r="31" ht="15.75" customHeight="1" outlineLevel="1">
      <c r="B31" s="24">
        <v>26.0</v>
      </c>
      <c r="C31" s="54" t="s">
        <v>47</v>
      </c>
      <c r="D31" s="39">
        <v>19500.0</v>
      </c>
      <c r="E31" s="27" t="s">
        <v>23</v>
      </c>
      <c r="F31" s="28">
        <v>0.0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6"/>
      <c r="AF31" s="36">
        <f t="shared" si="2"/>
        <v>0</v>
      </c>
      <c r="AG31" s="37">
        <f t="shared" si="3"/>
        <v>0</v>
      </c>
    </row>
    <row r="32" ht="15.75" customHeight="1" outlineLevel="1">
      <c r="B32" s="24">
        <v>27.0</v>
      </c>
      <c r="C32" s="54" t="s">
        <v>48</v>
      </c>
      <c r="D32" s="39">
        <v>14100.0</v>
      </c>
      <c r="E32" s="27" t="s">
        <v>23</v>
      </c>
      <c r="F32" s="28">
        <v>39.0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6">
        <f t="shared" ref="AE32:AE41" si="4">SUM(G32,I32,K32,M32,O32,Q32,S32,U32,W32,Y32,AA32,AC32)</f>
        <v>0</v>
      </c>
      <c r="AF32" s="36">
        <f t="shared" si="2"/>
        <v>0</v>
      </c>
      <c r="AG32" s="37">
        <f t="shared" si="3"/>
        <v>39</v>
      </c>
    </row>
    <row r="33" ht="15.75" customHeight="1" outlineLevel="1">
      <c r="B33" s="24">
        <v>28.0</v>
      </c>
      <c r="C33" s="54" t="s">
        <v>49</v>
      </c>
      <c r="D33" s="39">
        <v>31200.0</v>
      </c>
      <c r="E33" s="27" t="s">
        <v>23</v>
      </c>
      <c r="F33" s="28">
        <v>30.0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6">
        <f t="shared" si="4"/>
        <v>0</v>
      </c>
      <c r="AF33" s="36">
        <f t="shared" si="2"/>
        <v>0</v>
      </c>
      <c r="AG33" s="37">
        <f t="shared" si="3"/>
        <v>30</v>
      </c>
    </row>
    <row r="34" ht="15.75" customHeight="1" outlineLevel="1">
      <c r="B34" s="24">
        <v>29.0</v>
      </c>
      <c r="C34" s="58" t="s">
        <v>50</v>
      </c>
      <c r="D34" s="46">
        <v>46500.0</v>
      </c>
      <c r="E34" s="27" t="s">
        <v>23</v>
      </c>
      <c r="F34" s="28">
        <v>108.0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6">
        <f t="shared" si="4"/>
        <v>0</v>
      </c>
      <c r="AF34" s="36">
        <f t="shared" si="2"/>
        <v>0</v>
      </c>
      <c r="AG34" s="37">
        <f t="shared" si="3"/>
        <v>108</v>
      </c>
    </row>
    <row r="35" ht="15.75" customHeight="1" outlineLevel="1">
      <c r="B35" s="24">
        <v>30.0</v>
      </c>
      <c r="C35" s="54" t="s">
        <v>51</v>
      </c>
      <c r="D35" s="39">
        <v>28300.0</v>
      </c>
      <c r="E35" s="27" t="s">
        <v>23</v>
      </c>
      <c r="F35" s="28">
        <v>89.0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6">
        <f t="shared" si="4"/>
        <v>0</v>
      </c>
      <c r="AF35" s="36">
        <f t="shared" si="2"/>
        <v>0</v>
      </c>
      <c r="AG35" s="37">
        <f t="shared" si="3"/>
        <v>89</v>
      </c>
    </row>
    <row r="36" ht="15.75" customHeight="1" outlineLevel="1">
      <c r="B36" s="24">
        <v>31.0</v>
      </c>
      <c r="C36" s="55" t="s">
        <v>52</v>
      </c>
      <c r="D36" s="46">
        <v>7200.0</v>
      </c>
      <c r="E36" s="27" t="s">
        <v>23</v>
      </c>
      <c r="F36" s="28">
        <v>67.0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6">
        <f t="shared" si="4"/>
        <v>0</v>
      </c>
      <c r="AF36" s="36">
        <f t="shared" si="2"/>
        <v>0</v>
      </c>
      <c r="AG36" s="37">
        <f t="shared" si="3"/>
        <v>67</v>
      </c>
    </row>
    <row r="37" ht="15.75" customHeight="1" outlineLevel="1">
      <c r="B37" s="24">
        <v>32.0</v>
      </c>
      <c r="C37" s="53" t="s">
        <v>53</v>
      </c>
      <c r="D37" s="39">
        <v>21000.0</v>
      </c>
      <c r="E37" s="27" t="s">
        <v>23</v>
      </c>
      <c r="F37" s="28">
        <v>16.0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6">
        <f t="shared" si="4"/>
        <v>0</v>
      </c>
      <c r="AF37" s="36">
        <f t="shared" si="2"/>
        <v>0</v>
      </c>
      <c r="AG37" s="37">
        <f t="shared" si="3"/>
        <v>16</v>
      </c>
    </row>
    <row r="38" ht="15.75" customHeight="1" outlineLevel="1">
      <c r="B38" s="24">
        <v>33.0</v>
      </c>
      <c r="C38" s="58" t="s">
        <v>54</v>
      </c>
      <c r="D38" s="46">
        <v>21000.0</v>
      </c>
      <c r="E38" s="27" t="s">
        <v>23</v>
      </c>
      <c r="F38" s="28">
        <v>24.0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6">
        <f t="shared" si="4"/>
        <v>0</v>
      </c>
      <c r="AF38" s="36">
        <f t="shared" si="2"/>
        <v>0</v>
      </c>
      <c r="AG38" s="37">
        <f t="shared" si="3"/>
        <v>24</v>
      </c>
    </row>
    <row r="39" ht="15.75" customHeight="1" outlineLevel="1">
      <c r="B39" s="24">
        <v>34.0</v>
      </c>
      <c r="C39" s="53" t="s">
        <v>55</v>
      </c>
      <c r="D39" s="39">
        <v>46500.0</v>
      </c>
      <c r="E39" s="27" t="s">
        <v>23</v>
      </c>
      <c r="F39" s="28">
        <v>29.0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6">
        <f t="shared" si="4"/>
        <v>0</v>
      </c>
      <c r="AF39" s="36">
        <f t="shared" si="2"/>
        <v>0</v>
      </c>
      <c r="AG39" s="37">
        <f t="shared" si="3"/>
        <v>29</v>
      </c>
    </row>
    <row r="40" ht="15.75" customHeight="1" outlineLevel="1">
      <c r="B40" s="24">
        <v>35.0</v>
      </c>
      <c r="C40" s="54" t="s">
        <v>56</v>
      </c>
      <c r="D40" s="39">
        <v>86900.0</v>
      </c>
      <c r="E40" s="27" t="s">
        <v>23</v>
      </c>
      <c r="F40" s="28">
        <v>21.0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6">
        <f t="shared" si="4"/>
        <v>0</v>
      </c>
      <c r="AF40" s="36">
        <f t="shared" si="2"/>
        <v>0</v>
      </c>
      <c r="AG40" s="37">
        <f t="shared" si="3"/>
        <v>21</v>
      </c>
    </row>
    <row r="41" ht="15.75" customHeight="1" outlineLevel="1">
      <c r="B41" s="24">
        <v>37.0</v>
      </c>
      <c r="C41" s="59" t="s">
        <v>57</v>
      </c>
      <c r="D41" s="60"/>
      <c r="E41" s="27" t="s">
        <v>23</v>
      </c>
      <c r="F41" s="28">
        <v>0.0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6">
        <f t="shared" si="4"/>
        <v>0</v>
      </c>
      <c r="AF41" s="36">
        <f t="shared" si="2"/>
        <v>0</v>
      </c>
      <c r="AG41" s="37">
        <f t="shared" si="3"/>
        <v>0</v>
      </c>
    </row>
    <row r="42" ht="15.75" customHeight="1">
      <c r="B42" s="61"/>
      <c r="C42" s="61"/>
      <c r="D42" s="61"/>
      <c r="E42" s="61"/>
      <c r="F42" s="62"/>
      <c r="G42" s="62">
        <f t="shared" ref="G42:AG42" si="5">SUM(G7:G41)</f>
        <v>41300</v>
      </c>
      <c r="H42" s="62">
        <f t="shared" si="5"/>
        <v>13020</v>
      </c>
      <c r="I42" s="62">
        <f t="shared" si="5"/>
        <v>0</v>
      </c>
      <c r="J42" s="62">
        <f t="shared" si="5"/>
        <v>12920</v>
      </c>
      <c r="K42" s="62">
        <f t="shared" si="5"/>
        <v>0</v>
      </c>
      <c r="L42" s="62">
        <f t="shared" si="5"/>
        <v>9410</v>
      </c>
      <c r="M42" s="62">
        <f t="shared" si="5"/>
        <v>0</v>
      </c>
      <c r="N42" s="62">
        <f t="shared" si="5"/>
        <v>6890</v>
      </c>
      <c r="O42" s="62">
        <f t="shared" si="5"/>
        <v>12000</v>
      </c>
      <c r="P42" s="62">
        <f t="shared" si="5"/>
        <v>6250</v>
      </c>
      <c r="Q42" s="62">
        <f t="shared" si="5"/>
        <v>6000</v>
      </c>
      <c r="R42" s="62">
        <f t="shared" si="5"/>
        <v>6275</v>
      </c>
      <c r="S42" s="62">
        <f t="shared" si="5"/>
        <v>20500</v>
      </c>
      <c r="T42" s="62">
        <f t="shared" si="5"/>
        <v>2785</v>
      </c>
      <c r="U42" s="62">
        <f t="shared" si="5"/>
        <v>0</v>
      </c>
      <c r="V42" s="62">
        <f t="shared" si="5"/>
        <v>3500</v>
      </c>
      <c r="W42" s="62">
        <f t="shared" si="5"/>
        <v>0</v>
      </c>
      <c r="X42" s="62">
        <f t="shared" si="5"/>
        <v>0</v>
      </c>
      <c r="Y42" s="62">
        <f t="shared" si="5"/>
        <v>0</v>
      </c>
      <c r="Z42" s="62">
        <f t="shared" si="5"/>
        <v>0</v>
      </c>
      <c r="AA42" s="62">
        <f t="shared" si="5"/>
        <v>0</v>
      </c>
      <c r="AB42" s="62">
        <f t="shared" si="5"/>
        <v>0</v>
      </c>
      <c r="AC42" s="62">
        <f t="shared" si="5"/>
        <v>0</v>
      </c>
      <c r="AD42" s="62">
        <f t="shared" si="5"/>
        <v>0</v>
      </c>
      <c r="AE42" s="63">
        <f t="shared" si="5"/>
        <v>79800</v>
      </c>
      <c r="AF42" s="64">
        <f t="shared" si="5"/>
        <v>61050</v>
      </c>
      <c r="AG42" s="63">
        <f t="shared" si="5"/>
        <v>34538</v>
      </c>
    </row>
    <row r="43" ht="15.75" customHeight="1"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F43" s="2"/>
    </row>
    <row r="44" ht="15.75" customHeight="1"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F44" s="2"/>
    </row>
    <row r="45" ht="15.75" customHeight="1"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F45" s="2"/>
    </row>
    <row r="46" ht="15.75" customHeight="1"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F46" s="2"/>
    </row>
    <row r="47" ht="15.75" customHeight="1"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F47" s="2"/>
    </row>
    <row r="48" ht="15.75" customHeight="1"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F48" s="2"/>
    </row>
    <row r="49" ht="15.75" customHeight="1"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F49" s="2"/>
    </row>
    <row r="50" ht="15.75" customHeight="1"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F50" s="2"/>
    </row>
    <row r="51" ht="15.75" customHeight="1"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F51" s="2"/>
    </row>
    <row r="52" ht="15.75" customHeight="1"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F52" s="2"/>
    </row>
    <row r="53" ht="15.75" customHeight="1"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F53" s="2"/>
    </row>
    <row r="54" ht="15.75" customHeight="1"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F54" s="2"/>
    </row>
    <row r="55" ht="15.75" customHeight="1"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F55" s="2"/>
    </row>
    <row r="56" ht="15.75" customHeight="1"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F56" s="2"/>
    </row>
    <row r="57" ht="15.75" customHeight="1"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F57" s="2"/>
    </row>
    <row r="58" ht="15.75" customHeight="1"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F58" s="2"/>
    </row>
    <row r="59" ht="15.75" customHeight="1"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F59" s="2"/>
    </row>
    <row r="60" ht="15.75" customHeight="1"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F60" s="2"/>
    </row>
    <row r="61" ht="15.75" customHeight="1"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F61" s="2"/>
    </row>
    <row r="62" ht="15.75" customHeight="1"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F62" s="2"/>
    </row>
    <row r="63" ht="15.75" customHeight="1"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F63" s="2"/>
    </row>
    <row r="64" ht="15.75" customHeight="1"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F64" s="2"/>
    </row>
    <row r="65" ht="15.75" customHeight="1"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F65" s="2"/>
    </row>
    <row r="66" ht="15.75" customHeight="1"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F66" s="2"/>
    </row>
    <row r="67" ht="15.75" customHeight="1"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F67" s="2"/>
    </row>
    <row r="68" ht="15.75" customHeight="1"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F68" s="2"/>
    </row>
    <row r="69" ht="15.75" customHeight="1"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F69" s="2"/>
    </row>
    <row r="70" ht="15.75" customHeight="1"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F70" s="2"/>
    </row>
    <row r="71" ht="15.75" customHeight="1"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F71" s="2"/>
    </row>
    <row r="72" ht="15.75" customHeight="1"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F72" s="2"/>
    </row>
    <row r="73" ht="15.75" customHeight="1"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F73" s="2"/>
    </row>
    <row r="74" ht="15.75" customHeight="1"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F74" s="2"/>
    </row>
    <row r="75" ht="15.75" customHeight="1"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F75" s="2"/>
    </row>
    <row r="76" ht="15.75" customHeight="1"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F76" s="2"/>
    </row>
    <row r="77" ht="15.75" customHeight="1"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F77" s="2"/>
    </row>
    <row r="78" ht="15.75" customHeight="1"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F78" s="2"/>
    </row>
    <row r="79" ht="15.75" customHeight="1"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F79" s="2"/>
    </row>
    <row r="80" ht="15.75" customHeight="1"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F80" s="2"/>
    </row>
    <row r="81" ht="15.75" customHeight="1"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F81" s="2"/>
    </row>
    <row r="82" ht="15.75" customHeight="1"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F82" s="2"/>
    </row>
    <row r="83" ht="15.75" customHeight="1"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F83" s="2"/>
    </row>
    <row r="84" ht="15.75" customHeight="1"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F84" s="2"/>
    </row>
    <row r="85" ht="15.75" customHeight="1"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F85" s="2"/>
    </row>
    <row r="86" ht="15.75" customHeight="1"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F86" s="2"/>
    </row>
    <row r="87" ht="15.75" customHeight="1"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F87" s="2"/>
    </row>
    <row r="88" ht="15.75" customHeight="1"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F88" s="2"/>
    </row>
    <row r="89" ht="15.75" customHeight="1"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F89" s="2"/>
    </row>
    <row r="90" ht="15.75" customHeight="1"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F90" s="2"/>
    </row>
    <row r="91" ht="15.75" customHeight="1"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F91" s="2"/>
    </row>
    <row r="92" ht="15.75" customHeight="1"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F92" s="2"/>
    </row>
    <row r="93" ht="15.75" customHeight="1"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F93" s="2"/>
    </row>
    <row r="94" ht="15.75" customHeight="1"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F94" s="2"/>
    </row>
    <row r="95" ht="15.75" customHeight="1"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F95" s="2"/>
    </row>
    <row r="96" ht="15.75" customHeight="1"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F96" s="2"/>
    </row>
    <row r="97" ht="15.75" customHeight="1"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F97" s="2"/>
    </row>
    <row r="98" ht="15.75" customHeight="1"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F98" s="2"/>
    </row>
    <row r="99" ht="15.75" customHeight="1"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F99" s="2"/>
    </row>
    <row r="100" ht="15.75" customHeight="1"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F100" s="2"/>
    </row>
    <row r="101" ht="15.75" customHeight="1"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F101" s="2"/>
    </row>
    <row r="102" ht="15.75" customHeight="1"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F102" s="2"/>
    </row>
    <row r="103" ht="15.75" customHeight="1"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F103" s="2"/>
    </row>
    <row r="104" ht="15.75" customHeight="1"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F104" s="2"/>
    </row>
    <row r="105" ht="15.75" customHeight="1"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F105" s="2"/>
    </row>
    <row r="106" ht="15.75" customHeight="1"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F106" s="2"/>
    </row>
    <row r="107" ht="15.75" customHeight="1"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F107" s="2"/>
    </row>
    <row r="108" ht="15.75" customHeight="1"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F108" s="2"/>
    </row>
    <row r="109" ht="15.75" customHeight="1"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F109" s="2"/>
    </row>
    <row r="110" ht="15.75" customHeight="1"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F110" s="2"/>
    </row>
    <row r="111" ht="15.75" customHeight="1"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F111" s="2"/>
    </row>
    <row r="112" ht="15.75" customHeight="1"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F112" s="2"/>
    </row>
    <row r="113" ht="15.75" customHeight="1"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F113" s="2"/>
    </row>
    <row r="114" ht="15.75" customHeight="1"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F114" s="2"/>
    </row>
    <row r="115" ht="15.75" customHeight="1"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F115" s="2"/>
    </row>
    <row r="116" ht="15.75" customHeight="1"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F116" s="2"/>
    </row>
    <row r="117" ht="15.75" customHeight="1"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F117" s="2"/>
    </row>
    <row r="118" ht="15.75" customHeight="1"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F118" s="2"/>
    </row>
    <row r="119" ht="15.75" customHeight="1"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F119" s="2"/>
    </row>
    <row r="120" ht="15.75" customHeight="1"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F120" s="2"/>
    </row>
    <row r="121" ht="15.75" customHeight="1"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F121" s="2"/>
    </row>
    <row r="122" ht="15.75" customHeight="1"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F122" s="2"/>
    </row>
    <row r="123" ht="15.75" customHeight="1"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F123" s="2"/>
    </row>
    <row r="124" ht="15.75" customHeight="1"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F124" s="2"/>
    </row>
    <row r="125" ht="15.75" customHeight="1"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F125" s="2"/>
    </row>
    <row r="126" ht="15.75" customHeight="1"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F126" s="2"/>
    </row>
    <row r="127" ht="15.75" customHeight="1"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F127" s="2"/>
    </row>
    <row r="128" ht="15.75" customHeight="1"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F128" s="2"/>
    </row>
    <row r="129" ht="15.75" customHeight="1"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F129" s="2"/>
    </row>
    <row r="130" ht="15.75" customHeight="1"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F130" s="2"/>
    </row>
    <row r="131" ht="15.75" customHeight="1"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F131" s="2"/>
    </row>
    <row r="132" ht="15.75" customHeight="1"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F132" s="2"/>
    </row>
    <row r="133" ht="15.75" customHeight="1"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F133" s="2"/>
    </row>
    <row r="134" ht="15.75" customHeight="1"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F134" s="2"/>
    </row>
    <row r="135" ht="15.75" customHeight="1"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F135" s="2"/>
    </row>
    <row r="136" ht="15.75" customHeight="1"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F136" s="2"/>
    </row>
    <row r="137" ht="15.75" customHeight="1"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F137" s="2"/>
    </row>
    <row r="138" ht="15.75" customHeight="1"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F138" s="2"/>
    </row>
    <row r="139" ht="15.75" customHeight="1"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F139" s="2"/>
    </row>
    <row r="140" ht="15.75" customHeight="1"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F140" s="2"/>
    </row>
    <row r="141" ht="15.75" customHeight="1"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F141" s="2"/>
    </row>
    <row r="142" ht="15.75" customHeight="1"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F142" s="2"/>
    </row>
    <row r="143" ht="15.75" customHeight="1"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F143" s="2"/>
    </row>
    <row r="144" ht="15.75" customHeight="1"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F144" s="2"/>
    </row>
    <row r="145" ht="15.75" customHeight="1"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F145" s="2"/>
    </row>
    <row r="146" ht="15.75" customHeight="1"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F146" s="2"/>
    </row>
    <row r="147" ht="15.75" customHeight="1"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F147" s="2"/>
    </row>
    <row r="148" ht="15.75" customHeight="1"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F148" s="2"/>
    </row>
    <row r="149" ht="15.75" customHeight="1"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F149" s="2"/>
    </row>
    <row r="150" ht="15.75" customHeight="1"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F150" s="2"/>
    </row>
    <row r="151" ht="15.75" customHeight="1"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F151" s="2"/>
    </row>
    <row r="152" ht="15.75" customHeight="1"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F152" s="2"/>
    </row>
    <row r="153" ht="15.75" customHeight="1"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F153" s="2"/>
    </row>
    <row r="154" ht="15.75" customHeight="1"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F154" s="2"/>
    </row>
    <row r="155" ht="15.75" customHeight="1"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F155" s="2"/>
    </row>
    <row r="156" ht="15.75" customHeight="1"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F156" s="2"/>
    </row>
    <row r="157" ht="15.75" customHeight="1"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F157" s="2"/>
    </row>
    <row r="158" ht="15.75" customHeight="1"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F158" s="2"/>
    </row>
    <row r="159" ht="15.75" customHeight="1"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F159" s="2"/>
    </row>
    <row r="160" ht="15.75" customHeight="1"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F160" s="2"/>
    </row>
    <row r="161" ht="15.75" customHeight="1"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F161" s="2"/>
    </row>
    <row r="162" ht="15.75" customHeight="1"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F162" s="2"/>
    </row>
    <row r="163" ht="15.75" customHeight="1"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F163" s="2"/>
    </row>
    <row r="164" ht="15.75" customHeight="1"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F164" s="2"/>
    </row>
    <row r="165" ht="15.75" customHeight="1"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F165" s="2"/>
    </row>
    <row r="166" ht="15.75" customHeight="1"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F166" s="2"/>
    </row>
    <row r="167" ht="15.75" customHeight="1"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F167" s="2"/>
    </row>
    <row r="168" ht="15.75" customHeight="1"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F168" s="2"/>
    </row>
    <row r="169" ht="15.75" customHeight="1"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F169" s="2"/>
    </row>
    <row r="170" ht="15.75" customHeight="1"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F170" s="2"/>
    </row>
    <row r="171" ht="15.75" customHeight="1"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F171" s="2"/>
    </row>
    <row r="172" ht="15.75" customHeight="1"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F172" s="2"/>
    </row>
    <row r="173" ht="15.75" customHeight="1"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F173" s="2"/>
    </row>
    <row r="174" ht="15.75" customHeight="1"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F174" s="2"/>
    </row>
    <row r="175" ht="15.75" customHeight="1"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F175" s="2"/>
    </row>
    <row r="176" ht="15.75" customHeight="1"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F176" s="2"/>
    </row>
    <row r="177" ht="15.75" customHeight="1"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F177" s="2"/>
    </row>
    <row r="178" ht="15.75" customHeight="1"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F178" s="2"/>
    </row>
    <row r="179" ht="15.75" customHeight="1"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F179" s="2"/>
    </row>
    <row r="180" ht="15.75" customHeight="1"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F180" s="2"/>
    </row>
    <row r="181" ht="15.75" customHeight="1"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F181" s="2"/>
    </row>
    <row r="182" ht="15.75" customHeight="1"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F182" s="2"/>
    </row>
    <row r="183" ht="15.75" customHeight="1"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F183" s="2"/>
    </row>
    <row r="184" ht="15.75" customHeight="1"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F184" s="2"/>
    </row>
    <row r="185" ht="15.75" customHeight="1"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F185" s="2"/>
    </row>
    <row r="186" ht="15.75" customHeight="1"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F186" s="2"/>
    </row>
    <row r="187" ht="15.75" customHeight="1"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F187" s="2"/>
    </row>
    <row r="188" ht="15.75" customHeight="1"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F188" s="2"/>
    </row>
    <row r="189" ht="15.75" customHeight="1"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F189" s="2"/>
    </row>
    <row r="190" ht="15.75" customHeight="1"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F190" s="2"/>
    </row>
    <row r="191" ht="15.75" customHeight="1"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F191" s="2"/>
    </row>
    <row r="192" ht="15.75" customHeight="1"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F192" s="2"/>
    </row>
    <row r="193" ht="15.75" customHeight="1"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F193" s="2"/>
    </row>
    <row r="194" ht="15.75" customHeight="1"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F194" s="2"/>
    </row>
    <row r="195" ht="15.75" customHeight="1"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F195" s="2"/>
    </row>
    <row r="196" ht="15.75" customHeight="1"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F196" s="2"/>
    </row>
    <row r="197" ht="15.75" customHeight="1"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F197" s="2"/>
    </row>
    <row r="198" ht="15.75" customHeight="1"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F198" s="2"/>
    </row>
    <row r="199" ht="15.75" customHeight="1"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F199" s="2"/>
    </row>
    <row r="200" ht="15.75" customHeight="1"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F200" s="2"/>
    </row>
    <row r="201" ht="15.75" customHeight="1"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F201" s="2"/>
    </row>
    <row r="202" ht="15.75" customHeight="1"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F202" s="2"/>
    </row>
    <row r="203" ht="15.75" customHeight="1"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F203" s="2"/>
    </row>
    <row r="204" ht="15.75" customHeight="1"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F204" s="2"/>
    </row>
    <row r="205" ht="15.75" customHeight="1"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F205" s="2"/>
    </row>
    <row r="206" ht="15.75" customHeight="1"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F206" s="2"/>
    </row>
    <row r="207" ht="15.75" customHeight="1"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F207" s="2"/>
    </row>
    <row r="208" ht="15.75" customHeight="1"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F208" s="2"/>
    </row>
    <row r="209" ht="15.75" customHeight="1"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F209" s="2"/>
    </row>
    <row r="210" ht="15.75" customHeight="1"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F210" s="2"/>
    </row>
    <row r="211" ht="15.75" customHeight="1"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F211" s="2"/>
    </row>
    <row r="212" ht="15.75" customHeight="1"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F212" s="2"/>
    </row>
    <row r="213" ht="15.75" customHeight="1"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F213" s="2"/>
    </row>
    <row r="214" ht="15.75" customHeight="1"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F214" s="2"/>
    </row>
    <row r="215" ht="15.75" customHeight="1"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F215" s="2"/>
    </row>
    <row r="216" ht="15.75" customHeight="1"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F216" s="2"/>
    </row>
    <row r="217" ht="15.75" customHeight="1"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F217" s="2"/>
    </row>
    <row r="218" ht="15.75" customHeight="1"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F218" s="2"/>
    </row>
    <row r="219" ht="15.75" customHeight="1"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F219" s="2"/>
    </row>
    <row r="220" ht="15.75" customHeight="1"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F220" s="2"/>
    </row>
    <row r="221" ht="15.75" customHeight="1"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F221" s="2"/>
    </row>
    <row r="222" ht="15.75" customHeight="1"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F222" s="2"/>
    </row>
    <row r="223" ht="15.75" customHeight="1"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F223" s="2"/>
    </row>
    <row r="224" ht="15.75" customHeight="1"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F224" s="2"/>
    </row>
    <row r="225" ht="15.75" customHeight="1"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F225" s="2"/>
    </row>
    <row r="226" ht="15.75" customHeight="1"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F226" s="2"/>
    </row>
    <row r="227" ht="15.75" customHeight="1"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F227" s="2"/>
    </row>
    <row r="228" ht="15.75" customHeight="1"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F228" s="2"/>
    </row>
    <row r="229" ht="15.75" customHeight="1"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F229" s="2"/>
    </row>
    <row r="230" ht="15.75" customHeight="1"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F230" s="2"/>
    </row>
    <row r="231" ht="15.75" customHeight="1"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F231" s="2"/>
    </row>
    <row r="232" ht="15.75" customHeight="1"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F232" s="2"/>
    </row>
    <row r="233" ht="15.75" customHeight="1"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F233" s="2"/>
    </row>
    <row r="234" ht="15.75" customHeight="1"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F234" s="2"/>
    </row>
    <row r="235" ht="15.75" customHeight="1"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F235" s="2"/>
    </row>
    <row r="236" ht="15.75" customHeight="1"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F236" s="2"/>
    </row>
    <row r="237" ht="15.75" customHeight="1"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F237" s="2"/>
    </row>
    <row r="238" ht="15.75" customHeight="1"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F238" s="2"/>
    </row>
    <row r="239" ht="15.75" customHeight="1"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F239" s="2"/>
    </row>
    <row r="240" ht="15.75" customHeight="1"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F240" s="2"/>
    </row>
    <row r="241" ht="15.75" customHeight="1"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F241" s="2"/>
    </row>
    <row r="242" ht="15.75" customHeight="1"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F242" s="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A1:W1"/>
    <mergeCell ref="A2:W2"/>
    <mergeCell ref="B3:B4"/>
    <mergeCell ref="C3:C4"/>
    <mergeCell ref="D3:D4"/>
    <mergeCell ref="E3:E4"/>
    <mergeCell ref="F3:F5"/>
    <mergeCell ref="W4:W5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G3"/>
    <mergeCell ref="G4:G5"/>
    <mergeCell ref="H4:H5"/>
    <mergeCell ref="I4:I5"/>
    <mergeCell ref="J4:J5"/>
    <mergeCell ref="AC4:AC5"/>
    <mergeCell ref="AD4:AD5"/>
    <mergeCell ref="AE4:AE5"/>
    <mergeCell ref="AF4:AF5"/>
    <mergeCell ref="AG4:AG5"/>
    <mergeCell ref="K4:K5"/>
    <mergeCell ref="L4:L5"/>
    <mergeCell ref="X4:X5"/>
    <mergeCell ref="Y4:Y5"/>
    <mergeCell ref="Z4:Z5"/>
    <mergeCell ref="AA4:AA5"/>
    <mergeCell ref="AB4:AB5"/>
  </mergeCells>
  <conditionalFormatting sqref="F42 G7:AD42">
    <cfRule type="cellIs" dxfId="0" priority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