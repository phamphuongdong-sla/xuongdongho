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50" windowWidth="20280" windowHeight="7755" activeTab="6"/>
  </bookViews>
  <sheets>
    <sheet name="LẦN 1" sheetId="1" r:id="rId1"/>
    <sheet name="LẦN 2" sheetId="4" r:id="rId2"/>
    <sheet name="LẦN 3" sheetId="5" r:id="rId3"/>
    <sheet name="LẦN 4" sheetId="9" r:id="rId4"/>
    <sheet name="LẦN 5" sheetId="10" r:id="rId5"/>
    <sheet name="LẦN 6 TẠM ỨNG" sheetId="11" r:id="rId6"/>
    <sheet name="Tổng nhập" sheetId="8" r:id="rId7"/>
  </sheets>
  <calcPr calcId="145621"/>
</workbook>
</file>

<file path=xl/calcChain.xml><?xml version="1.0" encoding="utf-8"?>
<calcChain xmlns="http://schemas.openxmlformats.org/spreadsheetml/2006/main">
  <c r="I4" i="8" l="1"/>
  <c r="L4" i="8" s="1"/>
  <c r="I5" i="8"/>
  <c r="L5" i="8" s="1"/>
  <c r="I6" i="8"/>
  <c r="L6" i="8" s="1"/>
  <c r="I7" i="8"/>
  <c r="L7" i="8" s="1"/>
  <c r="I8" i="8"/>
  <c r="L8" i="8" s="1"/>
  <c r="I9" i="8"/>
  <c r="L9" i="8" s="1"/>
  <c r="I10" i="8"/>
  <c r="L10" i="8" s="1"/>
  <c r="I11" i="8"/>
  <c r="L11" i="8" s="1"/>
  <c r="I12" i="8"/>
  <c r="L12" i="8" s="1"/>
  <c r="I13" i="8"/>
  <c r="L13" i="8" s="1"/>
  <c r="I14" i="8"/>
  <c r="L14" i="8" s="1"/>
  <c r="I15" i="8"/>
  <c r="L15" i="8" s="1"/>
  <c r="I16" i="8"/>
  <c r="L16" i="8" s="1"/>
  <c r="I17" i="8"/>
  <c r="L17" i="8" s="1"/>
  <c r="I18" i="8"/>
  <c r="L18" i="8" s="1"/>
  <c r="I19" i="8"/>
  <c r="L19" i="8" s="1"/>
  <c r="I20" i="8"/>
  <c r="L20" i="8" s="1"/>
  <c r="I21" i="8"/>
  <c r="L21" i="8" s="1"/>
  <c r="I22" i="8"/>
  <c r="L22" i="8" s="1"/>
  <c r="I23" i="8"/>
  <c r="L23" i="8" s="1"/>
  <c r="I3" i="8"/>
  <c r="L3" i="8" s="1"/>
  <c r="E7" i="1" l="1"/>
  <c r="E8" i="1"/>
  <c r="E9" i="1"/>
  <c r="E10" i="1"/>
  <c r="E11" i="1"/>
  <c r="E12" i="1"/>
  <c r="E13" i="1"/>
  <c r="E14" i="1"/>
  <c r="E15" i="1"/>
  <c r="E16" i="1"/>
  <c r="E17" i="1"/>
  <c r="E18" i="1"/>
  <c r="E4" i="1" l="1"/>
  <c r="E5" i="1"/>
  <c r="E3" i="1"/>
</calcChain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26/5/26
</t>
        </r>
      </text>
    </comment>
    <comment ref="D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T3
</t>
        </r>
      </text>
    </comment>
    <comment ref="E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D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T3
</t>
        </r>
      </text>
    </comment>
    <comment ref="E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25/5/56
</t>
        </r>
      </text>
    </comment>
    <comment ref="D6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T3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Cty 15 cái 
Hawaco nợ 1 cái
25/5/26
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Nhận ngày 24/7/26
</t>
        </r>
      </text>
    </comment>
    <comment ref="H6" authorId="0">
      <text>
        <r>
          <rPr>
            <b/>
            <sz val="9"/>
            <color indexed="81"/>
            <rFont val="Tahoma"/>
            <charset val="1"/>
          </rPr>
          <t>Admin:</t>
        </r>
        <r>
          <rPr>
            <sz val="9"/>
            <color indexed="81"/>
            <rFont val="Tahoma"/>
            <charset val="1"/>
          </rPr>
          <t xml:space="preserve">
Tạm ứng ngoài HĐ 15/8/2026
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T3
</t>
        </r>
      </text>
    </comment>
    <comment ref="C8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 cái Tháng 3
</t>
        </r>
      </text>
    </comment>
    <comment ref="D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T3
</t>
        </r>
      </text>
    </comment>
    <comment ref="E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T3
</t>
        </r>
      </text>
    </comment>
    <comment ref="E1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nhập kho Tháng 6</t>
        </r>
      </text>
    </comment>
    <comment ref="F1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Gửi 19/6
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nhập kho Tháng 6</t>
        </r>
      </text>
    </comment>
    <comment ref="E14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Đã nhập kho Tháng 6
</t>
        </r>
      </text>
    </comment>
    <comment ref="E15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E16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E17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</t>
        </r>
      </text>
    </comment>
    <comment ref="G17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Nhận ngày 23/7/26
</t>
        </r>
      </text>
    </comment>
    <comment ref="E18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E19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E20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Gửi 19/6</t>
        </r>
      </text>
    </comment>
    <comment ref="E2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  <comment ref="F22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Gửi 19/6
</t>
        </r>
      </text>
    </comment>
    <comment ref="E23" authorId="0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Nhập kho 25/5/26
</t>
        </r>
      </text>
    </comment>
  </commentList>
</comments>
</file>

<file path=xl/sharedStrings.xml><?xml version="1.0" encoding="utf-8"?>
<sst xmlns="http://schemas.openxmlformats.org/spreadsheetml/2006/main" count="253" uniqueCount="62">
  <si>
    <t>Stt</t>
  </si>
  <si>
    <t>Tên vật tư</t>
  </si>
  <si>
    <t>Số lượng</t>
  </si>
  <si>
    <t>Ghi chú</t>
  </si>
  <si>
    <t xml:space="preserve">Ngày nhận </t>
  </si>
  <si>
    <t>Đồng hồ Multimag DN15 mm</t>
  </si>
  <si>
    <t>Đồng hồ Woltex DN65 mm</t>
  </si>
  <si>
    <t>Đồng hồ Woltex DN100 mm</t>
  </si>
  <si>
    <t xml:space="preserve">Nắp đồng hồ </t>
  </si>
  <si>
    <t>Chụp xoay</t>
  </si>
  <si>
    <t>Mặt số</t>
  </si>
  <si>
    <t>Cánh quạt ( chong chóng )</t>
  </si>
  <si>
    <t>Buồng đo</t>
  </si>
  <si>
    <t>Gioăng nắp chặn trên BĐ</t>
  </si>
  <si>
    <t>Bộ phận kháng từ</t>
  </si>
  <si>
    <t>Ốc chặn nút chỉnh</t>
  </si>
  <si>
    <t>Vít tinh chỉnh</t>
  </si>
  <si>
    <t>Gioăng  buồng đo</t>
  </si>
  <si>
    <t>Gioăng ốc chặn nút chỉnh</t>
  </si>
  <si>
    <t>Nắp chặn trên BĐ</t>
  </si>
  <si>
    <t>Đã gửi trước</t>
  </si>
  <si>
    <t>Tổng số</t>
  </si>
  <si>
    <t>Đồng hồ Woltex DN80 mm</t>
  </si>
  <si>
    <r>
      <t>THEO DÕI NHẬP VẬT TƯ NHẬN THỰC TẾ NĂM 2026</t>
    </r>
    <r>
      <rPr>
        <b/>
        <sz val="14"/>
        <rFont val="Times New Roman"/>
        <family val="1"/>
      </rPr>
      <t xml:space="preserve"> ( Tạm ứng lần 1)</t>
    </r>
  </si>
  <si>
    <t>Đông đặt 1.200</t>
  </si>
  <si>
    <t>Đã có GCN &amp; CO,CQ, đã làm hợp đồng 1 cái xuất XN số 2</t>
  </si>
  <si>
    <t>Đồng hồ Flodis DN25 mm</t>
  </si>
  <si>
    <t>Đồng hồ Flodis DN32 mm</t>
  </si>
  <si>
    <t>Đồng hồ Woltex DN150 mm</t>
  </si>
  <si>
    <t>Ngày 24/3/2026</t>
  </si>
  <si>
    <r>
      <t>THEO DÕI NHẬP VẬT TƯ NHẬN THỰC TẾ NĂM 2026</t>
    </r>
    <r>
      <rPr>
        <b/>
        <sz val="14"/>
        <rFont val="Times New Roman"/>
        <family val="1"/>
      </rPr>
      <t xml:space="preserve"> ( Nhận lần 2)</t>
    </r>
  </si>
  <si>
    <r>
      <t>THEO DÕI NHẬP VẬT TƯ NHẬN THỰC TẾ NĂM 2026</t>
    </r>
    <r>
      <rPr>
        <b/>
        <sz val="14"/>
        <rFont val="Times New Roman"/>
        <family val="1"/>
      </rPr>
      <t xml:space="preserve"> ( Nhận lần 3)</t>
    </r>
  </si>
  <si>
    <t>21/4/26</t>
  </si>
  <si>
    <t>Gửi xe khách</t>
  </si>
  <si>
    <r>
      <t xml:space="preserve">Đồng hồ </t>
    </r>
    <r>
      <rPr>
        <sz val="14"/>
        <color rgb="FFFF0000"/>
        <rFont val="Times New Roman"/>
        <family val="1"/>
      </rPr>
      <t>Flostar</t>
    </r>
    <r>
      <rPr>
        <sz val="14"/>
        <color theme="1"/>
        <rFont val="Times New Roman"/>
        <family val="2"/>
      </rPr>
      <t xml:space="preserve"> DN40 mm</t>
    </r>
  </si>
  <si>
    <t>22/5/26</t>
  </si>
  <si>
    <t>Lần 1</t>
  </si>
  <si>
    <t>Lần 2</t>
  </si>
  <si>
    <t>Lần 3</t>
  </si>
  <si>
    <t>Lần 4</t>
  </si>
  <si>
    <t>Lần 5</t>
  </si>
  <si>
    <t>Lần 6</t>
  </si>
  <si>
    <t>Tổng</t>
  </si>
  <si>
    <t>Đồng hồ Woltex DN200 mm</t>
  </si>
  <si>
    <r>
      <t>THEO DÕI NHẬP VẬT TƯ NHẬN THỰC TẾ NĂM 2026</t>
    </r>
    <r>
      <rPr>
        <b/>
        <sz val="14"/>
        <rFont val="Times New Roman"/>
        <family val="1"/>
      </rPr>
      <t xml:space="preserve"> </t>
    </r>
  </si>
  <si>
    <t>Đã nhập kho Cty 30/3/26</t>
  </si>
  <si>
    <r>
      <t xml:space="preserve">Đồng hồ </t>
    </r>
    <r>
      <rPr>
        <sz val="14"/>
        <color rgb="FFFF0000"/>
        <rFont val="Times New Roman"/>
        <family val="1"/>
      </rPr>
      <t xml:space="preserve">Flostar </t>
    </r>
    <r>
      <rPr>
        <sz val="14"/>
        <color theme="1"/>
        <rFont val="Times New Roman"/>
        <family val="2"/>
      </rPr>
      <t>DN40 mm</t>
    </r>
  </si>
  <si>
    <t>19/6/26</t>
  </si>
  <si>
    <r>
      <t xml:space="preserve">Đồng hồ </t>
    </r>
    <r>
      <rPr>
        <b/>
        <sz val="14"/>
        <color rgb="FFFF0000"/>
        <rFont val="Times New Roman"/>
        <family val="1"/>
      </rPr>
      <t>Flostar</t>
    </r>
    <r>
      <rPr>
        <sz val="14"/>
        <color theme="1"/>
        <rFont val="Times New Roman"/>
        <family val="2"/>
      </rPr>
      <t xml:space="preserve"> DN40 mm</t>
    </r>
  </si>
  <si>
    <r>
      <t xml:space="preserve">Đồng hồ </t>
    </r>
    <r>
      <rPr>
        <b/>
        <sz val="14"/>
        <color theme="1"/>
        <rFont val="Times New Roman"/>
        <family val="1"/>
      </rPr>
      <t xml:space="preserve">Flodis </t>
    </r>
    <r>
      <rPr>
        <sz val="14"/>
        <color theme="1"/>
        <rFont val="Times New Roman"/>
        <family val="2"/>
      </rPr>
      <t>DN25 mm</t>
    </r>
  </si>
  <si>
    <r>
      <t xml:space="preserve">Đồng hồ </t>
    </r>
    <r>
      <rPr>
        <b/>
        <sz val="14"/>
        <color theme="1"/>
        <rFont val="Times New Roman"/>
        <family val="1"/>
      </rPr>
      <t>Flodis</t>
    </r>
    <r>
      <rPr>
        <sz val="14"/>
        <color theme="1"/>
        <rFont val="Times New Roman"/>
        <family val="2"/>
      </rPr>
      <t xml:space="preserve"> DN32 mm</t>
    </r>
  </si>
  <si>
    <t>23/7/26</t>
  </si>
  <si>
    <t>Kế Hoạch</t>
  </si>
  <si>
    <t>So Kế Hoạch</t>
  </si>
  <si>
    <t>Dư KH</t>
  </si>
  <si>
    <t>Đủ KH</t>
  </si>
  <si>
    <t>24/7/26</t>
  </si>
  <si>
    <r>
      <t>THEO DÕI NHẬP VẬT TƯ NHẬN THỰC TẾ NĂM 2026</t>
    </r>
    <r>
      <rPr>
        <b/>
        <sz val="14"/>
        <rFont val="Times New Roman"/>
        <family val="1"/>
      </rPr>
      <t xml:space="preserve"> ( Nhận lần 5)</t>
    </r>
  </si>
  <si>
    <r>
      <t>THEO DÕI NHẬP VẬT TƯ NHẬN THỰC TẾ NĂM 2026</t>
    </r>
    <r>
      <rPr>
        <b/>
        <sz val="14"/>
        <rFont val="Times New Roman"/>
        <family val="1"/>
      </rPr>
      <t xml:space="preserve"> ( Nhận lần 4)</t>
    </r>
  </si>
  <si>
    <t>15/8/2026</t>
  </si>
  <si>
    <t>Tạm ứng ngoài</t>
  </si>
  <si>
    <r>
      <t>THEO DÕI NHẬP VẬT TƯ NHẬN THỰC TẾ NĂM 2026</t>
    </r>
    <r>
      <rPr>
        <b/>
        <sz val="14"/>
        <rFont val="Times New Roman"/>
        <family val="1"/>
      </rPr>
      <t xml:space="preserve"> ( Nhận lần 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</si>
</sst>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2"/>
    </font>
    <font>
      <sz val="14"/>
      <name val="Times New Roman"/>
      <family val="2"/>
    </font>
    <font>
      <b/>
      <sz val="14"/>
      <name val="Times New Roman"/>
      <family val="1"/>
    </font>
    <font>
      <b/>
      <sz val="14"/>
      <color rgb="FF00B050"/>
      <name val="Times New Roman"/>
      <family val="1"/>
    </font>
    <font>
      <b/>
      <i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4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4"/>
      <color theme="1"/>
      <name val="Times New Roman"/>
      <family val="1"/>
    </font>
    <font>
      <b/>
      <sz val="14"/>
      <color theme="1"/>
      <name val="Times New Roman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5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 applyAlignment="1">
      <alignment horizontal="center"/>
    </xf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8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C7" sqref="C7"/>
    </sheetView>
  </sheetViews>
  <sheetFormatPr defaultRowHeight="18.75" x14ac:dyDescent="0.3"/>
  <cols>
    <col min="1" max="1" width="6.33203125" customWidth="1"/>
    <col min="2" max="2" width="25.88671875" customWidth="1"/>
    <col min="3" max="4" width="9" customWidth="1"/>
    <col min="5" max="5" width="12.44140625" customWidth="1"/>
    <col min="6" max="6" width="11.88671875" customWidth="1"/>
    <col min="7" max="7" width="29.77734375" customWidth="1"/>
  </cols>
  <sheetData>
    <row r="1" spans="1:7" ht="25.5" customHeight="1" x14ac:dyDescent="0.3">
      <c r="A1" s="38" t="s">
        <v>23</v>
      </c>
      <c r="B1" s="39"/>
      <c r="C1" s="39"/>
      <c r="D1" s="39"/>
      <c r="E1" s="39"/>
      <c r="F1" s="39"/>
      <c r="G1" s="39"/>
    </row>
    <row r="2" spans="1:7" ht="36" customHeight="1" x14ac:dyDescent="0.3">
      <c r="A2" s="4" t="s">
        <v>0</v>
      </c>
      <c r="B2" s="4" t="s">
        <v>1</v>
      </c>
      <c r="C2" s="15" t="s">
        <v>2</v>
      </c>
      <c r="D2" s="15" t="s">
        <v>20</v>
      </c>
      <c r="E2" s="4" t="s">
        <v>21</v>
      </c>
      <c r="F2" s="4" t="s">
        <v>4</v>
      </c>
      <c r="G2" s="4" t="s">
        <v>3</v>
      </c>
    </row>
    <row r="3" spans="1:7" ht="19.5" customHeight="1" x14ac:dyDescent="0.3">
      <c r="A3" s="2">
        <v>1</v>
      </c>
      <c r="B3" s="1" t="s">
        <v>5</v>
      </c>
      <c r="C3" s="3">
        <v>500</v>
      </c>
      <c r="D3" s="3"/>
      <c r="E3" s="11">
        <f>C3+D3</f>
        <v>500</v>
      </c>
      <c r="F3" s="5">
        <v>45849</v>
      </c>
      <c r="G3" s="1"/>
    </row>
    <row r="4" spans="1:7" ht="19.5" customHeight="1" x14ac:dyDescent="0.3">
      <c r="A4" s="2">
        <v>2</v>
      </c>
      <c r="B4" s="1" t="s">
        <v>6</v>
      </c>
      <c r="C4" s="3">
        <v>2</v>
      </c>
      <c r="D4" s="3"/>
      <c r="E4" s="11">
        <f t="shared" ref="E4:E5" si="0">C4+D4</f>
        <v>2</v>
      </c>
      <c r="F4" s="5">
        <v>45849</v>
      </c>
      <c r="G4" s="1"/>
    </row>
    <row r="5" spans="1:7" ht="19.5" customHeight="1" x14ac:dyDescent="0.3">
      <c r="A5" s="2">
        <v>3</v>
      </c>
      <c r="B5" s="7" t="s">
        <v>22</v>
      </c>
      <c r="C5" s="6"/>
      <c r="D5" s="6">
        <v>4</v>
      </c>
      <c r="E5" s="11">
        <f t="shared" si="0"/>
        <v>4</v>
      </c>
      <c r="F5" s="5"/>
      <c r="G5" s="1"/>
    </row>
    <row r="6" spans="1:7" ht="36.75" customHeight="1" x14ac:dyDescent="0.3">
      <c r="A6" s="2">
        <v>4</v>
      </c>
      <c r="B6" s="10" t="s">
        <v>7</v>
      </c>
      <c r="C6" s="9">
        <v>4</v>
      </c>
      <c r="D6" s="9"/>
      <c r="E6" s="11">
        <v>4</v>
      </c>
      <c r="F6" s="5">
        <v>45849</v>
      </c>
      <c r="G6" s="14" t="s">
        <v>25</v>
      </c>
    </row>
    <row r="7" spans="1:7" ht="19.5" customHeight="1" x14ac:dyDescent="0.3">
      <c r="A7" s="2">
        <v>5</v>
      </c>
      <c r="B7" s="1" t="s">
        <v>8</v>
      </c>
      <c r="C7" s="3">
        <v>4500</v>
      </c>
      <c r="D7" s="3"/>
      <c r="E7" s="11">
        <f t="shared" ref="E7:E18" si="1">C7+D7</f>
        <v>4500</v>
      </c>
      <c r="F7" s="5">
        <v>45849</v>
      </c>
      <c r="G7" s="1"/>
    </row>
    <row r="8" spans="1:7" ht="19.5" customHeight="1" x14ac:dyDescent="0.3">
      <c r="A8" s="2">
        <v>6</v>
      </c>
      <c r="B8" s="1" t="s">
        <v>9</v>
      </c>
      <c r="C8" s="3">
        <v>4500</v>
      </c>
      <c r="D8" s="3"/>
      <c r="E8" s="11">
        <f t="shared" si="1"/>
        <v>4500</v>
      </c>
      <c r="F8" s="5">
        <v>45849</v>
      </c>
      <c r="G8" s="1"/>
    </row>
    <row r="9" spans="1:7" ht="19.5" customHeight="1" x14ac:dyDescent="0.3">
      <c r="A9" s="2">
        <v>7</v>
      </c>
      <c r="B9" s="1" t="s">
        <v>10</v>
      </c>
      <c r="C9" s="3">
        <v>2500</v>
      </c>
      <c r="D9" s="3"/>
      <c r="E9" s="11">
        <f t="shared" si="1"/>
        <v>2500</v>
      </c>
      <c r="F9" s="5">
        <v>45849</v>
      </c>
      <c r="G9" s="1"/>
    </row>
    <row r="10" spans="1:7" ht="19.5" customHeight="1" x14ac:dyDescent="0.3">
      <c r="A10" s="2">
        <v>8</v>
      </c>
      <c r="B10" s="1" t="s">
        <v>19</v>
      </c>
      <c r="C10" s="3">
        <v>800</v>
      </c>
      <c r="D10" s="3"/>
      <c r="E10" s="11">
        <f t="shared" si="1"/>
        <v>800</v>
      </c>
      <c r="F10" s="5">
        <v>45849</v>
      </c>
      <c r="G10" s="1"/>
    </row>
    <row r="11" spans="1:7" ht="19.5" customHeight="1" x14ac:dyDescent="0.3">
      <c r="A11" s="2">
        <v>9</v>
      </c>
      <c r="B11" s="1" t="s">
        <v>11</v>
      </c>
      <c r="C11" s="3">
        <v>4500</v>
      </c>
      <c r="D11" s="3"/>
      <c r="E11" s="11">
        <f t="shared" si="1"/>
        <v>4500</v>
      </c>
      <c r="F11" s="5">
        <v>45849</v>
      </c>
      <c r="G11" s="1"/>
    </row>
    <row r="12" spans="1:7" ht="19.5" customHeight="1" x14ac:dyDescent="0.3">
      <c r="A12" s="2">
        <v>10</v>
      </c>
      <c r="B12" s="1" t="s">
        <v>12</v>
      </c>
      <c r="C12" s="3">
        <v>4500</v>
      </c>
      <c r="D12" s="3"/>
      <c r="E12" s="11">
        <f t="shared" si="1"/>
        <v>4500</v>
      </c>
      <c r="F12" s="5">
        <v>45849</v>
      </c>
      <c r="G12" s="1"/>
    </row>
    <row r="13" spans="1:7" ht="19.5" customHeight="1" x14ac:dyDescent="0.3">
      <c r="A13" s="2">
        <v>11</v>
      </c>
      <c r="B13" s="1" t="s">
        <v>13</v>
      </c>
      <c r="C13" s="3">
        <v>4500</v>
      </c>
      <c r="D13" s="3"/>
      <c r="E13" s="11">
        <f t="shared" si="1"/>
        <v>4500</v>
      </c>
      <c r="F13" s="5">
        <v>45849</v>
      </c>
      <c r="G13" s="1"/>
    </row>
    <row r="14" spans="1:7" ht="19.5" customHeight="1" x14ac:dyDescent="0.3">
      <c r="A14" s="2">
        <v>12</v>
      </c>
      <c r="B14" s="1" t="s">
        <v>14</v>
      </c>
      <c r="C14" s="3">
        <v>2500</v>
      </c>
      <c r="D14" s="3"/>
      <c r="E14" s="11">
        <f t="shared" si="1"/>
        <v>2500</v>
      </c>
      <c r="F14" s="5">
        <v>45849</v>
      </c>
      <c r="G14" s="1"/>
    </row>
    <row r="15" spans="1:7" ht="19.5" customHeight="1" x14ac:dyDescent="0.3">
      <c r="A15" s="12">
        <v>13</v>
      </c>
      <c r="B15" s="1" t="s">
        <v>15</v>
      </c>
      <c r="C15" s="3">
        <v>2000</v>
      </c>
      <c r="D15" s="3"/>
      <c r="E15" s="11">
        <f t="shared" si="1"/>
        <v>2000</v>
      </c>
      <c r="F15" s="5">
        <v>45849</v>
      </c>
      <c r="G15" s="7"/>
    </row>
    <row r="16" spans="1:7" ht="19.5" customHeight="1" x14ac:dyDescent="0.3">
      <c r="A16" s="12">
        <v>14</v>
      </c>
      <c r="B16" s="7" t="s">
        <v>16</v>
      </c>
      <c r="C16" s="9">
        <v>500</v>
      </c>
      <c r="D16" s="6">
        <v>4000</v>
      </c>
      <c r="E16" s="11">
        <f t="shared" si="1"/>
        <v>4500</v>
      </c>
      <c r="F16" s="8">
        <v>45849</v>
      </c>
      <c r="G16" s="7"/>
    </row>
    <row r="17" spans="1:7" ht="19.5" customHeight="1" x14ac:dyDescent="0.3">
      <c r="A17" s="2">
        <v>15</v>
      </c>
      <c r="B17" s="7" t="s">
        <v>17</v>
      </c>
      <c r="C17" s="9">
        <v>500</v>
      </c>
      <c r="D17" s="6">
        <v>4000</v>
      </c>
      <c r="E17" s="11">
        <f t="shared" si="1"/>
        <v>4500</v>
      </c>
      <c r="F17" s="8">
        <v>45849</v>
      </c>
      <c r="G17" s="1"/>
    </row>
    <row r="18" spans="1:7" ht="19.5" customHeight="1" x14ac:dyDescent="0.35">
      <c r="A18" s="2">
        <v>16</v>
      </c>
      <c r="B18" s="10" t="s">
        <v>18</v>
      </c>
      <c r="C18" s="3">
        <v>2000</v>
      </c>
      <c r="D18" s="3"/>
      <c r="E18" s="11">
        <f t="shared" si="1"/>
        <v>2000</v>
      </c>
      <c r="F18" s="5">
        <v>45849</v>
      </c>
      <c r="G18" s="13" t="s">
        <v>24</v>
      </c>
    </row>
  </sheetData>
  <mergeCells count="1">
    <mergeCell ref="A1:G1"/>
  </mergeCells>
  <pageMargins left="0.7" right="0.51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20" sqref="D20"/>
    </sheetView>
  </sheetViews>
  <sheetFormatPr defaultRowHeight="18.75" x14ac:dyDescent="0.3"/>
  <cols>
    <col min="1" max="1" width="6.33203125" customWidth="1"/>
    <col min="2" max="2" width="25.88671875" customWidth="1"/>
    <col min="3" max="5" width="12.44140625" customWidth="1"/>
    <col min="6" max="7" width="22.88671875" customWidth="1"/>
  </cols>
  <sheetData>
    <row r="1" spans="1:7" ht="25.5" customHeight="1" x14ac:dyDescent="0.3">
      <c r="A1" s="38" t="s">
        <v>30</v>
      </c>
      <c r="B1" s="39"/>
      <c r="C1" s="39"/>
      <c r="D1" s="39"/>
      <c r="E1" s="39"/>
      <c r="F1" s="39"/>
      <c r="G1" s="39"/>
    </row>
    <row r="2" spans="1:7" ht="26.25" customHeight="1" x14ac:dyDescent="0.3">
      <c r="A2" s="4" t="s">
        <v>0</v>
      </c>
      <c r="B2" s="4" t="s">
        <v>1</v>
      </c>
      <c r="C2" s="4" t="s">
        <v>2</v>
      </c>
      <c r="D2" s="4" t="s">
        <v>20</v>
      </c>
      <c r="E2" s="4" t="s">
        <v>21</v>
      </c>
      <c r="F2" s="4" t="s">
        <v>4</v>
      </c>
      <c r="G2" s="4" t="s">
        <v>3</v>
      </c>
    </row>
    <row r="3" spans="1:7" ht="19.5" customHeight="1" x14ac:dyDescent="0.3">
      <c r="A3" s="2">
        <v>1</v>
      </c>
      <c r="B3" s="1" t="s">
        <v>5</v>
      </c>
      <c r="C3" s="3">
        <v>1000</v>
      </c>
      <c r="D3" s="3"/>
      <c r="E3" s="11">
        <v>1000</v>
      </c>
      <c r="F3" s="5" t="s">
        <v>29</v>
      </c>
      <c r="G3" s="20" t="s">
        <v>45</v>
      </c>
    </row>
    <row r="4" spans="1:7" ht="19.5" customHeight="1" x14ac:dyDescent="0.3">
      <c r="A4" s="2">
        <v>2</v>
      </c>
      <c r="B4" s="1" t="s">
        <v>26</v>
      </c>
      <c r="C4" s="3">
        <v>5</v>
      </c>
      <c r="D4" s="3"/>
      <c r="E4" s="11">
        <v>5</v>
      </c>
      <c r="F4" s="5" t="s">
        <v>29</v>
      </c>
      <c r="G4" s="20" t="s">
        <v>45</v>
      </c>
    </row>
    <row r="5" spans="1:7" ht="19.5" customHeight="1" x14ac:dyDescent="0.3">
      <c r="A5" s="2">
        <v>3</v>
      </c>
      <c r="B5" s="1" t="s">
        <v>27</v>
      </c>
      <c r="C5" s="9">
        <v>5</v>
      </c>
      <c r="D5" s="6"/>
      <c r="E5" s="11">
        <v>5</v>
      </c>
      <c r="F5" s="5" t="s">
        <v>29</v>
      </c>
      <c r="G5" s="20" t="s">
        <v>45</v>
      </c>
    </row>
    <row r="6" spans="1:7" ht="19.5" customHeight="1" x14ac:dyDescent="0.3">
      <c r="A6" s="2">
        <v>4</v>
      </c>
      <c r="B6" s="1" t="s">
        <v>46</v>
      </c>
      <c r="C6" s="9">
        <v>5</v>
      </c>
      <c r="D6" s="9"/>
      <c r="E6" s="11">
        <v>5</v>
      </c>
      <c r="F6" s="5" t="s">
        <v>29</v>
      </c>
      <c r="G6" s="20" t="s">
        <v>45</v>
      </c>
    </row>
    <row r="7" spans="1:7" ht="19.5" customHeight="1" x14ac:dyDescent="0.3">
      <c r="A7" s="2">
        <v>5</v>
      </c>
      <c r="B7" s="1" t="s">
        <v>6</v>
      </c>
      <c r="C7" s="3">
        <v>2</v>
      </c>
      <c r="D7" s="3"/>
      <c r="E7" s="11">
        <v>2</v>
      </c>
      <c r="F7" s="5" t="s">
        <v>29</v>
      </c>
      <c r="G7" s="20" t="s">
        <v>45</v>
      </c>
    </row>
    <row r="8" spans="1:7" ht="19.5" customHeight="1" x14ac:dyDescent="0.3">
      <c r="A8" s="2">
        <v>6</v>
      </c>
      <c r="B8" s="10" t="s">
        <v>7</v>
      </c>
      <c r="C8" s="3">
        <v>2</v>
      </c>
      <c r="D8" s="3"/>
      <c r="E8" s="11">
        <v>2</v>
      </c>
      <c r="F8" s="5" t="s">
        <v>29</v>
      </c>
      <c r="G8" s="20" t="s">
        <v>45</v>
      </c>
    </row>
    <row r="9" spans="1:7" ht="19.5" customHeight="1" x14ac:dyDescent="0.3">
      <c r="A9" s="2">
        <v>7</v>
      </c>
      <c r="B9" s="10" t="s">
        <v>28</v>
      </c>
      <c r="C9" s="3">
        <v>2</v>
      </c>
      <c r="D9" s="3"/>
      <c r="E9" s="11">
        <v>2</v>
      </c>
      <c r="F9" s="5" t="s">
        <v>29</v>
      </c>
      <c r="G9" s="20" t="s">
        <v>45</v>
      </c>
    </row>
  </sheetData>
  <mergeCells count="1">
    <mergeCell ref="A1:G1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C10" sqref="C10"/>
    </sheetView>
  </sheetViews>
  <sheetFormatPr defaultRowHeight="18.75" x14ac:dyDescent="0.3"/>
  <cols>
    <col min="1" max="1" width="6.33203125" customWidth="1"/>
    <col min="2" max="2" width="25.88671875" customWidth="1"/>
    <col min="3" max="5" width="12.44140625" customWidth="1"/>
    <col min="6" max="7" width="13.109375" customWidth="1"/>
  </cols>
  <sheetData>
    <row r="1" spans="1:7" ht="25.5" customHeight="1" x14ac:dyDescent="0.3">
      <c r="A1" s="38" t="s">
        <v>31</v>
      </c>
      <c r="B1" s="39"/>
      <c r="C1" s="39"/>
      <c r="D1" s="39"/>
      <c r="E1" s="39"/>
      <c r="F1" s="39"/>
      <c r="G1" s="39"/>
    </row>
    <row r="2" spans="1:7" ht="26.25" customHeight="1" x14ac:dyDescent="0.3">
      <c r="A2" s="4" t="s">
        <v>0</v>
      </c>
      <c r="B2" s="4" t="s">
        <v>1</v>
      </c>
      <c r="C2" s="4" t="s">
        <v>2</v>
      </c>
      <c r="D2" s="4" t="s">
        <v>20</v>
      </c>
      <c r="E2" s="4" t="s">
        <v>21</v>
      </c>
      <c r="F2" s="4" t="s">
        <v>4</v>
      </c>
      <c r="G2" s="4" t="s">
        <v>3</v>
      </c>
    </row>
    <row r="3" spans="1:7" ht="19.5" customHeight="1" x14ac:dyDescent="0.3">
      <c r="A3" s="2">
        <v>1</v>
      </c>
      <c r="B3" s="1" t="s">
        <v>5</v>
      </c>
      <c r="C3" s="3">
        <v>500</v>
      </c>
      <c r="D3" s="3"/>
      <c r="E3" s="11">
        <v>500</v>
      </c>
      <c r="F3" s="5" t="s">
        <v>35</v>
      </c>
      <c r="G3" s="1"/>
    </row>
    <row r="4" spans="1:7" ht="19.5" customHeight="1" x14ac:dyDescent="0.3">
      <c r="A4" s="2">
        <v>2</v>
      </c>
      <c r="B4" s="1" t="s">
        <v>26</v>
      </c>
      <c r="C4" s="3">
        <v>15</v>
      </c>
      <c r="D4" s="3"/>
      <c r="E4" s="11">
        <v>15</v>
      </c>
      <c r="F4" s="5" t="s">
        <v>35</v>
      </c>
      <c r="G4" s="1"/>
    </row>
    <row r="5" spans="1:7" ht="19.5" customHeight="1" x14ac:dyDescent="0.3">
      <c r="A5" s="2">
        <v>3</v>
      </c>
      <c r="B5" s="1" t="s">
        <v>27</v>
      </c>
      <c r="C5" s="3">
        <v>35</v>
      </c>
      <c r="D5" s="3"/>
      <c r="E5" s="11">
        <v>35</v>
      </c>
      <c r="F5" s="5" t="s">
        <v>35</v>
      </c>
      <c r="G5" s="1"/>
    </row>
    <row r="6" spans="1:7" ht="19.5" customHeight="1" x14ac:dyDescent="0.3">
      <c r="A6" s="2">
        <v>4</v>
      </c>
      <c r="B6" s="1" t="s">
        <v>34</v>
      </c>
      <c r="C6" s="3">
        <v>14</v>
      </c>
      <c r="D6" s="3"/>
      <c r="E6" s="11">
        <v>14</v>
      </c>
      <c r="F6" s="5" t="s">
        <v>35</v>
      </c>
      <c r="G6" s="1"/>
    </row>
    <row r="7" spans="1:7" ht="19.5" customHeight="1" x14ac:dyDescent="0.3">
      <c r="A7" s="2">
        <v>5</v>
      </c>
      <c r="B7" s="1" t="s">
        <v>6</v>
      </c>
      <c r="C7" s="3"/>
      <c r="D7" s="3"/>
      <c r="E7" s="11"/>
      <c r="F7" s="5" t="s">
        <v>35</v>
      </c>
      <c r="G7" s="1"/>
    </row>
    <row r="8" spans="1:7" ht="19.5" customHeight="1" x14ac:dyDescent="0.3">
      <c r="A8" s="2">
        <v>6</v>
      </c>
      <c r="B8" s="10" t="s">
        <v>22</v>
      </c>
      <c r="C8" s="6"/>
      <c r="D8" s="6"/>
      <c r="E8" s="11"/>
      <c r="F8" s="5" t="s">
        <v>35</v>
      </c>
      <c r="G8" s="1"/>
    </row>
    <row r="9" spans="1:7" ht="19.5" customHeight="1" x14ac:dyDescent="0.3">
      <c r="A9" s="2">
        <v>7</v>
      </c>
      <c r="B9" s="10" t="s">
        <v>7</v>
      </c>
      <c r="C9" s="9">
        <v>2</v>
      </c>
      <c r="D9" s="9"/>
      <c r="E9" s="11">
        <v>2</v>
      </c>
      <c r="F9" s="5" t="s">
        <v>35</v>
      </c>
      <c r="G9" s="7"/>
    </row>
    <row r="10" spans="1:7" ht="19.5" customHeight="1" x14ac:dyDescent="0.3">
      <c r="A10" s="2">
        <v>8</v>
      </c>
      <c r="B10" s="1" t="s">
        <v>8</v>
      </c>
      <c r="C10" s="3">
        <v>1000</v>
      </c>
      <c r="D10" s="3"/>
      <c r="E10" s="11">
        <v>1000</v>
      </c>
      <c r="F10" s="5" t="s">
        <v>35</v>
      </c>
      <c r="G10" s="1"/>
    </row>
    <row r="11" spans="1:7" ht="19.5" customHeight="1" x14ac:dyDescent="0.3">
      <c r="A11" s="2">
        <v>9</v>
      </c>
      <c r="B11" s="1" t="s">
        <v>9</v>
      </c>
      <c r="C11" s="3">
        <v>1000</v>
      </c>
      <c r="D11" s="3"/>
      <c r="E11" s="11">
        <v>1000</v>
      </c>
      <c r="F11" s="5" t="s">
        <v>35</v>
      </c>
      <c r="G11" s="1"/>
    </row>
    <row r="12" spans="1:7" ht="19.5" customHeight="1" x14ac:dyDescent="0.3">
      <c r="A12" s="2">
        <v>10</v>
      </c>
      <c r="B12" s="1" t="s">
        <v>10</v>
      </c>
      <c r="C12" s="3">
        <v>1000</v>
      </c>
      <c r="D12" s="3"/>
      <c r="E12" s="11">
        <v>1000</v>
      </c>
      <c r="F12" s="5" t="s">
        <v>35</v>
      </c>
      <c r="G12" s="1"/>
    </row>
    <row r="13" spans="1:7" ht="19.5" customHeight="1" x14ac:dyDescent="0.3">
      <c r="A13" s="2">
        <v>11</v>
      </c>
      <c r="B13" s="1" t="s">
        <v>19</v>
      </c>
      <c r="C13" s="3">
        <v>1000</v>
      </c>
      <c r="D13" s="3"/>
      <c r="E13" s="11">
        <v>1000</v>
      </c>
      <c r="F13" s="5" t="s">
        <v>35</v>
      </c>
      <c r="G13" s="1"/>
    </row>
    <row r="14" spans="1:7" ht="19.5" customHeight="1" x14ac:dyDescent="0.3">
      <c r="A14" s="2">
        <v>12</v>
      </c>
      <c r="B14" s="1" t="s">
        <v>11</v>
      </c>
      <c r="C14" s="3">
        <v>1000</v>
      </c>
      <c r="D14" s="3"/>
      <c r="E14" s="11">
        <v>1000</v>
      </c>
      <c r="F14" s="5" t="s">
        <v>35</v>
      </c>
      <c r="G14" s="1"/>
    </row>
    <row r="15" spans="1:7" ht="19.5" customHeight="1" x14ac:dyDescent="0.3">
      <c r="A15" s="2">
        <v>13</v>
      </c>
      <c r="B15" s="1" t="s">
        <v>12</v>
      </c>
      <c r="C15" s="3">
        <v>1000</v>
      </c>
      <c r="D15" s="3"/>
      <c r="E15" s="11">
        <v>1000</v>
      </c>
      <c r="F15" s="5" t="s">
        <v>35</v>
      </c>
      <c r="G15" s="1"/>
    </row>
    <row r="16" spans="1:7" ht="19.5" customHeight="1" x14ac:dyDescent="0.3">
      <c r="A16" s="2">
        <v>14</v>
      </c>
      <c r="B16" s="1" t="s">
        <v>13</v>
      </c>
      <c r="C16" s="3">
        <v>1000</v>
      </c>
      <c r="D16" s="3"/>
      <c r="E16" s="11">
        <v>1000</v>
      </c>
      <c r="F16" s="5" t="s">
        <v>35</v>
      </c>
      <c r="G16" s="1"/>
    </row>
    <row r="17" spans="1:7" ht="19.5" customHeight="1" x14ac:dyDescent="0.3">
      <c r="A17" s="2">
        <v>15</v>
      </c>
      <c r="B17" s="1" t="s">
        <v>14</v>
      </c>
      <c r="C17" s="3">
        <v>1000</v>
      </c>
      <c r="D17" s="3"/>
      <c r="E17" s="11">
        <v>1000</v>
      </c>
      <c r="F17" s="5" t="s">
        <v>35</v>
      </c>
      <c r="G17" s="1"/>
    </row>
    <row r="18" spans="1:7" ht="19.5" customHeight="1" x14ac:dyDescent="0.3">
      <c r="A18" s="2">
        <v>16</v>
      </c>
      <c r="B18" s="1" t="s">
        <v>15</v>
      </c>
      <c r="C18" s="3">
        <v>1000</v>
      </c>
      <c r="D18" s="3"/>
      <c r="E18" s="11">
        <v>1000</v>
      </c>
      <c r="F18" s="5" t="s">
        <v>35</v>
      </c>
      <c r="G18" s="7"/>
    </row>
    <row r="19" spans="1:7" ht="19.5" customHeight="1" x14ac:dyDescent="0.3">
      <c r="A19" s="2">
        <v>17</v>
      </c>
      <c r="B19" s="7" t="s">
        <v>16</v>
      </c>
      <c r="C19" s="6">
        <v>1000</v>
      </c>
      <c r="D19" s="6"/>
      <c r="E19" s="17">
        <v>1000</v>
      </c>
      <c r="F19" s="16" t="s">
        <v>32</v>
      </c>
      <c r="G19" s="7" t="s">
        <v>33</v>
      </c>
    </row>
    <row r="20" spans="1:7" ht="19.5" customHeight="1" x14ac:dyDescent="0.3">
      <c r="A20" s="2">
        <v>18</v>
      </c>
      <c r="B20" s="10" t="s">
        <v>17</v>
      </c>
      <c r="C20" s="9">
        <v>1000</v>
      </c>
      <c r="D20" s="6"/>
      <c r="E20" s="11">
        <v>1000</v>
      </c>
      <c r="F20" s="5" t="s">
        <v>35</v>
      </c>
      <c r="G20" s="1"/>
    </row>
    <row r="21" spans="1:7" ht="19.5" customHeight="1" x14ac:dyDescent="0.35">
      <c r="A21" s="2">
        <v>19</v>
      </c>
      <c r="B21" s="10" t="s">
        <v>18</v>
      </c>
      <c r="C21" s="3">
        <v>1000</v>
      </c>
      <c r="D21" s="3"/>
      <c r="E21" s="11">
        <v>1000</v>
      </c>
      <c r="F21" s="5" t="s">
        <v>35</v>
      </c>
      <c r="G21" s="13"/>
    </row>
  </sheetData>
  <mergeCells count="1">
    <mergeCell ref="A1:G1"/>
  </mergeCells>
  <pageMargins left="0.7" right="0.7" top="0.75" bottom="0.75" header="0.3" footer="0.3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J5" sqref="J5"/>
    </sheetView>
  </sheetViews>
  <sheetFormatPr defaultRowHeight="18.75" x14ac:dyDescent="0.3"/>
  <cols>
    <col min="1" max="1" width="6.33203125" customWidth="1"/>
    <col min="2" max="2" width="25.88671875" customWidth="1"/>
    <col min="3" max="5" width="12.44140625" customWidth="1"/>
    <col min="6" max="7" width="13.109375" customWidth="1"/>
  </cols>
  <sheetData>
    <row r="1" spans="1:7" ht="25.5" customHeight="1" x14ac:dyDescent="0.3">
      <c r="A1" s="38" t="s">
        <v>58</v>
      </c>
      <c r="B1" s="39"/>
      <c r="C1" s="39"/>
      <c r="D1" s="39"/>
      <c r="E1" s="39"/>
      <c r="F1" s="39"/>
      <c r="G1" s="39"/>
    </row>
    <row r="2" spans="1:7" ht="26.25" customHeight="1" x14ac:dyDescent="0.3">
      <c r="A2" s="4" t="s">
        <v>0</v>
      </c>
      <c r="B2" s="4" t="s">
        <v>1</v>
      </c>
      <c r="C2" s="4" t="s">
        <v>2</v>
      </c>
      <c r="D2" s="4" t="s">
        <v>20</v>
      </c>
      <c r="E2" s="4" t="s">
        <v>21</v>
      </c>
      <c r="F2" s="4" t="s">
        <v>4</v>
      </c>
      <c r="G2" s="4" t="s">
        <v>3</v>
      </c>
    </row>
    <row r="3" spans="1:7" ht="19.5" customHeight="1" x14ac:dyDescent="0.3">
      <c r="A3" s="2">
        <v>1</v>
      </c>
      <c r="B3" s="1" t="s">
        <v>5</v>
      </c>
      <c r="C3" s="3"/>
      <c r="D3" s="3"/>
      <c r="E3" s="11"/>
      <c r="F3" s="5"/>
      <c r="G3" s="1"/>
    </row>
    <row r="4" spans="1:7" ht="19.5" customHeight="1" x14ac:dyDescent="0.3">
      <c r="A4" s="2">
        <v>2</v>
      </c>
      <c r="B4" s="1" t="s">
        <v>49</v>
      </c>
      <c r="C4" s="3"/>
      <c r="D4" s="3"/>
      <c r="E4" s="11"/>
      <c r="F4" s="5"/>
      <c r="G4" s="1"/>
    </row>
    <row r="5" spans="1:7" ht="19.5" customHeight="1" x14ac:dyDescent="0.3">
      <c r="A5" s="2">
        <v>3</v>
      </c>
      <c r="B5" s="1" t="s">
        <v>50</v>
      </c>
      <c r="C5" s="3"/>
      <c r="D5" s="3"/>
      <c r="E5" s="11"/>
      <c r="F5" s="5"/>
      <c r="G5" s="1"/>
    </row>
    <row r="6" spans="1:7" ht="19.5" customHeight="1" x14ac:dyDescent="0.3">
      <c r="A6" s="2">
        <v>4</v>
      </c>
      <c r="B6" s="1" t="s">
        <v>48</v>
      </c>
      <c r="C6" s="3"/>
      <c r="D6" s="3"/>
      <c r="E6" s="11"/>
      <c r="F6" s="5"/>
      <c r="G6" s="1"/>
    </row>
    <row r="7" spans="1:7" ht="19.5" customHeight="1" x14ac:dyDescent="0.3">
      <c r="A7" s="2">
        <v>5</v>
      </c>
      <c r="B7" s="1" t="s">
        <v>6</v>
      </c>
      <c r="C7" s="3"/>
      <c r="D7" s="3"/>
      <c r="E7" s="11"/>
      <c r="F7" s="5"/>
      <c r="G7" s="1"/>
    </row>
    <row r="8" spans="1:7" ht="19.5" customHeight="1" x14ac:dyDescent="0.3">
      <c r="A8" s="2">
        <v>6</v>
      </c>
      <c r="B8" s="10" t="s">
        <v>22</v>
      </c>
      <c r="C8" s="6"/>
      <c r="D8" s="6"/>
      <c r="E8" s="11"/>
      <c r="F8" s="5"/>
      <c r="G8" s="1"/>
    </row>
    <row r="9" spans="1:7" ht="19.5" customHeight="1" x14ac:dyDescent="0.3">
      <c r="A9" s="2">
        <v>7</v>
      </c>
      <c r="B9" s="10" t="s">
        <v>7</v>
      </c>
      <c r="C9" s="9"/>
      <c r="D9" s="9"/>
      <c r="E9" s="11"/>
      <c r="F9" s="5"/>
      <c r="G9" s="7"/>
    </row>
    <row r="10" spans="1:7" ht="19.5" customHeight="1" x14ac:dyDescent="0.3">
      <c r="A10" s="2">
        <v>8</v>
      </c>
      <c r="B10" s="1" t="s">
        <v>8</v>
      </c>
      <c r="C10" s="25">
        <v>2000</v>
      </c>
      <c r="D10" s="3"/>
      <c r="E10" s="11"/>
      <c r="F10" s="5" t="s">
        <v>47</v>
      </c>
      <c r="G10" s="1"/>
    </row>
    <row r="11" spans="1:7" ht="19.5" customHeight="1" x14ac:dyDescent="0.3">
      <c r="A11" s="2">
        <v>9</v>
      </c>
      <c r="B11" s="1" t="s">
        <v>9</v>
      </c>
      <c r="C11" s="3"/>
      <c r="D11" s="3"/>
      <c r="E11" s="11"/>
      <c r="F11" s="5"/>
      <c r="G11" s="1"/>
    </row>
    <row r="12" spans="1:7" ht="19.5" customHeight="1" x14ac:dyDescent="0.3">
      <c r="A12" s="2">
        <v>10</v>
      </c>
      <c r="B12" s="1" t="s">
        <v>10</v>
      </c>
      <c r="C12" s="3"/>
      <c r="D12" s="3"/>
      <c r="E12" s="11"/>
      <c r="F12" s="5"/>
      <c r="G12" s="1"/>
    </row>
    <row r="13" spans="1:7" ht="19.5" customHeight="1" x14ac:dyDescent="0.3">
      <c r="A13" s="2">
        <v>11</v>
      </c>
      <c r="B13" s="1" t="s">
        <v>19</v>
      </c>
      <c r="C13" s="3"/>
      <c r="D13" s="3"/>
      <c r="E13" s="11"/>
      <c r="F13" s="5"/>
      <c r="G13" s="1"/>
    </row>
    <row r="14" spans="1:7" ht="19.5" customHeight="1" x14ac:dyDescent="0.3">
      <c r="A14" s="2">
        <v>12</v>
      </c>
      <c r="B14" s="1" t="s">
        <v>11</v>
      </c>
      <c r="C14" s="3"/>
      <c r="D14" s="3"/>
      <c r="E14" s="11"/>
      <c r="F14" s="5"/>
      <c r="G14" s="1"/>
    </row>
    <row r="15" spans="1:7" ht="19.5" customHeight="1" x14ac:dyDescent="0.3">
      <c r="A15" s="2">
        <v>13</v>
      </c>
      <c r="B15" s="1" t="s">
        <v>12</v>
      </c>
      <c r="C15" s="25"/>
      <c r="D15" s="3"/>
      <c r="E15" s="11"/>
      <c r="F15" s="5"/>
      <c r="G15" s="1"/>
    </row>
    <row r="16" spans="1:7" ht="19.5" customHeight="1" x14ac:dyDescent="0.3">
      <c r="A16" s="2">
        <v>14</v>
      </c>
      <c r="B16" s="1" t="s">
        <v>13</v>
      </c>
      <c r="C16" s="3"/>
      <c r="D16" s="3"/>
      <c r="E16" s="11"/>
      <c r="F16" s="5"/>
      <c r="G16" s="1"/>
    </row>
    <row r="17" spans="1:7" ht="19.5" customHeight="1" x14ac:dyDescent="0.3">
      <c r="A17" s="2">
        <v>15</v>
      </c>
      <c r="B17" s="1" t="s">
        <v>14</v>
      </c>
      <c r="C17" s="3"/>
      <c r="D17" s="3"/>
      <c r="E17" s="11"/>
      <c r="F17" s="5"/>
      <c r="G17" s="1"/>
    </row>
    <row r="18" spans="1:7" ht="19.5" customHeight="1" x14ac:dyDescent="0.3">
      <c r="A18" s="2">
        <v>16</v>
      </c>
      <c r="B18" s="1" t="s">
        <v>15</v>
      </c>
      <c r="C18" s="3"/>
      <c r="D18" s="3"/>
      <c r="E18" s="11"/>
      <c r="F18" s="5"/>
      <c r="G18" s="7"/>
    </row>
    <row r="19" spans="1:7" ht="19.5" customHeight="1" x14ac:dyDescent="0.3">
      <c r="A19" s="2">
        <v>17</v>
      </c>
      <c r="B19" s="10" t="s">
        <v>16</v>
      </c>
      <c r="C19" s="19">
        <v>2000</v>
      </c>
      <c r="D19" s="6"/>
      <c r="E19" s="17"/>
      <c r="F19" s="8" t="s">
        <v>47</v>
      </c>
      <c r="G19" s="7"/>
    </row>
    <row r="20" spans="1:7" ht="19.5" customHeight="1" x14ac:dyDescent="0.3">
      <c r="A20" s="2">
        <v>18</v>
      </c>
      <c r="B20" s="10" t="s">
        <v>17</v>
      </c>
      <c r="C20" s="19">
        <v>2000</v>
      </c>
      <c r="D20" s="6"/>
      <c r="E20" s="11"/>
      <c r="F20" s="5" t="s">
        <v>47</v>
      </c>
      <c r="G20" s="1"/>
    </row>
    <row r="21" spans="1:7" ht="19.5" customHeight="1" x14ac:dyDescent="0.35">
      <c r="A21" s="2">
        <v>19</v>
      </c>
      <c r="B21" s="10" t="s">
        <v>18</v>
      </c>
      <c r="C21" s="3"/>
      <c r="D21" s="3"/>
      <c r="E21" s="11"/>
      <c r="F21" s="5"/>
      <c r="G21" s="13"/>
    </row>
  </sheetData>
  <mergeCells count="1">
    <mergeCell ref="A1:G1"/>
  </mergeCell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opLeftCell="A7" workbookViewId="0">
      <selection activeCell="C19" sqref="C19"/>
    </sheetView>
  </sheetViews>
  <sheetFormatPr defaultRowHeight="18.75" x14ac:dyDescent="0.3"/>
  <cols>
    <col min="1" max="1" width="6.33203125" customWidth="1"/>
    <col min="2" max="2" width="25.88671875" customWidth="1"/>
    <col min="3" max="5" width="12.44140625" customWidth="1"/>
    <col min="6" max="7" width="13.109375" customWidth="1"/>
  </cols>
  <sheetData>
    <row r="1" spans="1:7" ht="25.5" customHeight="1" x14ac:dyDescent="0.3">
      <c r="A1" s="38" t="s">
        <v>57</v>
      </c>
      <c r="B1" s="39"/>
      <c r="C1" s="39"/>
      <c r="D1" s="39"/>
      <c r="E1" s="39"/>
      <c r="F1" s="39"/>
      <c r="G1" s="39"/>
    </row>
    <row r="2" spans="1:7" ht="26.25" customHeight="1" x14ac:dyDescent="0.3">
      <c r="A2" s="4" t="s">
        <v>0</v>
      </c>
      <c r="B2" s="4" t="s">
        <v>1</v>
      </c>
      <c r="C2" s="4" t="s">
        <v>2</v>
      </c>
      <c r="D2" s="4" t="s">
        <v>20</v>
      </c>
      <c r="E2" s="4" t="s">
        <v>21</v>
      </c>
      <c r="F2" s="4" t="s">
        <v>4</v>
      </c>
      <c r="G2" s="4" t="s">
        <v>3</v>
      </c>
    </row>
    <row r="3" spans="1:7" ht="19.5" customHeight="1" x14ac:dyDescent="0.3">
      <c r="A3" s="2">
        <v>1</v>
      </c>
      <c r="B3" s="1" t="s">
        <v>5</v>
      </c>
      <c r="C3" s="25"/>
      <c r="D3" s="3"/>
      <c r="E3" s="11"/>
      <c r="F3" s="5"/>
      <c r="G3" s="1"/>
    </row>
    <row r="4" spans="1:7" ht="19.5" customHeight="1" x14ac:dyDescent="0.3">
      <c r="A4" s="2">
        <v>2</v>
      </c>
      <c r="B4" s="1" t="s">
        <v>49</v>
      </c>
      <c r="C4" s="25"/>
      <c r="D4" s="3"/>
      <c r="E4" s="11"/>
      <c r="F4" s="5"/>
      <c r="G4" s="1"/>
    </row>
    <row r="5" spans="1:7" ht="19.5" customHeight="1" x14ac:dyDescent="0.3">
      <c r="A5" s="2">
        <v>3</v>
      </c>
      <c r="B5" s="1" t="s">
        <v>50</v>
      </c>
      <c r="C5" s="25"/>
      <c r="D5" s="3"/>
      <c r="E5" s="11"/>
      <c r="F5" s="5"/>
      <c r="G5" s="1"/>
    </row>
    <row r="6" spans="1:7" ht="19.5" customHeight="1" x14ac:dyDescent="0.3">
      <c r="A6" s="2">
        <v>4</v>
      </c>
      <c r="B6" s="1" t="s">
        <v>48</v>
      </c>
      <c r="C6" s="17">
        <v>1</v>
      </c>
      <c r="D6" s="3"/>
      <c r="E6" s="11"/>
      <c r="F6" s="5" t="s">
        <v>56</v>
      </c>
      <c r="G6" s="1"/>
    </row>
    <row r="7" spans="1:7" ht="19.5" customHeight="1" x14ac:dyDescent="0.3">
      <c r="A7" s="2">
        <v>5</v>
      </c>
      <c r="B7" s="1" t="s">
        <v>6</v>
      </c>
      <c r="C7" s="25"/>
      <c r="D7" s="3"/>
      <c r="E7" s="11"/>
      <c r="F7" s="5"/>
      <c r="G7" s="1"/>
    </row>
    <row r="8" spans="1:7" ht="19.5" customHeight="1" x14ac:dyDescent="0.3">
      <c r="A8" s="2">
        <v>6</v>
      </c>
      <c r="B8" s="10" t="s">
        <v>22</v>
      </c>
      <c r="C8" s="17"/>
      <c r="D8" s="6"/>
      <c r="E8" s="11"/>
      <c r="F8" s="5"/>
      <c r="G8" s="1"/>
    </row>
    <row r="9" spans="1:7" ht="19.5" customHeight="1" x14ac:dyDescent="0.3">
      <c r="A9" s="2">
        <v>7</v>
      </c>
      <c r="B9" s="10" t="s">
        <v>7</v>
      </c>
      <c r="C9" s="19"/>
      <c r="D9" s="9"/>
      <c r="E9" s="11"/>
      <c r="F9" s="5"/>
      <c r="G9" s="7"/>
    </row>
    <row r="10" spans="1:7" ht="19.5" customHeight="1" x14ac:dyDescent="0.3">
      <c r="A10" s="2">
        <v>8</v>
      </c>
      <c r="B10" s="1" t="s">
        <v>8</v>
      </c>
      <c r="C10" s="17">
        <v>1500</v>
      </c>
      <c r="D10" s="3"/>
      <c r="E10" s="11"/>
      <c r="F10" s="5" t="s">
        <v>56</v>
      </c>
      <c r="G10" s="1"/>
    </row>
    <row r="11" spans="1:7" ht="19.5" customHeight="1" x14ac:dyDescent="0.3">
      <c r="A11" s="2">
        <v>9</v>
      </c>
      <c r="B11" s="1" t="s">
        <v>9</v>
      </c>
      <c r="C11" s="17">
        <v>3500</v>
      </c>
      <c r="D11" s="3"/>
      <c r="E11" s="11"/>
      <c r="F11" s="5" t="s">
        <v>56</v>
      </c>
      <c r="G11" s="1"/>
    </row>
    <row r="12" spans="1:7" ht="19.5" customHeight="1" x14ac:dyDescent="0.3">
      <c r="A12" s="2">
        <v>10</v>
      </c>
      <c r="B12" s="1" t="s">
        <v>10</v>
      </c>
      <c r="C12" s="17">
        <v>500</v>
      </c>
      <c r="D12" s="3"/>
      <c r="E12" s="11"/>
      <c r="F12" s="5" t="s">
        <v>56</v>
      </c>
      <c r="G12" s="1"/>
    </row>
    <row r="13" spans="1:7" ht="19.5" customHeight="1" x14ac:dyDescent="0.3">
      <c r="A13" s="2">
        <v>11</v>
      </c>
      <c r="B13" s="1" t="s">
        <v>19</v>
      </c>
      <c r="C13" s="25"/>
      <c r="D13" s="3"/>
      <c r="E13" s="11"/>
      <c r="F13" s="5"/>
      <c r="G13" s="1"/>
    </row>
    <row r="14" spans="1:7" ht="19.5" customHeight="1" x14ac:dyDescent="0.3">
      <c r="A14" s="2">
        <v>12</v>
      </c>
      <c r="B14" s="1" t="s">
        <v>11</v>
      </c>
      <c r="C14" s="17">
        <v>3500</v>
      </c>
      <c r="D14" s="3"/>
      <c r="E14" s="11"/>
      <c r="F14" s="5" t="s">
        <v>56</v>
      </c>
      <c r="G14" s="1"/>
    </row>
    <row r="15" spans="1:7" ht="19.5" customHeight="1" x14ac:dyDescent="0.3">
      <c r="A15" s="2">
        <v>13</v>
      </c>
      <c r="B15" s="1" t="s">
        <v>12</v>
      </c>
      <c r="C15" s="17">
        <v>3500</v>
      </c>
      <c r="D15" s="3"/>
      <c r="E15" s="11"/>
      <c r="F15" s="5" t="s">
        <v>51</v>
      </c>
      <c r="G15" s="1"/>
    </row>
    <row r="16" spans="1:7" ht="19.5" customHeight="1" x14ac:dyDescent="0.3">
      <c r="A16" s="2">
        <v>14</v>
      </c>
      <c r="B16" s="1" t="s">
        <v>13</v>
      </c>
      <c r="C16" s="17">
        <v>3500</v>
      </c>
      <c r="D16" s="3"/>
      <c r="E16" s="11"/>
      <c r="F16" s="5" t="s">
        <v>56</v>
      </c>
      <c r="G16" s="1"/>
    </row>
    <row r="17" spans="1:7" ht="19.5" customHeight="1" x14ac:dyDescent="0.3">
      <c r="A17" s="2">
        <v>15</v>
      </c>
      <c r="B17" s="1" t="s">
        <v>14</v>
      </c>
      <c r="C17" s="17">
        <v>1500</v>
      </c>
      <c r="D17" s="3"/>
      <c r="E17" s="11"/>
      <c r="F17" s="5" t="s">
        <v>56</v>
      </c>
      <c r="G17" s="1"/>
    </row>
    <row r="18" spans="1:7" ht="19.5" customHeight="1" x14ac:dyDescent="0.3">
      <c r="A18" s="2">
        <v>16</v>
      </c>
      <c r="B18" s="1" t="s">
        <v>15</v>
      </c>
      <c r="C18" s="25"/>
      <c r="D18" s="3"/>
      <c r="E18" s="11"/>
      <c r="F18" s="5"/>
      <c r="G18" s="7"/>
    </row>
    <row r="19" spans="1:7" ht="19.5" customHeight="1" x14ac:dyDescent="0.3">
      <c r="A19" s="2">
        <v>17</v>
      </c>
      <c r="B19" s="10" t="s">
        <v>16</v>
      </c>
      <c r="C19" s="17">
        <v>1500</v>
      </c>
      <c r="D19" s="6"/>
      <c r="E19" s="17"/>
      <c r="F19" s="5" t="s">
        <v>56</v>
      </c>
      <c r="G19" s="7"/>
    </row>
    <row r="20" spans="1:7" ht="19.5" customHeight="1" x14ac:dyDescent="0.3">
      <c r="A20" s="2">
        <v>18</v>
      </c>
      <c r="B20" s="10" t="s">
        <v>17</v>
      </c>
      <c r="C20" s="17">
        <v>1500</v>
      </c>
      <c r="D20" s="6"/>
      <c r="E20" s="11"/>
      <c r="F20" s="5" t="s">
        <v>56</v>
      </c>
      <c r="G20" s="1"/>
    </row>
    <row r="21" spans="1:7" ht="19.5" customHeight="1" x14ac:dyDescent="0.35">
      <c r="A21" s="2">
        <v>19</v>
      </c>
      <c r="B21" s="10" t="s">
        <v>18</v>
      </c>
      <c r="C21" s="25"/>
      <c r="D21" s="3"/>
      <c r="E21" s="11"/>
      <c r="F21" s="5"/>
      <c r="G21" s="13"/>
    </row>
  </sheetData>
  <mergeCells count="1">
    <mergeCell ref="A1:G1"/>
  </mergeCells>
  <pageMargins left="0.7" right="0.7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A2" sqref="A2"/>
    </sheetView>
  </sheetViews>
  <sheetFormatPr defaultRowHeight="18.75" x14ac:dyDescent="0.3"/>
  <cols>
    <col min="1" max="1" width="6.33203125" customWidth="1"/>
    <col min="2" max="2" width="25.88671875" customWidth="1"/>
    <col min="3" max="5" width="12.44140625" customWidth="1"/>
    <col min="6" max="7" width="13.109375" customWidth="1"/>
  </cols>
  <sheetData>
    <row r="1" spans="1:7" ht="25.5" customHeight="1" x14ac:dyDescent="0.3">
      <c r="A1" s="38" t="s">
        <v>61</v>
      </c>
      <c r="B1" s="39"/>
      <c r="C1" s="39"/>
      <c r="D1" s="39"/>
      <c r="E1" s="39"/>
      <c r="F1" s="39"/>
      <c r="G1" s="39"/>
    </row>
    <row r="2" spans="1:7" ht="26.25" customHeight="1" x14ac:dyDescent="0.3">
      <c r="A2" s="4" t="s">
        <v>0</v>
      </c>
      <c r="B2" s="4" t="s">
        <v>1</v>
      </c>
      <c r="C2" s="4" t="s">
        <v>2</v>
      </c>
      <c r="D2" s="4" t="s">
        <v>20</v>
      </c>
      <c r="E2" s="4" t="s">
        <v>21</v>
      </c>
      <c r="F2" s="4" t="s">
        <v>4</v>
      </c>
      <c r="G2" s="4" t="s">
        <v>3</v>
      </c>
    </row>
    <row r="3" spans="1:7" ht="19.5" customHeight="1" x14ac:dyDescent="0.3">
      <c r="A3" s="2">
        <v>1</v>
      </c>
      <c r="B3" s="1" t="s">
        <v>5</v>
      </c>
      <c r="C3" s="25"/>
      <c r="D3" s="3"/>
      <c r="E3" s="11"/>
      <c r="F3" s="5"/>
      <c r="G3" s="1"/>
    </row>
    <row r="4" spans="1:7" ht="19.5" customHeight="1" x14ac:dyDescent="0.3">
      <c r="A4" s="2">
        <v>2</v>
      </c>
      <c r="B4" s="1" t="s">
        <v>49</v>
      </c>
      <c r="C4" s="25"/>
      <c r="D4" s="3"/>
      <c r="E4" s="11"/>
      <c r="F4" s="5"/>
      <c r="G4" s="1"/>
    </row>
    <row r="5" spans="1:7" ht="19.5" customHeight="1" x14ac:dyDescent="0.3">
      <c r="A5" s="2">
        <v>3</v>
      </c>
      <c r="B5" s="1" t="s">
        <v>50</v>
      </c>
      <c r="C5" s="25"/>
      <c r="D5" s="3"/>
      <c r="E5" s="11"/>
      <c r="F5" s="5"/>
      <c r="G5" s="1"/>
    </row>
    <row r="6" spans="1:7" ht="19.5" customHeight="1" x14ac:dyDescent="0.3">
      <c r="A6" s="2">
        <v>4</v>
      </c>
      <c r="B6" s="1" t="s">
        <v>48</v>
      </c>
      <c r="C6" s="17">
        <v>5</v>
      </c>
      <c r="D6" s="3"/>
      <c r="E6" s="11">
        <v>5</v>
      </c>
      <c r="F6" s="5" t="s">
        <v>59</v>
      </c>
      <c r="G6" s="1" t="s">
        <v>60</v>
      </c>
    </row>
    <row r="7" spans="1:7" ht="19.5" customHeight="1" x14ac:dyDescent="0.3">
      <c r="A7" s="2">
        <v>5</v>
      </c>
      <c r="B7" s="1" t="s">
        <v>6</v>
      </c>
      <c r="C7" s="25"/>
      <c r="D7" s="3"/>
      <c r="E7" s="11"/>
      <c r="F7" s="5"/>
      <c r="G7" s="1"/>
    </row>
    <row r="8" spans="1:7" ht="19.5" customHeight="1" x14ac:dyDescent="0.3">
      <c r="A8" s="2">
        <v>6</v>
      </c>
      <c r="B8" s="10" t="s">
        <v>22</v>
      </c>
      <c r="C8" s="17"/>
      <c r="D8" s="6"/>
      <c r="E8" s="11"/>
      <c r="F8" s="5"/>
      <c r="G8" s="1"/>
    </row>
    <row r="9" spans="1:7" ht="19.5" customHeight="1" x14ac:dyDescent="0.3">
      <c r="A9" s="2">
        <v>7</v>
      </c>
      <c r="B9" s="10" t="s">
        <v>7</v>
      </c>
      <c r="C9" s="19"/>
      <c r="D9" s="9"/>
      <c r="E9" s="11"/>
      <c r="F9" s="5"/>
      <c r="G9" s="7"/>
    </row>
    <row r="10" spans="1:7" ht="19.5" customHeight="1" x14ac:dyDescent="0.3">
      <c r="A10" s="2">
        <v>8</v>
      </c>
      <c r="B10" s="1" t="s">
        <v>8</v>
      </c>
      <c r="C10" s="17"/>
      <c r="D10" s="3"/>
      <c r="E10" s="11"/>
      <c r="F10" s="5"/>
      <c r="G10" s="1"/>
    </row>
    <row r="11" spans="1:7" ht="19.5" customHeight="1" x14ac:dyDescent="0.3">
      <c r="A11" s="2">
        <v>9</v>
      </c>
      <c r="B11" s="1" t="s">
        <v>9</v>
      </c>
      <c r="C11" s="17"/>
      <c r="D11" s="3"/>
      <c r="E11" s="11"/>
      <c r="F11" s="5"/>
      <c r="G11" s="1"/>
    </row>
    <row r="12" spans="1:7" ht="19.5" customHeight="1" x14ac:dyDescent="0.3">
      <c r="A12" s="2">
        <v>10</v>
      </c>
      <c r="B12" s="1" t="s">
        <v>10</v>
      </c>
      <c r="C12" s="17"/>
      <c r="D12" s="3"/>
      <c r="E12" s="11"/>
      <c r="F12" s="5"/>
      <c r="G12" s="1"/>
    </row>
    <row r="13" spans="1:7" ht="19.5" customHeight="1" x14ac:dyDescent="0.3">
      <c r="A13" s="2">
        <v>11</v>
      </c>
      <c r="B13" s="1" t="s">
        <v>19</v>
      </c>
      <c r="C13" s="25"/>
      <c r="D13" s="3"/>
      <c r="E13" s="11"/>
      <c r="F13" s="5"/>
      <c r="G13" s="1"/>
    </row>
    <row r="14" spans="1:7" ht="19.5" customHeight="1" x14ac:dyDescent="0.3">
      <c r="A14" s="2">
        <v>12</v>
      </c>
      <c r="B14" s="1" t="s">
        <v>11</v>
      </c>
      <c r="C14" s="17"/>
      <c r="D14" s="3"/>
      <c r="E14" s="11"/>
      <c r="F14" s="5"/>
      <c r="G14" s="1"/>
    </row>
    <row r="15" spans="1:7" ht="19.5" customHeight="1" x14ac:dyDescent="0.3">
      <c r="A15" s="2">
        <v>13</v>
      </c>
      <c r="B15" s="1" t="s">
        <v>12</v>
      </c>
      <c r="C15" s="17"/>
      <c r="D15" s="3"/>
      <c r="E15" s="11"/>
      <c r="F15" s="5"/>
      <c r="G15" s="1"/>
    </row>
    <row r="16" spans="1:7" ht="19.5" customHeight="1" x14ac:dyDescent="0.3">
      <c r="A16" s="2">
        <v>14</v>
      </c>
      <c r="B16" s="1" t="s">
        <v>13</v>
      </c>
      <c r="C16" s="17"/>
      <c r="D16" s="3"/>
      <c r="E16" s="11"/>
      <c r="F16" s="5"/>
      <c r="G16" s="1"/>
    </row>
    <row r="17" spans="1:7" ht="19.5" customHeight="1" x14ac:dyDescent="0.3">
      <c r="A17" s="2">
        <v>15</v>
      </c>
      <c r="B17" s="1" t="s">
        <v>14</v>
      </c>
      <c r="C17" s="17"/>
      <c r="D17" s="3"/>
      <c r="E17" s="11"/>
      <c r="F17" s="5"/>
      <c r="G17" s="1"/>
    </row>
    <row r="18" spans="1:7" ht="19.5" customHeight="1" x14ac:dyDescent="0.3">
      <c r="A18" s="2">
        <v>16</v>
      </c>
      <c r="B18" s="1" t="s">
        <v>15</v>
      </c>
      <c r="C18" s="25"/>
      <c r="D18" s="3"/>
      <c r="E18" s="11"/>
      <c r="F18" s="5"/>
      <c r="G18" s="7"/>
    </row>
    <row r="19" spans="1:7" ht="19.5" customHeight="1" x14ac:dyDescent="0.3">
      <c r="A19" s="2">
        <v>17</v>
      </c>
      <c r="B19" s="10" t="s">
        <v>16</v>
      </c>
      <c r="C19" s="17"/>
      <c r="D19" s="6"/>
      <c r="E19" s="17"/>
      <c r="F19" s="5"/>
      <c r="G19" s="7"/>
    </row>
    <row r="20" spans="1:7" ht="19.5" customHeight="1" x14ac:dyDescent="0.3">
      <c r="A20" s="2">
        <v>18</v>
      </c>
      <c r="B20" s="10" t="s">
        <v>17</v>
      </c>
      <c r="C20" s="17"/>
      <c r="D20" s="6"/>
      <c r="E20" s="11"/>
      <c r="F20" s="5"/>
      <c r="G20" s="1"/>
    </row>
    <row r="21" spans="1:7" ht="19.5" customHeight="1" x14ac:dyDescent="0.35">
      <c r="A21" s="2">
        <v>19</v>
      </c>
      <c r="B21" s="10" t="s">
        <v>18</v>
      </c>
      <c r="C21" s="25"/>
      <c r="D21" s="3"/>
      <c r="E21" s="11"/>
      <c r="F21" s="5"/>
      <c r="G21" s="13"/>
    </row>
  </sheetData>
  <mergeCells count="1">
    <mergeCell ref="A1:G1"/>
  </mergeCells>
  <pageMargins left="0.7" right="0.7" top="0.75" bottom="0.75" header="0.3" footer="0.3"/>
  <pageSetup paperSize="9" orientation="landscape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5"/>
  <sheetViews>
    <sheetView tabSelected="1" workbookViewId="0">
      <selection activeCell="N6" sqref="N6"/>
    </sheetView>
  </sheetViews>
  <sheetFormatPr defaultRowHeight="18.75" x14ac:dyDescent="0.3"/>
  <cols>
    <col min="1" max="1" width="3.88671875" customWidth="1"/>
    <col min="2" max="2" width="25.88671875" customWidth="1"/>
    <col min="3" max="9" width="8" customWidth="1"/>
    <col min="10" max="10" width="11.6640625" customWidth="1"/>
  </cols>
  <sheetData>
    <row r="1" spans="1:14" ht="25.5" customHeight="1" x14ac:dyDescent="0.3">
      <c r="A1" s="38" t="s">
        <v>44</v>
      </c>
      <c r="B1" s="39"/>
      <c r="C1" s="39"/>
      <c r="D1" s="39"/>
      <c r="E1" s="39"/>
      <c r="F1" s="39"/>
      <c r="G1" s="39"/>
      <c r="H1" s="39"/>
      <c r="I1" s="39"/>
      <c r="J1" s="39"/>
    </row>
    <row r="2" spans="1:14" ht="36" customHeight="1" x14ac:dyDescent="0.3">
      <c r="A2" s="4" t="s">
        <v>0</v>
      </c>
      <c r="B2" s="4" t="s">
        <v>1</v>
      </c>
      <c r="C2" s="4" t="s">
        <v>36</v>
      </c>
      <c r="D2" s="4" t="s">
        <v>37</v>
      </c>
      <c r="E2" s="4" t="s">
        <v>38</v>
      </c>
      <c r="F2" s="4" t="s">
        <v>39</v>
      </c>
      <c r="G2" s="4" t="s">
        <v>40</v>
      </c>
      <c r="H2" s="4" t="s">
        <v>41</v>
      </c>
      <c r="I2" s="4" t="s">
        <v>42</v>
      </c>
      <c r="J2" s="4" t="s">
        <v>3</v>
      </c>
      <c r="K2" s="26" t="s">
        <v>52</v>
      </c>
      <c r="L2" s="26" t="s">
        <v>53</v>
      </c>
      <c r="M2" s="27" t="s">
        <v>3</v>
      </c>
    </row>
    <row r="3" spans="1:14" ht="19.5" customHeight="1" x14ac:dyDescent="0.3">
      <c r="A3" s="2">
        <v>1</v>
      </c>
      <c r="B3" s="1" t="s">
        <v>5</v>
      </c>
      <c r="C3" s="3">
        <v>500</v>
      </c>
      <c r="D3" s="3">
        <v>1000</v>
      </c>
      <c r="E3" s="3">
        <v>500</v>
      </c>
      <c r="F3" s="18"/>
      <c r="G3" s="18"/>
      <c r="H3" s="18"/>
      <c r="I3" s="19">
        <f>C3+D3+E3+F3+G3+H3</f>
        <v>2000</v>
      </c>
      <c r="J3" s="1"/>
      <c r="K3" s="29">
        <v>1500</v>
      </c>
      <c r="L3" s="30">
        <f>I3-K3</f>
        <v>500</v>
      </c>
      <c r="M3" s="37" t="s">
        <v>54</v>
      </c>
      <c r="N3">
        <v>500</v>
      </c>
    </row>
    <row r="4" spans="1:14" ht="19.5" customHeight="1" x14ac:dyDescent="0.3">
      <c r="A4" s="2">
        <v>2</v>
      </c>
      <c r="B4" s="1" t="s">
        <v>26</v>
      </c>
      <c r="C4" s="3"/>
      <c r="D4" s="3">
        <v>5</v>
      </c>
      <c r="E4" s="3">
        <v>15</v>
      </c>
      <c r="F4" s="18"/>
      <c r="G4" s="18"/>
      <c r="H4" s="18"/>
      <c r="I4" s="19">
        <f t="shared" ref="I4:I23" si="0">C4+D4+E4+F4+G4+H4</f>
        <v>20</v>
      </c>
      <c r="J4" s="1"/>
      <c r="K4" s="29">
        <v>20</v>
      </c>
      <c r="L4" s="30">
        <f t="shared" ref="L4:L23" si="1">I4-K4</f>
        <v>0</v>
      </c>
      <c r="M4" s="2" t="s">
        <v>55</v>
      </c>
    </row>
    <row r="5" spans="1:14" ht="19.5" customHeight="1" x14ac:dyDescent="0.3">
      <c r="A5" s="2">
        <v>3</v>
      </c>
      <c r="B5" s="1" t="s">
        <v>27</v>
      </c>
      <c r="C5" s="3"/>
      <c r="D5" s="3">
        <v>5</v>
      </c>
      <c r="E5" s="3">
        <v>35</v>
      </c>
      <c r="F5" s="18"/>
      <c r="G5" s="18"/>
      <c r="H5" s="18"/>
      <c r="I5" s="19">
        <f t="shared" si="0"/>
        <v>40</v>
      </c>
      <c r="J5" s="1"/>
      <c r="K5" s="29">
        <v>40</v>
      </c>
      <c r="L5" s="30">
        <f t="shared" si="1"/>
        <v>0</v>
      </c>
      <c r="M5" s="2" t="s">
        <v>55</v>
      </c>
    </row>
    <row r="6" spans="1:14" ht="19.5" customHeight="1" x14ac:dyDescent="0.3">
      <c r="A6" s="2">
        <v>4</v>
      </c>
      <c r="B6" s="1" t="s">
        <v>34</v>
      </c>
      <c r="C6" s="3"/>
      <c r="D6" s="3">
        <v>5</v>
      </c>
      <c r="E6" s="3">
        <v>14</v>
      </c>
      <c r="F6" s="18"/>
      <c r="G6" s="18">
        <v>1</v>
      </c>
      <c r="H6" s="18">
        <v>5</v>
      </c>
      <c r="I6" s="19">
        <f t="shared" si="0"/>
        <v>25</v>
      </c>
      <c r="J6" s="1"/>
      <c r="K6" s="29">
        <v>20</v>
      </c>
      <c r="L6" s="30">
        <f>I6-K6</f>
        <v>5</v>
      </c>
      <c r="M6" s="37" t="s">
        <v>54</v>
      </c>
      <c r="N6">
        <v>20</v>
      </c>
    </row>
    <row r="7" spans="1:14" ht="19.5" customHeight="1" x14ac:dyDescent="0.3">
      <c r="A7" s="2">
        <v>5</v>
      </c>
      <c r="B7" s="1" t="s">
        <v>6</v>
      </c>
      <c r="C7" s="3">
        <v>2</v>
      </c>
      <c r="D7" s="3">
        <v>2</v>
      </c>
      <c r="E7" s="3"/>
      <c r="F7" s="18"/>
      <c r="G7" s="18"/>
      <c r="H7" s="18"/>
      <c r="I7" s="19">
        <f t="shared" si="0"/>
        <v>4</v>
      </c>
      <c r="J7" s="1"/>
      <c r="K7" s="29">
        <v>2</v>
      </c>
      <c r="L7" s="30">
        <f t="shared" si="1"/>
        <v>2</v>
      </c>
      <c r="M7" s="37" t="s">
        <v>54</v>
      </c>
    </row>
    <row r="8" spans="1:14" ht="19.5" customHeight="1" x14ac:dyDescent="0.3">
      <c r="A8" s="2">
        <v>6</v>
      </c>
      <c r="B8" s="10" t="s">
        <v>22</v>
      </c>
      <c r="C8" s="9">
        <v>4</v>
      </c>
      <c r="D8" s="9"/>
      <c r="E8" s="9"/>
      <c r="F8" s="18"/>
      <c r="G8" s="18"/>
      <c r="H8" s="18"/>
      <c r="I8" s="19">
        <f t="shared" si="0"/>
        <v>4</v>
      </c>
      <c r="J8" s="1"/>
      <c r="K8" s="29">
        <v>2</v>
      </c>
      <c r="L8" s="30">
        <f t="shared" si="1"/>
        <v>2</v>
      </c>
      <c r="M8" s="37" t="s">
        <v>54</v>
      </c>
    </row>
    <row r="9" spans="1:14" ht="19.5" customHeight="1" x14ac:dyDescent="0.3">
      <c r="A9" s="2">
        <v>7</v>
      </c>
      <c r="B9" s="10" t="s">
        <v>7</v>
      </c>
      <c r="C9" s="9">
        <v>4</v>
      </c>
      <c r="D9" s="9">
        <v>2</v>
      </c>
      <c r="E9" s="9">
        <v>2</v>
      </c>
      <c r="F9" s="18"/>
      <c r="G9" s="18"/>
      <c r="H9" s="18"/>
      <c r="I9" s="19">
        <f t="shared" si="0"/>
        <v>8</v>
      </c>
      <c r="J9" s="1"/>
      <c r="K9" s="29">
        <v>5</v>
      </c>
      <c r="L9" s="30">
        <f t="shared" si="1"/>
        <v>3</v>
      </c>
      <c r="M9" s="37" t="s">
        <v>54</v>
      </c>
    </row>
    <row r="10" spans="1:14" ht="19.5" customHeight="1" x14ac:dyDescent="0.3">
      <c r="A10" s="2">
        <v>8</v>
      </c>
      <c r="B10" s="10" t="s">
        <v>28</v>
      </c>
      <c r="C10" s="9"/>
      <c r="D10" s="9">
        <v>2</v>
      </c>
      <c r="E10" s="9"/>
      <c r="F10" s="18"/>
      <c r="G10" s="18"/>
      <c r="H10" s="18"/>
      <c r="I10" s="19">
        <f t="shared" si="0"/>
        <v>2</v>
      </c>
      <c r="J10" s="1"/>
      <c r="K10" s="29">
        <v>2</v>
      </c>
      <c r="L10" s="30">
        <f t="shared" si="1"/>
        <v>0</v>
      </c>
      <c r="M10" s="2" t="s">
        <v>55</v>
      </c>
    </row>
    <row r="11" spans="1:14" ht="19.5" customHeight="1" x14ac:dyDescent="0.3">
      <c r="A11" s="31">
        <v>9</v>
      </c>
      <c r="B11" s="32" t="s">
        <v>43</v>
      </c>
      <c r="C11" s="33"/>
      <c r="D11" s="33"/>
      <c r="E11" s="33"/>
      <c r="F11" s="34"/>
      <c r="G11" s="34"/>
      <c r="H11" s="34"/>
      <c r="I11" s="35">
        <f t="shared" si="0"/>
        <v>0</v>
      </c>
      <c r="J11" s="36"/>
      <c r="K11" s="29">
        <v>0</v>
      </c>
      <c r="L11" s="30">
        <f t="shared" si="1"/>
        <v>0</v>
      </c>
      <c r="M11" s="31"/>
    </row>
    <row r="12" spans="1:14" s="24" customFormat="1" ht="19.5" customHeight="1" x14ac:dyDescent="0.3">
      <c r="A12" s="2">
        <v>10</v>
      </c>
      <c r="B12" s="21" t="s">
        <v>8</v>
      </c>
      <c r="C12" s="22">
        <v>4500</v>
      </c>
      <c r="D12" s="22"/>
      <c r="E12" s="22">
        <v>1000</v>
      </c>
      <c r="F12" s="22">
        <v>2000</v>
      </c>
      <c r="G12" s="9">
        <v>1500</v>
      </c>
      <c r="H12" s="22"/>
      <c r="I12" s="23">
        <f t="shared" si="0"/>
        <v>9000</v>
      </c>
      <c r="J12" s="21"/>
      <c r="K12" s="29">
        <v>9000</v>
      </c>
      <c r="L12" s="30">
        <f t="shared" si="1"/>
        <v>0</v>
      </c>
      <c r="M12" s="28" t="s">
        <v>55</v>
      </c>
    </row>
    <row r="13" spans="1:14" s="24" customFormat="1" ht="19.5" customHeight="1" x14ac:dyDescent="0.3">
      <c r="A13" s="2">
        <v>11</v>
      </c>
      <c r="B13" s="21" t="s">
        <v>9</v>
      </c>
      <c r="C13" s="22">
        <v>4500</v>
      </c>
      <c r="D13" s="22"/>
      <c r="E13" s="22">
        <v>1000</v>
      </c>
      <c r="F13" s="22"/>
      <c r="G13" s="9">
        <v>3500</v>
      </c>
      <c r="H13" s="22"/>
      <c r="I13" s="23">
        <f t="shared" si="0"/>
        <v>9000</v>
      </c>
      <c r="J13" s="21"/>
      <c r="K13" s="29">
        <v>9000</v>
      </c>
      <c r="L13" s="30">
        <f t="shared" si="1"/>
        <v>0</v>
      </c>
      <c r="M13" s="28" t="s">
        <v>55</v>
      </c>
    </row>
    <row r="14" spans="1:14" s="24" customFormat="1" ht="19.5" customHeight="1" x14ac:dyDescent="0.3">
      <c r="A14" s="2">
        <v>12</v>
      </c>
      <c r="B14" s="21" t="s">
        <v>10</v>
      </c>
      <c r="C14" s="22">
        <v>2500</v>
      </c>
      <c r="D14" s="22"/>
      <c r="E14" s="22">
        <v>1000</v>
      </c>
      <c r="F14" s="22"/>
      <c r="G14" s="9">
        <v>500</v>
      </c>
      <c r="H14" s="22"/>
      <c r="I14" s="23">
        <f t="shared" si="0"/>
        <v>4000</v>
      </c>
      <c r="J14" s="21"/>
      <c r="K14" s="29">
        <v>4000</v>
      </c>
      <c r="L14" s="30">
        <f t="shared" si="1"/>
        <v>0</v>
      </c>
      <c r="M14" s="28" t="s">
        <v>55</v>
      </c>
    </row>
    <row r="15" spans="1:14" s="24" customFormat="1" ht="19.5" customHeight="1" x14ac:dyDescent="0.3">
      <c r="A15" s="2">
        <v>13</v>
      </c>
      <c r="B15" s="21" t="s">
        <v>19</v>
      </c>
      <c r="C15" s="22">
        <v>800</v>
      </c>
      <c r="D15" s="22"/>
      <c r="E15" s="22">
        <v>1000</v>
      </c>
      <c r="F15" s="22"/>
      <c r="G15" s="22"/>
      <c r="H15" s="22"/>
      <c r="I15" s="23">
        <f t="shared" si="0"/>
        <v>1800</v>
      </c>
      <c r="J15" s="21"/>
      <c r="K15" s="29">
        <v>1000</v>
      </c>
      <c r="L15" s="30">
        <f t="shared" si="1"/>
        <v>800</v>
      </c>
      <c r="M15" s="37" t="s">
        <v>54</v>
      </c>
    </row>
    <row r="16" spans="1:14" s="24" customFormat="1" ht="19.5" customHeight="1" x14ac:dyDescent="0.3">
      <c r="A16" s="2">
        <v>14</v>
      </c>
      <c r="B16" s="21" t="s">
        <v>11</v>
      </c>
      <c r="C16" s="22">
        <v>4500</v>
      </c>
      <c r="D16" s="22"/>
      <c r="E16" s="22">
        <v>1000</v>
      </c>
      <c r="F16" s="22"/>
      <c r="G16" s="9">
        <v>3500</v>
      </c>
      <c r="H16" s="22"/>
      <c r="I16" s="23">
        <f t="shared" si="0"/>
        <v>9000</v>
      </c>
      <c r="J16" s="21"/>
      <c r="K16" s="29">
        <v>9000</v>
      </c>
      <c r="L16" s="30">
        <f t="shared" si="1"/>
        <v>0</v>
      </c>
      <c r="M16" s="28" t="s">
        <v>55</v>
      </c>
    </row>
    <row r="17" spans="1:13" ht="19.5" customHeight="1" x14ac:dyDescent="0.3">
      <c r="A17" s="2">
        <v>15</v>
      </c>
      <c r="B17" s="1" t="s">
        <v>12</v>
      </c>
      <c r="C17" s="3">
        <v>4500</v>
      </c>
      <c r="D17" s="3"/>
      <c r="E17" s="3">
        <v>1000</v>
      </c>
      <c r="F17" s="18"/>
      <c r="G17" s="18">
        <v>3500</v>
      </c>
      <c r="H17" s="18"/>
      <c r="I17" s="19">
        <f t="shared" si="0"/>
        <v>9000</v>
      </c>
      <c r="J17" s="1"/>
      <c r="K17" s="29">
        <v>9000</v>
      </c>
      <c r="L17" s="30">
        <f t="shared" si="1"/>
        <v>0</v>
      </c>
      <c r="M17" s="2" t="s">
        <v>55</v>
      </c>
    </row>
    <row r="18" spans="1:13" ht="19.5" customHeight="1" x14ac:dyDescent="0.3">
      <c r="A18" s="2">
        <v>16</v>
      </c>
      <c r="B18" s="1" t="s">
        <v>13</v>
      </c>
      <c r="C18" s="3">
        <v>4500</v>
      </c>
      <c r="D18" s="3"/>
      <c r="E18" s="3">
        <v>1000</v>
      </c>
      <c r="F18" s="18"/>
      <c r="G18" s="18">
        <v>3500</v>
      </c>
      <c r="H18" s="18"/>
      <c r="I18" s="19">
        <f t="shared" si="0"/>
        <v>9000</v>
      </c>
      <c r="J18" s="1"/>
      <c r="K18" s="29">
        <v>9000</v>
      </c>
      <c r="L18" s="30">
        <f t="shared" si="1"/>
        <v>0</v>
      </c>
      <c r="M18" s="2" t="s">
        <v>55</v>
      </c>
    </row>
    <row r="19" spans="1:13" ht="19.5" customHeight="1" x14ac:dyDescent="0.3">
      <c r="A19" s="2">
        <v>17</v>
      </c>
      <c r="B19" s="1" t="s">
        <v>14</v>
      </c>
      <c r="C19" s="3">
        <v>2500</v>
      </c>
      <c r="D19" s="3"/>
      <c r="E19" s="3">
        <v>1000</v>
      </c>
      <c r="F19" s="18"/>
      <c r="G19" s="18">
        <v>1500</v>
      </c>
      <c r="H19" s="18"/>
      <c r="I19" s="19">
        <f t="shared" si="0"/>
        <v>5000</v>
      </c>
      <c r="J19" s="1"/>
      <c r="K19" s="29">
        <v>5000</v>
      </c>
      <c r="L19" s="30">
        <f t="shared" si="1"/>
        <v>0</v>
      </c>
      <c r="M19" s="2" t="s">
        <v>55</v>
      </c>
    </row>
    <row r="20" spans="1:13" ht="19.5" customHeight="1" x14ac:dyDescent="0.3">
      <c r="A20" s="2">
        <v>18</v>
      </c>
      <c r="B20" s="1" t="s">
        <v>15</v>
      </c>
      <c r="C20" s="3">
        <v>2000</v>
      </c>
      <c r="D20" s="3"/>
      <c r="E20" s="3">
        <v>1000</v>
      </c>
      <c r="F20" s="18"/>
      <c r="G20" s="18"/>
      <c r="H20" s="18"/>
      <c r="I20" s="19">
        <f t="shared" si="0"/>
        <v>3000</v>
      </c>
      <c r="J20" s="7"/>
      <c r="K20" s="29">
        <v>3000</v>
      </c>
      <c r="L20" s="30">
        <f t="shared" si="1"/>
        <v>0</v>
      </c>
      <c r="M20" s="2" t="s">
        <v>55</v>
      </c>
    </row>
    <row r="21" spans="1:13" ht="19.5" customHeight="1" x14ac:dyDescent="0.3">
      <c r="A21" s="2">
        <v>19</v>
      </c>
      <c r="B21" s="10" t="s">
        <v>16</v>
      </c>
      <c r="C21" s="9">
        <v>4500</v>
      </c>
      <c r="D21" s="9"/>
      <c r="E21" s="9">
        <v>1000</v>
      </c>
      <c r="F21" s="18">
        <v>2000</v>
      </c>
      <c r="G21" s="18">
        <v>1500</v>
      </c>
      <c r="H21" s="18"/>
      <c r="I21" s="19">
        <f t="shared" si="0"/>
        <v>9000</v>
      </c>
      <c r="J21" s="7"/>
      <c r="K21" s="29">
        <v>9000</v>
      </c>
      <c r="L21" s="30">
        <f t="shared" si="1"/>
        <v>0</v>
      </c>
      <c r="M21" s="2" t="s">
        <v>55</v>
      </c>
    </row>
    <row r="22" spans="1:13" ht="19.5" customHeight="1" x14ac:dyDescent="0.3">
      <c r="A22" s="2">
        <v>20</v>
      </c>
      <c r="B22" s="10" t="s">
        <v>17</v>
      </c>
      <c r="C22" s="9">
        <v>4500</v>
      </c>
      <c r="D22" s="6"/>
      <c r="E22" s="9">
        <v>1000</v>
      </c>
      <c r="F22" s="18">
        <v>2000</v>
      </c>
      <c r="G22" s="18">
        <v>1500</v>
      </c>
      <c r="H22" s="18"/>
      <c r="I22" s="19">
        <f t="shared" si="0"/>
        <v>9000</v>
      </c>
      <c r="J22" s="1"/>
      <c r="K22" s="29">
        <v>9000</v>
      </c>
      <c r="L22" s="30">
        <f t="shared" si="1"/>
        <v>0</v>
      </c>
      <c r="M22" s="2" t="s">
        <v>55</v>
      </c>
    </row>
    <row r="23" spans="1:13" ht="19.5" customHeight="1" x14ac:dyDescent="0.35">
      <c r="A23" s="2">
        <v>21</v>
      </c>
      <c r="B23" s="10" t="s">
        <v>18</v>
      </c>
      <c r="C23" s="3">
        <v>2000</v>
      </c>
      <c r="D23" s="3"/>
      <c r="E23" s="3">
        <v>1000</v>
      </c>
      <c r="F23" s="18"/>
      <c r="G23" s="18"/>
      <c r="H23" s="18"/>
      <c r="I23" s="19">
        <f t="shared" si="0"/>
        <v>3000</v>
      </c>
      <c r="J23" s="13"/>
      <c r="K23" s="29">
        <v>3000</v>
      </c>
      <c r="L23" s="30">
        <f t="shared" si="1"/>
        <v>0</v>
      </c>
      <c r="M23" s="2" t="s">
        <v>55</v>
      </c>
    </row>
    <row r="25" spans="1:13" x14ac:dyDescent="0.3">
      <c r="A25" s="40"/>
      <c r="B25" s="40"/>
    </row>
  </sheetData>
  <mergeCells count="2">
    <mergeCell ref="A1:J1"/>
    <mergeCell ref="A25:B25"/>
  </mergeCells>
  <pageMargins left="0.7" right="0.7" top="0.75" bottom="0.75" header="0.3" footer="0.3"/>
  <pageSetup paperSize="9" orientation="landscape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LẦN 1</vt:lpstr>
      <vt:lpstr>LẦN 2</vt:lpstr>
      <vt:lpstr>LẦN 3</vt:lpstr>
      <vt:lpstr>LẦN 4</vt:lpstr>
      <vt:lpstr>LẦN 5</vt:lpstr>
      <vt:lpstr>LẦN 6 TẠM ỨNG</vt:lpstr>
      <vt:lpstr>Tổng nhập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2026-06-01T03:44:22Z</cp:lastPrinted>
  <dcterms:created xsi:type="dcterms:W3CDTF">2025-11-07T06:53:28Z</dcterms:created>
  <dcterms:modified xsi:type="dcterms:W3CDTF">2026-09-14T04:24:37Z</dcterms:modified>
</cp:coreProperties>
</file>