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Tiến\5. Tiến\3.Làm kho hàng tháng\Năm 2026\Phieu linh vat tu 2026\"/>
    </mc:Choice>
  </mc:AlternateContent>
  <xr:revisionPtr revIDLastSave="0" documentId="13_ncr:1_{6D83D3C4-CFCF-43E1-B20A-39E77F45FB74}" xr6:coauthVersionLast="47" xr6:coauthVersionMax="47" xr10:uidLastSave="{00000000-0000-0000-0000-000000000000}"/>
  <bookViews>
    <workbookView xWindow="-120" yWindow="-120" windowWidth="20640" windowHeight="11160" tabRatio="700" firstSheet="3" activeTab="16" xr2:uid="{00000000-000D-0000-FFFF-FFFF00000000}"/>
  </bookViews>
  <sheets>
    <sheet name="TP1" sheetId="1" r:id="rId1"/>
    <sheet name="TP2" sheetId="2" r:id="rId2"/>
    <sheet name="MS" sheetId="3" r:id="rId3"/>
    <sheet name="MC" sheetId="4" r:id="rId4"/>
    <sheet name="TC" sheetId="5" r:id="rId5"/>
    <sheet name="YC" sheetId="6" r:id="rId6"/>
    <sheet name="ML" sheetId="7" r:id="rId7"/>
    <sheet name="BY" sheetId="8" r:id="rId8"/>
    <sheet name="PY" sheetId="9" r:id="rId9"/>
    <sheet name="SM" sheetId="10" r:id="rId10"/>
    <sheet name="SC" sheetId="11" r:id="rId11"/>
    <sheet name="QN" sheetId="12" r:id="rId12"/>
    <sheet name="YC (BL)" sheetId="63" r:id="rId13"/>
    <sheet name="ML (BL)" sheetId="64" r:id="rId14"/>
    <sheet name="ML (TỔNG)" sheetId="66" r:id="rId15"/>
    <sheet name="BY (TỔNG)" sheetId="67" r:id="rId16"/>
    <sheet name="TP1 (BL)" sheetId="68" r:id="rId17"/>
  </sheets>
  <calcPr calcId="191029"/>
</workbook>
</file>

<file path=xl/calcChain.xml><?xml version="1.0" encoding="utf-8"?>
<calcChain xmlns="http://schemas.openxmlformats.org/spreadsheetml/2006/main">
  <c r="A26" i="68" l="1"/>
  <c r="E19" i="68"/>
  <c r="A24" i="67"/>
  <c r="E17" i="67"/>
  <c r="H6" i="67"/>
  <c r="A5" i="67"/>
  <c r="A24" i="66"/>
  <c r="E17" i="66"/>
  <c r="H6" i="66"/>
  <c r="A5" i="66"/>
  <c r="A23" i="64"/>
  <c r="E16" i="64"/>
  <c r="H6" i="64"/>
  <c r="A5" i="64"/>
  <c r="A26" i="63"/>
  <c r="E19" i="63"/>
  <c r="H6" i="63"/>
  <c r="A5" i="63"/>
  <c r="A26" i="1" l="1"/>
  <c r="E19" i="2" l="1"/>
  <c r="E18" i="8" l="1"/>
  <c r="A26" i="12" l="1"/>
  <c r="E19" i="12"/>
  <c r="A5" i="12"/>
  <c r="A25" i="11"/>
  <c r="E18" i="11"/>
  <c r="A5" i="11"/>
  <c r="A26" i="10"/>
  <c r="E19" i="10"/>
  <c r="A5" i="10"/>
  <c r="A26" i="9"/>
  <c r="E19" i="9"/>
  <c r="A5" i="9"/>
  <c r="A25" i="8"/>
  <c r="A5" i="8"/>
  <c r="A24" i="7"/>
  <c r="E17" i="7"/>
  <c r="A5" i="7"/>
  <c r="A26" i="6"/>
  <c r="E19" i="6"/>
  <c r="A5" i="6"/>
  <c r="A26" i="5"/>
  <c r="E19" i="5"/>
  <c r="A5" i="5"/>
  <c r="A25" i="4"/>
  <c r="E18" i="4"/>
  <c r="A5" i="4"/>
  <c r="A26" i="3"/>
  <c r="E19" i="3"/>
  <c r="A5" i="3"/>
  <c r="A26" i="2"/>
  <c r="H6" i="2"/>
  <c r="E6" i="2" s="1"/>
  <c r="A5" i="2"/>
  <c r="E19" i="1"/>
  <c r="H7" i="3" l="1"/>
  <c r="E6" i="3" s="1"/>
  <c r="H6" i="4" l="1"/>
  <c r="E6" i="4" s="1"/>
  <c r="H6" i="5" s="1"/>
  <c r="E6" i="5" s="1"/>
  <c r="H6" i="6" l="1"/>
  <c r="E6" i="6" s="1"/>
  <c r="H6" i="7" l="1"/>
  <c r="E6" i="7" s="1"/>
  <c r="H6" i="8" s="1"/>
  <c r="E6" i="8" s="1"/>
  <c r="H6" i="9" l="1"/>
  <c r="E6" i="9" s="1"/>
  <c r="H6" i="10" s="1"/>
  <c r="E6" i="10" s="1"/>
  <c r="H6" i="11" l="1"/>
  <c r="E6" i="11" s="1"/>
  <c r="H6" i="12" l="1"/>
  <c r="E6" i="12" s="1"/>
</calcChain>
</file>

<file path=xl/sharedStrings.xml><?xml version="1.0" encoding="utf-8"?>
<sst xmlns="http://schemas.openxmlformats.org/spreadsheetml/2006/main" count="507" uniqueCount="73">
  <si>
    <t>PHIẾU XIN LĨNH VẬT TƯ</t>
  </si>
  <si>
    <t xml:space="preserve">Số: </t>
  </si>
  <si>
    <t xml:space="preserve">Người lĩnh:          </t>
  </si>
  <si>
    <t>Địa chỉ</t>
  </si>
  <si>
    <t>Xí nghiệp cấp nước thành phố số 1</t>
  </si>
  <si>
    <t xml:space="preserve">Lĩnh tại kho:       </t>
  </si>
  <si>
    <t>Kho VP Công ty (001)</t>
  </si>
  <si>
    <t xml:space="preserve">Mục đích sử dụng: </t>
  </si>
  <si>
    <t>Đồng hồ lắp đặt mới; lắp đặt thay thế bảo hành</t>
  </si>
  <si>
    <t>STT</t>
  </si>
  <si>
    <t>TÊN VẬT TƯ</t>
  </si>
  <si>
    <t>ĐƠN VỊ</t>
  </si>
  <si>
    <t xml:space="preserve"> SỐ LƯỢNG </t>
  </si>
  <si>
    <t>GHI CHÚ</t>
  </si>
  <si>
    <t>Cộng</t>
  </si>
  <si>
    <t>NGƯỜI XIN LĨNH</t>
  </si>
  <si>
    <t xml:space="preserve"> </t>
  </si>
  <si>
    <t>Xí nghiệp cấp nước thành phố số 2</t>
  </si>
  <si>
    <t>Xí nghiệp cấp nước Mai Sơn</t>
  </si>
  <si>
    <t>Phạm Minh Đức</t>
  </si>
  <si>
    <t>Chi nhánh cấp nước Mộc Châu</t>
  </si>
  <si>
    <t>Vũ Ngọc Tuấn</t>
  </si>
  <si>
    <t>Chi nhánh cấp nước Thuận Châu</t>
  </si>
  <si>
    <t>Trịnh Thanh Hồng</t>
  </si>
  <si>
    <t>Chi nhánh cấp nước Yên Châu</t>
  </si>
  <si>
    <t>Ngô Xuân Ngọc</t>
  </si>
  <si>
    <t>Chi nhánh cấp nước Mường La</t>
  </si>
  <si>
    <t>Nguyễn Bá Bảo</t>
  </si>
  <si>
    <t>Chi nhánh cấp nước Bắc Yên</t>
  </si>
  <si>
    <t>Ngô Thế Nghĩa</t>
  </si>
  <si>
    <t>Chi nhánh cấp nước Phù Yên</t>
  </si>
  <si>
    <t>Chi nhánh cấp nước Sông Mã</t>
  </si>
  <si>
    <t>Hồ Thành Trung</t>
  </si>
  <si>
    <t>Chi nhánh cấp nước Sốp Cộp</t>
  </si>
  <si>
    <t>Chi nhánh cấp nước Quỳnh Nhai</t>
  </si>
  <si>
    <t>Nguyễn Ngọc Thạch</t>
  </si>
  <si>
    <t>BM-TCKT: 02-01</t>
  </si>
  <si>
    <t>CÔNG TY CỔ PHẦN CẤP NƯỚC</t>
  </si>
  <si>
    <t xml:space="preserve">   PHÒNG QUẢN LÝ KHÁCH HÀNG</t>
  </si>
  <si>
    <t>Cái</t>
  </si>
  <si>
    <t>Đồng hồ Itron d=15mm (Mới)</t>
  </si>
  <si>
    <t>Đồng hồ Itron d=15mm (Sửa chữa)</t>
  </si>
  <si>
    <t>Thay BHKH</t>
  </si>
  <si>
    <t>Đồng hồ lắp đặt mới; Lắp bảo hành</t>
  </si>
  <si>
    <t>Đồng hồ Itron d=15mm (sửa chữa)</t>
  </si>
  <si>
    <t>Lắp mới KH</t>
  </si>
  <si>
    <t>Nguyễn Thanh Sơn</t>
  </si>
  <si>
    <t>Nguyễn Việt Hồng</t>
  </si>
  <si>
    <t>Bùi Đức Duy</t>
  </si>
  <si>
    <t>Đoàn Quang Việt</t>
  </si>
  <si>
    <t>Trần Xuân Long</t>
  </si>
  <si>
    <t>Đồng hồ Flodis d=25mm (Mới)</t>
  </si>
  <si>
    <t>Đồng hồ Flodis d=32mm (Mới)</t>
  </si>
  <si>
    <t>P. QUẢN LÝ KHÁCH HÀNG</t>
  </si>
  <si>
    <t>Phạm Phương Đông</t>
  </si>
  <si>
    <t>XƯỞNG ĐỒNG HỒ</t>
  </si>
  <si>
    <t>70</t>
  </si>
  <si>
    <t>Thay BHKH (Tháng 6)</t>
  </si>
  <si>
    <t>Đồng hồ Itron d=80mm (Mới)</t>
  </si>
  <si>
    <t>Thay BHKH (Tháng 5)</t>
  </si>
  <si>
    <t>Thay BHBL 07</t>
  </si>
  <si>
    <t>Thay BHBL 21</t>
  </si>
  <si>
    <t>82</t>
  </si>
  <si>
    <t>Thay bhbl 13</t>
  </si>
  <si>
    <t>Đồng hồ Itron d=100mm (Mới)</t>
  </si>
  <si>
    <t>Thay BHĐH  trạm bệnh viện</t>
  </si>
  <si>
    <t>Thay BHĐH Tổng trạm
 phiên ban</t>
  </si>
  <si>
    <t>83</t>
  </si>
  <si>
    <t>84</t>
  </si>
  <si>
    <t>85</t>
  </si>
  <si>
    <t>Thay BHKH thủy điện</t>
  </si>
  <si>
    <t>Thay BHBL 81</t>
  </si>
  <si>
    <t>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</si>
</sst>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\ _₫_-;\-* #,##0.00\ _₫_-;_-* &quot;-&quot;??\ _₫_-;_-@"/>
    <numFmt numFmtId="165" formatCode="&quot;Ngày &quot;dd\ &quot;tháng &quot;mm\ &quot;năm &quot;yyyy"/>
    <numFmt numFmtId="166" formatCode="#,##0;[Red]#,##0"/>
    <numFmt numFmtId="167" formatCode="_-* #,##0.00\ &quot;₫&quot;_-;\-* #,##0.00\ &quot;₫&quot;_-;_-* &quot;-&quot;??\ &quot;₫&quot;_-;_-@"/>
    <numFmt numFmtId="168" formatCode="#,##0.00;[Red]#,##0.00"/>
  </numFmts>
  <fonts count="18" x14ac:knownFonts="1">
    <font>
      <sz val="11"/>
      <color theme="1"/>
      <name val="Arial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1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5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i/>
      <sz val="12"/>
      <color theme="1"/>
      <name val="Times New Roman"/>
      <family val="1"/>
    </font>
    <font>
      <sz val="11"/>
      <name val="Arial"/>
      <family val="2"/>
    </font>
    <font>
      <i/>
      <sz val="13"/>
      <color theme="1"/>
      <name val="Times New Roman"/>
      <family val="1"/>
    </font>
    <font>
      <sz val="11"/>
      <color theme="1"/>
      <name val="Arial"/>
      <family val="2"/>
    </font>
    <font>
      <i/>
      <sz val="10"/>
      <color theme="1"/>
      <name val="Times New Roman"/>
      <family val="1"/>
    </font>
    <font>
      <i/>
      <sz val="11"/>
      <color theme="1"/>
      <name val="Arial"/>
      <family val="2"/>
    </font>
    <font>
      <sz val="13"/>
      <name val="Times New Roman"/>
      <family val="1"/>
    </font>
    <font>
      <i/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double">
        <color rgb="FF000000"/>
      </right>
      <top style="hair">
        <color rgb="FF000000"/>
      </top>
      <bottom/>
      <diagonal/>
    </border>
    <border>
      <left style="double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 applyAlignment="1">
      <alignment horizontal="right"/>
    </xf>
    <xf numFmtId="0" fontId="3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9" fontId="1" fillId="0" borderId="0" xfId="0" applyNumberFormat="1" applyFont="1"/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9" fillId="0" borderId="1" xfId="0" applyFont="1" applyBorder="1"/>
    <xf numFmtId="164" fontId="1" fillId="0" borderId="1" xfId="0" applyNumberFormat="1" applyFont="1" applyBorder="1"/>
    <xf numFmtId="0" fontId="2" fillId="0" borderId="1" xfId="0" applyFont="1" applyBorder="1" applyAlignment="1">
      <alignment horizontal="left"/>
    </xf>
    <xf numFmtId="0" fontId="7" fillId="0" borderId="7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166" fontId="7" fillId="0" borderId="10" xfId="0" applyNumberFormat="1" applyFont="1" applyBorder="1" applyAlignment="1">
      <alignment horizontal="center" vertical="center"/>
    </xf>
    <xf numFmtId="167" fontId="11" fillId="0" borderId="11" xfId="0" applyNumberFormat="1" applyFont="1" applyBorder="1" applyAlignment="1">
      <alignment horizontal="left"/>
    </xf>
    <xf numFmtId="0" fontId="7" fillId="0" borderId="7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166" fontId="7" fillId="0" borderId="13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horizontal="center"/>
    </xf>
    <xf numFmtId="167" fontId="11" fillId="0" borderId="14" xfId="0" applyNumberFormat="1" applyFont="1" applyBorder="1" applyAlignment="1">
      <alignment horizontal="left"/>
    </xf>
    <xf numFmtId="0" fontId="7" fillId="0" borderId="15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168" fontId="7" fillId="0" borderId="18" xfId="0" applyNumberFormat="1" applyFont="1" applyBorder="1" applyAlignment="1">
      <alignment vertical="center"/>
    </xf>
    <xf numFmtId="167" fontId="11" fillId="0" borderId="19" xfId="0" applyNumberFormat="1" applyFont="1" applyBorder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49" fontId="3" fillId="0" borderId="0" xfId="0" applyNumberFormat="1" applyFont="1"/>
    <xf numFmtId="0" fontId="8" fillId="0" borderId="0" xfId="0" applyFont="1" applyAlignment="1">
      <alignment horizontal="center" vertical="center"/>
    </xf>
    <xf numFmtId="167" fontId="11" fillId="0" borderId="0" xfId="0" applyNumberFormat="1" applyFont="1" applyAlignment="1">
      <alignment horizontal="left"/>
    </xf>
    <xf numFmtId="0" fontId="8" fillId="2" borderId="2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164" fontId="8" fillId="2" borderId="5" xfId="0" applyNumberFormat="1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7" fillId="0" borderId="20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166" fontId="7" fillId="0" borderId="23" xfId="0" applyNumberFormat="1" applyFont="1" applyBorder="1" applyAlignment="1">
      <alignment horizontal="center" vertical="center"/>
    </xf>
    <xf numFmtId="167" fontId="11" fillId="0" borderId="24" xfId="0" applyNumberFormat="1" applyFont="1" applyBorder="1" applyAlignment="1">
      <alignment horizontal="left"/>
    </xf>
    <xf numFmtId="0" fontId="12" fillId="0" borderId="0" xfId="0" applyFont="1"/>
    <xf numFmtId="0" fontId="8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166" fontId="7" fillId="0" borderId="18" xfId="0" applyNumberFormat="1" applyFont="1" applyBorder="1" applyAlignment="1">
      <alignment horizontal="center" vertical="center"/>
    </xf>
    <xf numFmtId="166" fontId="8" fillId="0" borderId="23" xfId="0" applyNumberFormat="1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16" fillId="0" borderId="0" xfId="0" applyFont="1"/>
    <xf numFmtId="167" fontId="2" fillId="0" borderId="11" xfId="0" applyNumberFormat="1" applyFont="1" applyBorder="1" applyAlignment="1">
      <alignment horizontal="left"/>
    </xf>
    <xf numFmtId="167" fontId="2" fillId="0" borderId="19" xfId="0" applyNumberFormat="1" applyFont="1" applyBorder="1" applyAlignment="1">
      <alignment horizontal="left"/>
    </xf>
    <xf numFmtId="0" fontId="3" fillId="0" borderId="0" xfId="0" applyFont="1" applyAlignment="1">
      <alignment horizontal="center"/>
    </xf>
    <xf numFmtId="0" fontId="10" fillId="0" borderId="9" xfId="0" applyFont="1" applyBorder="1"/>
    <xf numFmtId="0" fontId="7" fillId="0" borderId="8" xfId="0" applyFont="1" applyBorder="1" applyAlignment="1">
      <alignment horizontal="left"/>
    </xf>
    <xf numFmtId="167" fontId="2" fillId="0" borderId="11" xfId="0" applyNumberFormat="1" applyFont="1" applyBorder="1" applyAlignment="1">
      <alignment horizontal="left" vertical="center"/>
    </xf>
    <xf numFmtId="167" fontId="11" fillId="0" borderId="11" xfId="0" applyNumberFormat="1" applyFont="1" applyBorder="1" applyAlignment="1">
      <alignment horizontal="left" vertical="center"/>
    </xf>
    <xf numFmtId="167" fontId="11" fillId="0" borderId="11" xfId="0" applyNumberFormat="1" applyFont="1" applyBorder="1" applyAlignment="1">
      <alignment horizontal="center" wrapText="1"/>
    </xf>
    <xf numFmtId="167" fontId="11" fillId="0" borderId="11" xfId="0" applyNumberFormat="1" applyFont="1" applyBorder="1" applyAlignment="1">
      <alignment horizontal="left" vertical="top" wrapText="1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5" fillId="0" borderId="8" xfId="0" applyFont="1" applyBorder="1" applyAlignment="1">
      <alignment horizontal="left"/>
    </xf>
    <xf numFmtId="0" fontId="10" fillId="0" borderId="9" xfId="0" applyFont="1" applyBorder="1"/>
    <xf numFmtId="0" fontId="6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14" fillId="0" borderId="0" xfId="0" applyFont="1"/>
    <xf numFmtId="0" fontId="8" fillId="2" borderId="3" xfId="0" applyFont="1" applyFill="1" applyBorder="1" applyAlignment="1">
      <alignment horizontal="center" vertical="center"/>
    </xf>
    <xf numFmtId="0" fontId="10" fillId="2" borderId="4" xfId="0" applyFont="1" applyFill="1" applyBorder="1"/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16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8" fillId="0" borderId="21" xfId="0" applyFont="1" applyBorder="1" applyAlignment="1">
      <alignment horizontal="center"/>
    </xf>
    <xf numFmtId="0" fontId="10" fillId="0" borderId="22" xfId="0" applyFont="1" applyBorder="1"/>
    <xf numFmtId="0" fontId="7" fillId="0" borderId="16" xfId="0" applyFont="1" applyBorder="1" applyAlignment="1">
      <alignment horizontal="center"/>
    </xf>
    <xf numFmtId="0" fontId="10" fillId="0" borderId="17" xfId="0" applyFont="1" applyBorder="1"/>
    <xf numFmtId="0" fontId="1" fillId="0" borderId="0" xfId="0" applyFont="1" applyAlignment="1">
      <alignment horizontal="center"/>
    </xf>
    <xf numFmtId="0" fontId="7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10" fillId="0" borderId="9" xfId="0" applyFont="1" applyBorder="1" applyAlignment="1">
      <alignment vertical="center"/>
    </xf>
    <xf numFmtId="0" fontId="7" fillId="0" borderId="25" xfId="0" applyFont="1" applyBorder="1" applyAlignment="1">
      <alignment horizontal="left"/>
    </xf>
    <xf numFmtId="0" fontId="7" fillId="0" borderId="26" xfId="0" applyFont="1" applyBorder="1" applyAlignment="1">
      <alignment horizontal="left"/>
    </xf>
    <xf numFmtId="0" fontId="17" fillId="0" borderId="0" xfId="0" applyFont="1" applyAlignment="1">
      <alignment horizontal="center"/>
    </xf>
    <xf numFmtId="0" fontId="7" fillId="0" borderId="8" xfId="0" applyFont="1" applyBorder="1" applyAlignment="1">
      <alignment horizontal="left" vertical="top"/>
    </xf>
    <xf numFmtId="0" fontId="10" fillId="0" borderId="9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495300</xdr:colOff>
      <xdr:row>2</xdr:row>
      <xdr:rowOff>47625</xdr:rowOff>
    </xdr:from>
    <xdr:to>
      <xdr:col>1</xdr:col>
      <xdr:colOff>1247775</xdr:colOff>
      <xdr:row>2</xdr:row>
      <xdr:rowOff>47625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876300" y="466725"/>
          <a:ext cx="7524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361950</xdr:colOff>
      <xdr:row>2</xdr:row>
      <xdr:rowOff>47625</xdr:rowOff>
    </xdr:from>
    <xdr:to>
      <xdr:col>1</xdr:col>
      <xdr:colOff>1228725</xdr:colOff>
      <xdr:row>2</xdr:row>
      <xdr:rowOff>47625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781050" y="466725"/>
          <a:ext cx="8667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361950</xdr:colOff>
      <xdr:row>2</xdr:row>
      <xdr:rowOff>38100</xdr:rowOff>
    </xdr:from>
    <xdr:to>
      <xdr:col>1</xdr:col>
      <xdr:colOff>1228725</xdr:colOff>
      <xdr:row>2</xdr:row>
      <xdr:rowOff>38100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781050" y="457200"/>
          <a:ext cx="8667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2</xdr:row>
      <xdr:rowOff>47625</xdr:rowOff>
    </xdr:from>
    <xdr:to>
      <xdr:col>1</xdr:col>
      <xdr:colOff>1219200</xdr:colOff>
      <xdr:row>2</xdr:row>
      <xdr:rowOff>47625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771525" y="466725"/>
          <a:ext cx="8667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371475</xdr:colOff>
      <xdr:row>2</xdr:row>
      <xdr:rowOff>38100</xdr:rowOff>
    </xdr:from>
    <xdr:to>
      <xdr:col>1</xdr:col>
      <xdr:colOff>1238250</xdr:colOff>
      <xdr:row>2</xdr:row>
      <xdr:rowOff>38100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CxnSpPr/>
      </xdr:nvCxnSpPr>
      <xdr:spPr>
        <a:xfrm>
          <a:off x="790575" y="457200"/>
          <a:ext cx="8667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361950</xdr:colOff>
      <xdr:row>2</xdr:row>
      <xdr:rowOff>28575</xdr:rowOff>
    </xdr:from>
    <xdr:to>
      <xdr:col>1</xdr:col>
      <xdr:colOff>1228725</xdr:colOff>
      <xdr:row>2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CxnSpPr/>
      </xdr:nvCxnSpPr>
      <xdr:spPr>
        <a:xfrm>
          <a:off x="781050" y="447675"/>
          <a:ext cx="8667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466725</xdr:colOff>
      <xdr:row>2</xdr:row>
      <xdr:rowOff>38100</xdr:rowOff>
    </xdr:from>
    <xdr:to>
      <xdr:col>1</xdr:col>
      <xdr:colOff>1333500</xdr:colOff>
      <xdr:row>2</xdr:row>
      <xdr:rowOff>38100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885825" y="438150"/>
          <a:ext cx="8667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409575</xdr:colOff>
      <xdr:row>2</xdr:row>
      <xdr:rowOff>28575</xdr:rowOff>
    </xdr:from>
    <xdr:to>
      <xdr:col>1</xdr:col>
      <xdr:colOff>1276350</xdr:colOff>
      <xdr:row>2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CxnSpPr/>
      </xdr:nvCxnSpPr>
      <xdr:spPr>
        <a:xfrm>
          <a:off x="828675" y="447675"/>
          <a:ext cx="8667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371475</xdr:colOff>
      <xdr:row>2</xdr:row>
      <xdr:rowOff>28575</xdr:rowOff>
    </xdr:from>
    <xdr:to>
      <xdr:col>1</xdr:col>
      <xdr:colOff>1238250</xdr:colOff>
      <xdr:row>2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CxnSpPr/>
      </xdr:nvCxnSpPr>
      <xdr:spPr>
        <a:xfrm>
          <a:off x="790575" y="447675"/>
          <a:ext cx="8667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361950</xdr:colOff>
      <xdr:row>2</xdr:row>
      <xdr:rowOff>28575</xdr:rowOff>
    </xdr:from>
    <xdr:to>
      <xdr:col>1</xdr:col>
      <xdr:colOff>1228725</xdr:colOff>
      <xdr:row>2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CxnSpPr/>
      </xdr:nvCxnSpPr>
      <xdr:spPr>
        <a:xfrm>
          <a:off x="781050" y="447675"/>
          <a:ext cx="8667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2</xdr:row>
      <xdr:rowOff>38100</xdr:rowOff>
    </xdr:from>
    <xdr:to>
      <xdr:col>1</xdr:col>
      <xdr:colOff>1247775</xdr:colOff>
      <xdr:row>2</xdr:row>
      <xdr:rowOff>38100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CxnSpPr/>
      </xdr:nvCxnSpPr>
      <xdr:spPr>
        <a:xfrm>
          <a:off x="800100" y="457200"/>
          <a:ext cx="8667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371475</xdr:colOff>
      <xdr:row>2</xdr:row>
      <xdr:rowOff>47625</xdr:rowOff>
    </xdr:from>
    <xdr:to>
      <xdr:col>1</xdr:col>
      <xdr:colOff>1238250</xdr:colOff>
      <xdr:row>2</xdr:row>
      <xdr:rowOff>47625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CxnSpPr/>
      </xdr:nvCxnSpPr>
      <xdr:spPr>
        <a:xfrm>
          <a:off x="790575" y="466725"/>
          <a:ext cx="8667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361950</xdr:colOff>
      <xdr:row>2</xdr:row>
      <xdr:rowOff>28575</xdr:rowOff>
    </xdr:from>
    <xdr:to>
      <xdr:col>1</xdr:col>
      <xdr:colOff>1228725</xdr:colOff>
      <xdr:row>2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571D1577-5782-44ED-8E99-7D8281D6779F}"/>
            </a:ext>
          </a:extLst>
        </xdr:cNvPr>
        <xdr:cNvCxnSpPr/>
      </xdr:nvCxnSpPr>
      <xdr:spPr>
        <a:xfrm>
          <a:off x="781050" y="447675"/>
          <a:ext cx="8667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466725</xdr:colOff>
      <xdr:row>2</xdr:row>
      <xdr:rowOff>38100</xdr:rowOff>
    </xdr:from>
    <xdr:to>
      <xdr:col>1</xdr:col>
      <xdr:colOff>1333500</xdr:colOff>
      <xdr:row>2</xdr:row>
      <xdr:rowOff>38100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494FF2C0-9798-479F-93A9-B5EBF5FD56D5}"/>
            </a:ext>
          </a:extLst>
        </xdr:cNvPr>
        <xdr:cNvCxnSpPr/>
      </xdr:nvCxnSpPr>
      <xdr:spPr>
        <a:xfrm>
          <a:off x="885825" y="438150"/>
          <a:ext cx="8667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466725</xdr:colOff>
      <xdr:row>2</xdr:row>
      <xdr:rowOff>38100</xdr:rowOff>
    </xdr:from>
    <xdr:to>
      <xdr:col>1</xdr:col>
      <xdr:colOff>1333500</xdr:colOff>
      <xdr:row>2</xdr:row>
      <xdr:rowOff>38100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E26BEBD5-84C3-45F8-A9FA-5D6FD86C0869}"/>
            </a:ext>
          </a:extLst>
        </xdr:cNvPr>
        <xdr:cNvCxnSpPr/>
      </xdr:nvCxnSpPr>
      <xdr:spPr>
        <a:xfrm>
          <a:off x="885825" y="438150"/>
          <a:ext cx="8667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409575</xdr:colOff>
      <xdr:row>2</xdr:row>
      <xdr:rowOff>28575</xdr:rowOff>
    </xdr:from>
    <xdr:to>
      <xdr:col>1</xdr:col>
      <xdr:colOff>1276350</xdr:colOff>
      <xdr:row>2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B2EFB78B-69ED-47B8-ABD4-F4E275D8FB24}"/>
            </a:ext>
          </a:extLst>
        </xdr:cNvPr>
        <xdr:cNvCxnSpPr/>
      </xdr:nvCxnSpPr>
      <xdr:spPr>
        <a:xfrm>
          <a:off x="828675" y="447675"/>
          <a:ext cx="8667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495300</xdr:colOff>
      <xdr:row>2</xdr:row>
      <xdr:rowOff>47625</xdr:rowOff>
    </xdr:from>
    <xdr:to>
      <xdr:col>1</xdr:col>
      <xdr:colOff>1247775</xdr:colOff>
      <xdr:row>2</xdr:row>
      <xdr:rowOff>47625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4FB380B3-5A4F-45BC-B68A-88D61EF85EE9}"/>
            </a:ext>
          </a:extLst>
        </xdr:cNvPr>
        <xdr:cNvCxnSpPr/>
      </xdr:nvCxnSpPr>
      <xdr:spPr>
        <a:xfrm>
          <a:off x="876300" y="466725"/>
          <a:ext cx="7524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23"/>
  <sheetViews>
    <sheetView topLeftCell="A4" workbookViewId="0">
      <selection activeCell="D24" sqref="D24"/>
    </sheetView>
  </sheetViews>
  <sheetFormatPr defaultColWidth="12.625" defaultRowHeight="15" customHeight="1" x14ac:dyDescent="0.2"/>
  <cols>
    <col min="1" max="1" width="5" customWidth="1"/>
    <col min="2" max="2" width="22.5" customWidth="1"/>
    <col min="3" max="3" width="7.875" customWidth="1"/>
    <col min="4" max="4" width="8.375" customWidth="1"/>
    <col min="5" max="5" width="14.25" bestFit="1" customWidth="1"/>
    <col min="6" max="6" width="22" customWidth="1"/>
    <col min="7" max="11" width="7.625" customWidth="1"/>
    <col min="12" max="12" width="12.125" bestFit="1" customWidth="1"/>
    <col min="13" max="26" width="7.625" customWidth="1"/>
  </cols>
  <sheetData>
    <row r="1" spans="1:26" ht="16.5" x14ac:dyDescent="0.25">
      <c r="A1" s="64" t="s">
        <v>37</v>
      </c>
      <c r="B1" s="64"/>
      <c r="C1" s="64"/>
      <c r="D1" s="42"/>
      <c r="E1" s="2"/>
      <c r="F1" s="44" t="s">
        <v>36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6.5" x14ac:dyDescent="0.25">
      <c r="A2" s="65" t="s">
        <v>38</v>
      </c>
      <c r="B2" s="65"/>
      <c r="C2" s="65"/>
      <c r="E2" s="2"/>
      <c r="F2" s="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0.5" customHeight="1" x14ac:dyDescent="0.25">
      <c r="A3" s="43"/>
      <c r="B3" s="43"/>
      <c r="C3" s="43"/>
      <c r="E3" s="2"/>
      <c r="F3" s="5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9.5" x14ac:dyDescent="0.3">
      <c r="A4" s="68" t="s">
        <v>0</v>
      </c>
      <c r="B4" s="63"/>
      <c r="C4" s="63"/>
      <c r="D4" s="63"/>
      <c r="E4" s="63"/>
      <c r="F4" s="6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x14ac:dyDescent="0.25">
      <c r="A5" s="69">
        <v>46167</v>
      </c>
      <c r="B5" s="70"/>
      <c r="C5" s="70"/>
      <c r="D5" s="70"/>
      <c r="E5" s="70"/>
      <c r="F5" s="70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x14ac:dyDescent="0.25">
      <c r="A6" s="1"/>
      <c r="B6" s="1"/>
      <c r="C6" s="1"/>
      <c r="D6" s="6" t="s">
        <v>1</v>
      </c>
      <c r="E6" s="7" t="s">
        <v>56</v>
      </c>
      <c r="F6" s="5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x14ac:dyDescent="0.25">
      <c r="A7" s="1"/>
      <c r="B7" s="1"/>
      <c r="C7" s="1"/>
      <c r="D7" s="1"/>
      <c r="E7" s="2"/>
      <c r="F7" s="5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x14ac:dyDescent="0.25">
      <c r="A8" s="1"/>
      <c r="B8" s="8" t="s">
        <v>2</v>
      </c>
      <c r="C8" s="9" t="s">
        <v>47</v>
      </c>
      <c r="D8" s="4"/>
      <c r="E8" s="9"/>
      <c r="F8" s="10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6.5" x14ac:dyDescent="0.25">
      <c r="A9" s="1"/>
      <c r="B9" s="8" t="s">
        <v>3</v>
      </c>
      <c r="C9" s="9" t="s">
        <v>4</v>
      </c>
      <c r="D9" s="4"/>
      <c r="E9" s="9"/>
      <c r="F9" s="10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x14ac:dyDescent="0.25">
      <c r="A10" s="1"/>
      <c r="B10" s="8" t="s">
        <v>5</v>
      </c>
      <c r="C10" s="9" t="s">
        <v>6</v>
      </c>
      <c r="D10" s="4"/>
      <c r="E10" s="9"/>
      <c r="F10" s="10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6.5" x14ac:dyDescent="0.25">
      <c r="A11" s="1"/>
      <c r="B11" s="8" t="s">
        <v>7</v>
      </c>
      <c r="C11" s="9" t="s">
        <v>8</v>
      </c>
      <c r="D11" s="4"/>
      <c r="E11" s="9"/>
      <c r="F11" s="10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x14ac:dyDescent="0.25">
      <c r="A12" s="1"/>
      <c r="B12" s="11"/>
      <c r="C12" s="11"/>
      <c r="D12" s="12"/>
      <c r="E12" s="13"/>
      <c r="F12" s="1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2.5" customHeight="1" thickTop="1" x14ac:dyDescent="0.25">
      <c r="A13" s="34" t="s">
        <v>9</v>
      </c>
      <c r="B13" s="71" t="s">
        <v>10</v>
      </c>
      <c r="C13" s="72"/>
      <c r="D13" s="35" t="s">
        <v>11</v>
      </c>
      <c r="E13" s="36" t="s">
        <v>12</v>
      </c>
      <c r="F13" s="37" t="s">
        <v>13</v>
      </c>
      <c r="G13" s="4"/>
      <c r="H13" s="4"/>
      <c r="I13" s="4"/>
      <c r="J13" s="4"/>
      <c r="K13" s="4"/>
      <c r="L13" s="50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x14ac:dyDescent="0.25">
      <c r="A14" s="15">
        <v>1</v>
      </c>
      <c r="B14" s="66" t="s">
        <v>41</v>
      </c>
      <c r="C14" s="67"/>
      <c r="D14" s="20" t="s">
        <v>39</v>
      </c>
      <c r="E14" s="17">
        <v>190</v>
      </c>
      <c r="F14" s="18" t="s">
        <v>57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x14ac:dyDescent="0.25">
      <c r="A15" s="19">
        <v>2</v>
      </c>
      <c r="B15" s="55" t="s">
        <v>40</v>
      </c>
      <c r="C15" s="54"/>
      <c r="D15" s="20" t="s">
        <v>39</v>
      </c>
      <c r="E15" s="17">
        <v>20</v>
      </c>
      <c r="F15" s="18" t="s">
        <v>45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6.5" x14ac:dyDescent="0.25">
      <c r="A16" s="15">
        <v>3</v>
      </c>
      <c r="B16" s="66" t="s">
        <v>58</v>
      </c>
      <c r="C16" s="67"/>
      <c r="D16" s="20" t="s">
        <v>39</v>
      </c>
      <c r="E16" s="17">
        <v>1</v>
      </c>
      <c r="F16" s="18" t="s">
        <v>45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x14ac:dyDescent="0.25">
      <c r="A17" s="15"/>
      <c r="B17" s="73"/>
      <c r="C17" s="74"/>
      <c r="D17" s="16"/>
      <c r="E17" s="17"/>
      <c r="F17" s="18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 x14ac:dyDescent="0.25">
      <c r="A18" s="25"/>
      <c r="B18" s="75"/>
      <c r="C18" s="76"/>
      <c r="D18" s="26"/>
      <c r="E18" s="45"/>
      <c r="F18" s="18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7.25" thickBot="1" x14ac:dyDescent="0.3">
      <c r="A19" s="38"/>
      <c r="B19" s="77" t="s">
        <v>14</v>
      </c>
      <c r="C19" s="78"/>
      <c r="D19" s="39"/>
      <c r="E19" s="40">
        <f>SUM(E14:E18)</f>
        <v>211</v>
      </c>
      <c r="F19" s="41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thickTop="1" x14ac:dyDescent="0.25">
      <c r="A20" s="1"/>
      <c r="B20" s="1"/>
      <c r="C20" s="1"/>
      <c r="D20" s="1"/>
      <c r="E20" s="29"/>
      <c r="F20" s="2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5">
      <c r="A21" s="60" t="s">
        <v>15</v>
      </c>
      <c r="B21" s="63"/>
      <c r="C21" s="63"/>
      <c r="D21" s="63"/>
      <c r="E21" s="60" t="s">
        <v>55</v>
      </c>
      <c r="F21" s="63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1"/>
      <c r="B22" s="30"/>
      <c r="C22" s="30"/>
      <c r="D22" s="1"/>
      <c r="E22" s="2"/>
      <c r="F22" s="5"/>
      <c r="G22" s="4"/>
      <c r="H22" s="4"/>
      <c r="I22" s="4" t="s">
        <v>16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1"/>
      <c r="B23" s="30"/>
      <c r="C23" s="30"/>
      <c r="D23" s="1"/>
      <c r="E23" s="2"/>
      <c r="F23" s="5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1"/>
      <c r="B24" s="30"/>
      <c r="C24" s="30"/>
      <c r="D24" s="1"/>
      <c r="E24" s="2"/>
      <c r="F24" s="5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A25" s="1"/>
      <c r="B25" s="30"/>
      <c r="C25" s="30"/>
      <c r="D25" s="1"/>
      <c r="E25" s="2"/>
      <c r="F25" s="5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60" t="str">
        <f>C8</f>
        <v>Nguyễn Việt Hồng</v>
      </c>
      <c r="B26" s="60"/>
      <c r="C26" s="60"/>
      <c r="D26" s="60"/>
      <c r="E26" s="61" t="s">
        <v>48</v>
      </c>
      <c r="F26" s="63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3">
      <c r="A27" s="62"/>
      <c r="B27" s="63"/>
      <c r="C27" s="63"/>
      <c r="D27" s="63"/>
      <c r="E27" s="62"/>
      <c r="F27" s="63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4"/>
      <c r="B29" s="4"/>
      <c r="C29" s="60" t="s">
        <v>53</v>
      </c>
      <c r="D29" s="60"/>
      <c r="E29" s="60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5">
      <c r="A34" s="4"/>
      <c r="B34" s="4"/>
      <c r="C34" s="61" t="s">
        <v>54</v>
      </c>
      <c r="D34" s="61"/>
      <c r="E34" s="61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/>
    <row r="153" spans="1:26" ht="15.75" customHeight="1" x14ac:dyDescent="0.2"/>
    <row r="154" spans="1:26" ht="15.75" customHeight="1" x14ac:dyDescent="0.2"/>
    <row r="155" spans="1:26" ht="15.75" customHeight="1" x14ac:dyDescent="0.2"/>
    <row r="156" spans="1:26" ht="15.75" customHeight="1" x14ac:dyDescent="0.2"/>
    <row r="157" spans="1:26" ht="15.75" customHeight="1" x14ac:dyDescent="0.2"/>
    <row r="158" spans="1:26" ht="15.75" customHeight="1" x14ac:dyDescent="0.2"/>
    <row r="159" spans="1:26" ht="15.75" customHeight="1" x14ac:dyDescent="0.2"/>
    <row r="160" spans="1:26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</sheetData>
  <mergeCells count="18">
    <mergeCell ref="B16:C16"/>
    <mergeCell ref="A26:D26"/>
    <mergeCell ref="C29:E29"/>
    <mergeCell ref="C34:E34"/>
    <mergeCell ref="A27:D27"/>
    <mergeCell ref="E27:F27"/>
    <mergeCell ref="A1:C1"/>
    <mergeCell ref="A2:C2"/>
    <mergeCell ref="B14:C14"/>
    <mergeCell ref="E26:F26"/>
    <mergeCell ref="A4:F4"/>
    <mergeCell ref="A5:F5"/>
    <mergeCell ref="B13:C13"/>
    <mergeCell ref="B17:C17"/>
    <mergeCell ref="B18:C18"/>
    <mergeCell ref="B19:C19"/>
    <mergeCell ref="A21:D21"/>
    <mergeCell ref="E21:F21"/>
  </mergeCells>
  <pageMargins left="0.95" right="0.24" top="0.75" bottom="0.75" header="0" footer="0"/>
  <pageSetup paperSize="9"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4" zoomScaleNormal="100" workbookViewId="0">
      <selection activeCell="A14" sqref="A14"/>
    </sheetView>
  </sheetViews>
  <sheetFormatPr defaultColWidth="12.625" defaultRowHeight="15" customHeight="1" x14ac:dyDescent="0.2"/>
  <cols>
    <col min="1" max="1" width="4.875" customWidth="1"/>
    <col min="2" max="2" width="22.5" customWidth="1"/>
    <col min="3" max="3" width="9" customWidth="1"/>
    <col min="4" max="4" width="8.375" customWidth="1"/>
    <col min="5" max="5" width="10.5" customWidth="1"/>
    <col min="6" max="6" width="26.875" customWidth="1"/>
    <col min="7" max="7" width="7.625" customWidth="1"/>
    <col min="8" max="8" width="0.375" hidden="1" customWidth="1"/>
    <col min="9" max="26" width="7.625" customWidth="1"/>
  </cols>
  <sheetData>
    <row r="1" spans="1:26" ht="16.5" x14ac:dyDescent="0.25">
      <c r="A1" s="64" t="s">
        <v>37</v>
      </c>
      <c r="B1" s="64"/>
      <c r="C1" s="64"/>
      <c r="D1" s="42"/>
      <c r="E1" s="2"/>
      <c r="F1" s="44" t="s">
        <v>36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6.5" x14ac:dyDescent="0.25">
      <c r="A2" s="65" t="s">
        <v>38</v>
      </c>
      <c r="B2" s="65"/>
      <c r="C2" s="65"/>
      <c r="E2" s="2"/>
      <c r="F2" s="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x14ac:dyDescent="0.25">
      <c r="A3" s="60"/>
      <c r="B3" s="63"/>
      <c r="C3" s="63"/>
      <c r="D3" s="63"/>
      <c r="E3" s="2"/>
      <c r="F3" s="5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9.5" x14ac:dyDescent="0.3">
      <c r="A4" s="68" t="s">
        <v>0</v>
      </c>
      <c r="B4" s="63"/>
      <c r="C4" s="63"/>
      <c r="D4" s="63"/>
      <c r="E4" s="63"/>
      <c r="F4" s="6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x14ac:dyDescent="0.25">
      <c r="A5" s="69">
        <f>'TP1'!A5</f>
        <v>46167</v>
      </c>
      <c r="B5" s="70"/>
      <c r="C5" s="70"/>
      <c r="D5" s="70"/>
      <c r="E5" s="70"/>
      <c r="F5" s="70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x14ac:dyDescent="0.25">
      <c r="A6" s="1"/>
      <c r="B6" s="1"/>
      <c r="C6" s="1"/>
      <c r="D6" s="6" t="s">
        <v>1</v>
      </c>
      <c r="E6" s="7">
        <f>H6</f>
        <v>71</v>
      </c>
      <c r="F6" s="5"/>
      <c r="G6" s="4"/>
      <c r="H6" s="31">
        <f>'TP1'!E6+1</f>
        <v>71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x14ac:dyDescent="0.25">
      <c r="A7" s="1"/>
      <c r="B7" s="1"/>
      <c r="C7" s="1"/>
      <c r="D7" s="1"/>
      <c r="E7" s="2"/>
      <c r="F7" s="5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x14ac:dyDescent="0.25">
      <c r="A8" s="1"/>
      <c r="B8" s="8" t="s">
        <v>2</v>
      </c>
      <c r="C8" s="9" t="s">
        <v>35</v>
      </c>
      <c r="D8" s="4"/>
      <c r="E8" s="9"/>
      <c r="F8" s="10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6.5" x14ac:dyDescent="0.25">
      <c r="A9" s="1"/>
      <c r="B9" s="8" t="s">
        <v>3</v>
      </c>
      <c r="C9" s="9" t="s">
        <v>17</v>
      </c>
      <c r="D9" s="4"/>
      <c r="E9" s="9"/>
      <c r="F9" s="10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x14ac:dyDescent="0.25">
      <c r="A10" s="1"/>
      <c r="B10" s="8" t="s">
        <v>5</v>
      </c>
      <c r="C10" s="9" t="s">
        <v>6</v>
      </c>
      <c r="D10" s="4"/>
      <c r="E10" s="9"/>
      <c r="F10" s="10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6.5" x14ac:dyDescent="0.25">
      <c r="A11" s="1"/>
      <c r="B11" s="8" t="s">
        <v>7</v>
      </c>
      <c r="C11" s="9" t="s">
        <v>8</v>
      </c>
      <c r="D11" s="4"/>
      <c r="E11" s="9"/>
      <c r="F11" s="10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x14ac:dyDescent="0.25">
      <c r="A12" s="1"/>
      <c r="B12" s="11"/>
      <c r="C12" s="11"/>
      <c r="D12" s="12"/>
      <c r="E12" s="13"/>
      <c r="F12" s="1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1.75" customHeight="1" thickTop="1" x14ac:dyDescent="0.25">
      <c r="A13" s="34" t="s">
        <v>9</v>
      </c>
      <c r="B13" s="71" t="s">
        <v>10</v>
      </c>
      <c r="C13" s="72"/>
      <c r="D13" s="35" t="s">
        <v>11</v>
      </c>
      <c r="E13" s="36" t="s">
        <v>12</v>
      </c>
      <c r="F13" s="37" t="s">
        <v>13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 x14ac:dyDescent="0.25">
      <c r="A14" s="15">
        <v>1</v>
      </c>
      <c r="B14" s="73" t="s">
        <v>41</v>
      </c>
      <c r="C14" s="67"/>
      <c r="D14" s="16" t="s">
        <v>39</v>
      </c>
      <c r="E14" s="17">
        <v>10</v>
      </c>
      <c r="F14" s="51" t="s">
        <v>59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 x14ac:dyDescent="0.25">
      <c r="A15" s="15">
        <v>2</v>
      </c>
      <c r="B15" s="73" t="s">
        <v>40</v>
      </c>
      <c r="C15" s="67"/>
      <c r="D15" s="16" t="s">
        <v>39</v>
      </c>
      <c r="E15" s="22">
        <v>20</v>
      </c>
      <c r="F15" s="51" t="s">
        <v>45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 x14ac:dyDescent="0.25">
      <c r="A16" s="15">
        <v>3</v>
      </c>
      <c r="B16" s="73" t="s">
        <v>51</v>
      </c>
      <c r="C16" s="67"/>
      <c r="D16" s="16" t="s">
        <v>39</v>
      </c>
      <c r="E16" s="22">
        <v>1</v>
      </c>
      <c r="F16" s="51" t="s">
        <v>42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 x14ac:dyDescent="0.25">
      <c r="A17" s="19"/>
      <c r="B17" s="73"/>
      <c r="C17" s="67"/>
      <c r="D17" s="16"/>
      <c r="E17" s="22"/>
      <c r="F17" s="51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x14ac:dyDescent="0.25">
      <c r="A18" s="25"/>
      <c r="B18" s="79"/>
      <c r="C18" s="80"/>
      <c r="D18" s="26"/>
      <c r="E18" s="27"/>
      <c r="F18" s="52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7.25" thickBot="1" x14ac:dyDescent="0.3">
      <c r="A19" s="38"/>
      <c r="B19" s="77" t="s">
        <v>14</v>
      </c>
      <c r="C19" s="78"/>
      <c r="D19" s="39"/>
      <c r="E19" s="40">
        <f>SUM(E14:E18)</f>
        <v>31</v>
      </c>
      <c r="F19" s="41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thickTop="1" x14ac:dyDescent="0.25">
      <c r="A20" s="1"/>
      <c r="B20" s="1"/>
      <c r="C20" s="1"/>
      <c r="D20" s="1"/>
      <c r="E20" s="29"/>
      <c r="F20" s="2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5">
      <c r="A21" s="60" t="s">
        <v>15</v>
      </c>
      <c r="B21" s="63"/>
      <c r="C21" s="63"/>
      <c r="D21" s="63"/>
      <c r="E21" s="60" t="s">
        <v>55</v>
      </c>
      <c r="F21" s="63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1"/>
      <c r="B22" s="30"/>
      <c r="C22" s="30"/>
      <c r="D22" s="1"/>
      <c r="E22" s="2"/>
      <c r="F22" s="5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1"/>
      <c r="B23" s="30"/>
      <c r="C23" s="30"/>
      <c r="D23" s="1"/>
      <c r="E23" s="2"/>
      <c r="F23" s="5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1"/>
      <c r="B24" s="30"/>
      <c r="C24" s="30"/>
      <c r="D24" s="1"/>
      <c r="E24" s="2"/>
      <c r="F24" s="5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A25" s="1"/>
      <c r="B25" s="30"/>
      <c r="C25" s="30"/>
      <c r="D25" s="1"/>
      <c r="E25" s="2"/>
      <c r="F25" s="5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60" t="str">
        <f>C8</f>
        <v>Nguyễn Ngọc Thạch</v>
      </c>
      <c r="B26" s="60"/>
      <c r="C26" s="60"/>
      <c r="D26" s="60"/>
      <c r="E26" s="61" t="s">
        <v>48</v>
      </c>
      <c r="F26" s="63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3">
      <c r="A27" s="62"/>
      <c r="B27" s="63"/>
      <c r="C27" s="63"/>
      <c r="D27" s="63"/>
      <c r="E27" s="62"/>
      <c r="F27" s="63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5">
      <c r="A28" s="1"/>
      <c r="B28" s="1"/>
      <c r="C28" s="1"/>
      <c r="D28" s="1"/>
      <c r="E28" s="2"/>
      <c r="F28" s="5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1"/>
      <c r="B29" s="1"/>
      <c r="C29" s="60" t="s">
        <v>53</v>
      </c>
      <c r="D29" s="60"/>
      <c r="E29" s="60"/>
      <c r="F29" s="5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1"/>
      <c r="B30" s="1"/>
      <c r="C30" s="4"/>
      <c r="D30" s="4"/>
      <c r="E30" s="4"/>
      <c r="F30" s="5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1"/>
      <c r="B31" s="1"/>
      <c r="C31" s="4"/>
      <c r="D31" s="4"/>
      <c r="E31" s="4"/>
      <c r="F31" s="5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1"/>
      <c r="B32" s="1"/>
      <c r="C32" s="4"/>
      <c r="D32" s="4"/>
      <c r="E32" s="4"/>
      <c r="F32" s="5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5">
      <c r="A33" s="1"/>
      <c r="B33" s="1"/>
      <c r="C33" s="4"/>
      <c r="D33" s="4"/>
      <c r="E33" s="4"/>
      <c r="F33" s="5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5">
      <c r="A34" s="1"/>
      <c r="B34" s="1"/>
      <c r="C34" s="61" t="s">
        <v>54</v>
      </c>
      <c r="D34" s="61"/>
      <c r="E34" s="61"/>
      <c r="F34" s="5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5">
      <c r="A35" s="1"/>
      <c r="B35" s="1"/>
      <c r="C35" s="1"/>
      <c r="D35" s="1"/>
      <c r="E35" s="2"/>
      <c r="F35" s="5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5">
      <c r="A36" s="1"/>
      <c r="B36" s="1"/>
      <c r="C36" s="1"/>
      <c r="D36" s="1"/>
      <c r="E36" s="2"/>
      <c r="F36" s="5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5">
      <c r="A37" s="1"/>
      <c r="B37" s="1"/>
      <c r="C37" s="1"/>
      <c r="D37" s="1"/>
      <c r="E37" s="2"/>
      <c r="F37" s="5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5">
      <c r="A38" s="1"/>
      <c r="B38" s="1"/>
      <c r="C38" s="1"/>
      <c r="D38" s="1"/>
      <c r="E38" s="2"/>
      <c r="F38" s="5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5">
      <c r="A39" s="1"/>
      <c r="B39" s="1"/>
      <c r="C39" s="1"/>
      <c r="D39" s="1"/>
      <c r="E39" s="2"/>
      <c r="F39" s="5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5">
      <c r="A40" s="1"/>
      <c r="B40" s="1"/>
      <c r="C40" s="1"/>
      <c r="D40" s="1"/>
      <c r="E40" s="2"/>
      <c r="F40" s="5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5">
      <c r="A41" s="1"/>
      <c r="B41" s="1"/>
      <c r="C41" s="1"/>
      <c r="D41" s="1"/>
      <c r="E41" s="1"/>
      <c r="F41" s="1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1"/>
      <c r="B42" s="1"/>
      <c r="C42" s="1"/>
      <c r="D42" s="1"/>
      <c r="E42" s="1"/>
      <c r="F42" s="1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1"/>
      <c r="B43" s="1"/>
      <c r="C43" s="1"/>
      <c r="D43" s="1"/>
      <c r="E43" s="1"/>
      <c r="F43" s="1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5">
      <c r="A44" s="1"/>
      <c r="B44" s="1"/>
      <c r="C44" s="1"/>
      <c r="D44" s="1"/>
      <c r="E44" s="1"/>
      <c r="F44" s="1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5">
      <c r="A45" s="1"/>
      <c r="B45" s="1"/>
      <c r="C45" s="1"/>
      <c r="D45" s="1"/>
      <c r="E45" s="1"/>
      <c r="F45" s="1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1"/>
      <c r="B46" s="1"/>
      <c r="C46" s="1"/>
      <c r="D46" s="1"/>
      <c r="E46" s="1"/>
      <c r="F46" s="1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5">
      <c r="A47" s="1"/>
      <c r="B47" s="1"/>
      <c r="C47" s="1"/>
      <c r="D47" s="1"/>
      <c r="E47" s="1"/>
      <c r="F47" s="1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5">
      <c r="A48" s="1"/>
      <c r="B48" s="1"/>
      <c r="C48" s="1"/>
      <c r="D48" s="1"/>
      <c r="E48" s="1"/>
      <c r="F48" s="1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5">
      <c r="A49" s="1"/>
      <c r="B49" s="1"/>
      <c r="C49" s="1"/>
      <c r="D49" s="1"/>
      <c r="E49" s="1"/>
      <c r="F49" s="1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1"/>
      <c r="B50" s="1"/>
      <c r="C50" s="1"/>
      <c r="D50" s="1"/>
      <c r="E50" s="1"/>
      <c r="F50" s="1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1"/>
      <c r="B51" s="1"/>
      <c r="C51" s="1"/>
      <c r="D51" s="1"/>
      <c r="E51" s="1"/>
      <c r="F51" s="1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5">
      <c r="A52" s="1"/>
      <c r="B52" s="1"/>
      <c r="C52" s="1"/>
      <c r="D52" s="1"/>
      <c r="E52" s="1"/>
      <c r="F52" s="1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5">
      <c r="A53" s="1"/>
      <c r="B53" s="1"/>
      <c r="C53" s="1"/>
      <c r="D53" s="1"/>
      <c r="E53" s="1"/>
      <c r="F53" s="1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1"/>
      <c r="B54" s="1"/>
      <c r="C54" s="1"/>
      <c r="D54" s="1"/>
      <c r="E54" s="1"/>
      <c r="F54" s="1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5">
      <c r="A55" s="1"/>
      <c r="B55" s="1"/>
      <c r="C55" s="1"/>
      <c r="D55" s="1"/>
      <c r="E55" s="1"/>
      <c r="F55" s="1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5">
      <c r="A56" s="1"/>
      <c r="B56" s="1"/>
      <c r="C56" s="1"/>
      <c r="D56" s="1"/>
      <c r="E56" s="1"/>
      <c r="F56" s="1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1"/>
      <c r="B57" s="1"/>
      <c r="C57" s="1"/>
      <c r="D57" s="1"/>
      <c r="E57" s="1"/>
      <c r="F57" s="1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5">
      <c r="A58" s="1"/>
      <c r="B58" s="1"/>
      <c r="C58" s="1"/>
      <c r="D58" s="1"/>
      <c r="E58" s="1"/>
      <c r="F58" s="1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5">
      <c r="A59" s="1"/>
      <c r="B59" s="1"/>
      <c r="C59" s="1"/>
      <c r="D59" s="1"/>
      <c r="E59" s="1"/>
      <c r="F59" s="1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5">
      <c r="A60" s="1"/>
      <c r="B60" s="1"/>
      <c r="C60" s="1"/>
      <c r="D60" s="1"/>
      <c r="E60" s="1"/>
      <c r="F60" s="1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5">
      <c r="A61" s="1"/>
      <c r="B61" s="1"/>
      <c r="C61" s="1"/>
      <c r="D61" s="1"/>
      <c r="E61" s="1"/>
      <c r="F61" s="1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"/>
    <row r="228" spans="1:26" ht="15.75" customHeight="1" x14ac:dyDescent="0.2"/>
    <row r="229" spans="1:26" ht="15.75" customHeight="1" x14ac:dyDescent="0.2"/>
    <row r="230" spans="1:26" ht="15.75" customHeight="1" x14ac:dyDescent="0.2"/>
    <row r="231" spans="1:26" ht="15.75" customHeight="1" x14ac:dyDescent="0.2"/>
    <row r="232" spans="1:26" ht="15.75" customHeight="1" x14ac:dyDescent="0.2"/>
    <row r="233" spans="1:26" ht="15.75" customHeight="1" x14ac:dyDescent="0.2"/>
    <row r="234" spans="1:26" ht="15.75" customHeight="1" x14ac:dyDescent="0.2"/>
    <row r="235" spans="1:26" ht="15.75" customHeight="1" x14ac:dyDescent="0.2"/>
    <row r="236" spans="1:26" ht="15.75" customHeight="1" x14ac:dyDescent="0.2"/>
    <row r="237" spans="1:26" ht="15.75" customHeight="1" x14ac:dyDescent="0.2"/>
    <row r="238" spans="1:26" ht="15.75" customHeight="1" x14ac:dyDescent="0.2"/>
    <row r="239" spans="1:26" ht="15.75" customHeight="1" x14ac:dyDescent="0.2"/>
    <row r="240" spans="1:26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0">
    <mergeCell ref="A1:C1"/>
    <mergeCell ref="A2:C2"/>
    <mergeCell ref="B14:C14"/>
    <mergeCell ref="B16:C16"/>
    <mergeCell ref="A3:D3"/>
    <mergeCell ref="A4:F4"/>
    <mergeCell ref="A5:F5"/>
    <mergeCell ref="B13:C13"/>
    <mergeCell ref="C34:E34"/>
    <mergeCell ref="B15:C15"/>
    <mergeCell ref="B17:C17"/>
    <mergeCell ref="C29:E29"/>
    <mergeCell ref="A27:D27"/>
    <mergeCell ref="E27:F27"/>
    <mergeCell ref="B18:C18"/>
    <mergeCell ref="B19:C19"/>
    <mergeCell ref="A21:D21"/>
    <mergeCell ref="E21:F21"/>
    <mergeCell ref="E26:F26"/>
    <mergeCell ref="A26:D26"/>
  </mergeCells>
  <pageMargins left="0.63" right="0.3" top="0.75" bottom="0.75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9"/>
  <sheetViews>
    <sheetView topLeftCell="A4" workbookViewId="0">
      <selection activeCell="J20" sqref="J20"/>
    </sheetView>
  </sheetViews>
  <sheetFormatPr defaultColWidth="12.625" defaultRowHeight="15" customHeight="1" x14ac:dyDescent="0.2"/>
  <cols>
    <col min="1" max="1" width="5.5" customWidth="1"/>
    <col min="2" max="2" width="22.5" customWidth="1"/>
    <col min="3" max="3" width="8.25" customWidth="1"/>
    <col min="4" max="4" width="7.625" customWidth="1"/>
    <col min="5" max="5" width="12.875" customWidth="1"/>
    <col min="6" max="6" width="22.625" customWidth="1"/>
    <col min="7" max="7" width="7.625" customWidth="1"/>
    <col min="8" max="8" width="7.625" hidden="1" customWidth="1"/>
    <col min="9" max="26" width="7.625" customWidth="1"/>
  </cols>
  <sheetData>
    <row r="1" spans="1:26" ht="16.5" x14ac:dyDescent="0.25">
      <c r="A1" s="64" t="s">
        <v>37</v>
      </c>
      <c r="B1" s="64"/>
      <c r="C1" s="64"/>
      <c r="D1" s="42"/>
      <c r="E1" s="2"/>
      <c r="F1" s="44" t="s">
        <v>36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6.5" x14ac:dyDescent="0.25">
      <c r="A2" s="65" t="s">
        <v>38</v>
      </c>
      <c r="B2" s="65"/>
      <c r="C2" s="65"/>
      <c r="E2" s="2"/>
      <c r="F2" s="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x14ac:dyDescent="0.25">
      <c r="A3" s="60"/>
      <c r="B3" s="63"/>
      <c r="C3" s="63"/>
      <c r="D3" s="63"/>
      <c r="E3" s="2"/>
      <c r="F3" s="5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9.5" x14ac:dyDescent="0.3">
      <c r="A4" s="68" t="s">
        <v>0</v>
      </c>
      <c r="B4" s="63"/>
      <c r="C4" s="63"/>
      <c r="D4" s="63"/>
      <c r="E4" s="63"/>
      <c r="F4" s="6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x14ac:dyDescent="0.25">
      <c r="A5" s="69">
        <f>'TP1'!A5</f>
        <v>46167</v>
      </c>
      <c r="B5" s="70"/>
      <c r="C5" s="70"/>
      <c r="D5" s="70"/>
      <c r="E5" s="70"/>
      <c r="F5" s="70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x14ac:dyDescent="0.25">
      <c r="A6" s="1"/>
      <c r="B6" s="1"/>
      <c r="C6" s="1"/>
      <c r="D6" s="6" t="s">
        <v>1</v>
      </c>
      <c r="E6" s="7">
        <f>H7</f>
        <v>72</v>
      </c>
      <c r="F6" s="5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x14ac:dyDescent="0.25">
      <c r="A7" s="1"/>
      <c r="B7" s="1"/>
      <c r="C7" s="1"/>
      <c r="D7" s="1"/>
      <c r="E7" s="2"/>
      <c r="F7" s="5"/>
      <c r="G7" s="4"/>
      <c r="H7" s="31">
        <f>'TP2'!E6+1</f>
        <v>72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x14ac:dyDescent="0.25">
      <c r="A8" s="1"/>
      <c r="B8" s="8" t="s">
        <v>2</v>
      </c>
      <c r="C8" s="9" t="s">
        <v>32</v>
      </c>
      <c r="D8" s="4"/>
      <c r="E8" s="9"/>
      <c r="F8" s="10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6.5" x14ac:dyDescent="0.25">
      <c r="A9" s="1"/>
      <c r="B9" s="8" t="s">
        <v>3</v>
      </c>
      <c r="C9" s="9" t="s">
        <v>18</v>
      </c>
      <c r="D9" s="4"/>
      <c r="E9" s="9"/>
      <c r="F9" s="10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x14ac:dyDescent="0.25">
      <c r="A10" s="1"/>
      <c r="B10" s="8" t="s">
        <v>5</v>
      </c>
      <c r="C10" s="9" t="s">
        <v>6</v>
      </c>
      <c r="D10" s="4"/>
      <c r="E10" s="9"/>
      <c r="F10" s="10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6.5" x14ac:dyDescent="0.25">
      <c r="A11" s="1"/>
      <c r="B11" s="8" t="s">
        <v>7</v>
      </c>
      <c r="C11" s="9" t="s">
        <v>8</v>
      </c>
      <c r="D11" s="4"/>
      <c r="E11" s="9"/>
      <c r="F11" s="10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x14ac:dyDescent="0.25">
      <c r="A12" s="1"/>
      <c r="B12" s="11"/>
      <c r="C12" s="11"/>
      <c r="D12" s="12"/>
      <c r="E12" s="13"/>
      <c r="F12" s="1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9.5" customHeight="1" thickTop="1" x14ac:dyDescent="0.25">
      <c r="A13" s="34" t="s">
        <v>9</v>
      </c>
      <c r="B13" s="71" t="s">
        <v>10</v>
      </c>
      <c r="C13" s="72"/>
      <c r="D13" s="35" t="s">
        <v>11</v>
      </c>
      <c r="E13" s="36" t="s">
        <v>12</v>
      </c>
      <c r="F13" s="37" t="s">
        <v>13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x14ac:dyDescent="0.25">
      <c r="A14" s="15">
        <v>1</v>
      </c>
      <c r="B14" s="73" t="s">
        <v>41</v>
      </c>
      <c r="C14" s="67"/>
      <c r="D14" s="16" t="s">
        <v>39</v>
      </c>
      <c r="E14" s="17">
        <v>90</v>
      </c>
      <c r="F14" s="18" t="s">
        <v>57</v>
      </c>
      <c r="G14" s="4"/>
      <c r="H14" s="4"/>
      <c r="I14" s="4"/>
      <c r="J14" s="4"/>
      <c r="K14" s="4"/>
      <c r="L14" s="4"/>
      <c r="M14" s="4" t="s">
        <v>16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x14ac:dyDescent="0.25">
      <c r="A15" s="19">
        <v>2</v>
      </c>
      <c r="B15" s="73" t="s">
        <v>40</v>
      </c>
      <c r="C15" s="67"/>
      <c r="D15" s="16" t="s">
        <v>39</v>
      </c>
      <c r="E15" s="17">
        <v>20</v>
      </c>
      <c r="F15" s="18" t="s">
        <v>45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6.5" x14ac:dyDescent="0.25">
      <c r="A16" s="19"/>
      <c r="B16" s="73"/>
      <c r="C16" s="67"/>
      <c r="D16" s="16"/>
      <c r="E16" s="17"/>
      <c r="F16" s="18"/>
      <c r="G16" s="50"/>
      <c r="H16" s="50"/>
      <c r="I16" s="50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x14ac:dyDescent="0.25">
      <c r="A17" s="19"/>
      <c r="B17" s="73"/>
      <c r="C17" s="67"/>
      <c r="D17" s="16"/>
      <c r="E17" s="22"/>
      <c r="F17" s="18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x14ac:dyDescent="0.25">
      <c r="A18" s="25"/>
      <c r="B18" s="79"/>
      <c r="C18" s="80"/>
      <c r="D18" s="26"/>
      <c r="E18" s="27"/>
      <c r="F18" s="28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7.25" thickBot="1" x14ac:dyDescent="0.3">
      <c r="A19" s="38"/>
      <c r="B19" s="77" t="s">
        <v>14</v>
      </c>
      <c r="C19" s="78"/>
      <c r="D19" s="39"/>
      <c r="E19" s="46">
        <f>SUM(E14:E18)</f>
        <v>110</v>
      </c>
      <c r="F19" s="41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thickTop="1" x14ac:dyDescent="0.25">
      <c r="A20" s="1"/>
      <c r="B20" s="1"/>
      <c r="C20" s="1"/>
      <c r="D20" s="1"/>
      <c r="E20" s="29"/>
      <c r="F20" s="2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5">
      <c r="A21" s="60" t="s">
        <v>15</v>
      </c>
      <c r="B21" s="63"/>
      <c r="C21" s="63"/>
      <c r="D21" s="63"/>
      <c r="E21" s="60" t="s">
        <v>55</v>
      </c>
      <c r="F21" s="63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1"/>
      <c r="B22" s="30"/>
      <c r="C22" s="30"/>
      <c r="D22" s="1"/>
      <c r="E22" s="2"/>
      <c r="F22" s="5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1"/>
      <c r="B23" s="30"/>
      <c r="C23" s="30"/>
      <c r="D23" s="1"/>
      <c r="E23" s="2"/>
      <c r="F23" s="5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1"/>
      <c r="B24" s="30"/>
      <c r="C24" s="30"/>
      <c r="D24" s="1"/>
      <c r="E24" s="2"/>
      <c r="F24" s="5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A25" s="1"/>
      <c r="B25" s="30"/>
      <c r="C25" s="30"/>
      <c r="D25" s="1"/>
      <c r="E25" s="2"/>
      <c r="F25" s="5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60" t="str">
        <f>C8</f>
        <v>Hồ Thành Trung</v>
      </c>
      <c r="B26" s="60"/>
      <c r="C26" s="60"/>
      <c r="D26" s="60"/>
      <c r="E26" s="61" t="s">
        <v>48</v>
      </c>
      <c r="F26" s="63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3">
      <c r="A27" s="62"/>
      <c r="B27" s="63"/>
      <c r="C27" s="63"/>
      <c r="D27" s="63"/>
      <c r="E27" s="62"/>
      <c r="F27" s="63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5">
      <c r="A28" s="1"/>
      <c r="B28" s="1"/>
      <c r="C28" s="1"/>
      <c r="D28" s="1"/>
      <c r="E28" s="2"/>
      <c r="F28" s="5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1"/>
      <c r="B29" s="1"/>
      <c r="C29" s="60" t="s">
        <v>53</v>
      </c>
      <c r="D29" s="60"/>
      <c r="E29" s="60"/>
      <c r="F29" s="5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1"/>
      <c r="B30" s="1"/>
      <c r="C30" s="4"/>
      <c r="D30" s="4"/>
      <c r="E30" s="4"/>
      <c r="F30" s="5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1"/>
      <c r="B31" s="1"/>
      <c r="C31" s="4"/>
      <c r="D31" s="4"/>
      <c r="E31" s="4"/>
      <c r="F31" s="5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1"/>
      <c r="B32" s="1"/>
      <c r="C32" s="4"/>
      <c r="D32" s="4"/>
      <c r="E32" s="4"/>
      <c r="F32" s="5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5">
      <c r="A33" s="1"/>
      <c r="B33" s="1"/>
      <c r="C33" s="4"/>
      <c r="D33" s="4"/>
      <c r="E33" s="4"/>
      <c r="F33" s="5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5">
      <c r="A34" s="1"/>
      <c r="B34" s="1"/>
      <c r="C34" s="61" t="s">
        <v>54</v>
      </c>
      <c r="D34" s="61"/>
      <c r="E34" s="61"/>
      <c r="F34" s="5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5">
      <c r="A35" s="1"/>
      <c r="B35" s="1"/>
      <c r="C35" s="1"/>
      <c r="D35" s="1"/>
      <c r="E35" s="2"/>
      <c r="F35" s="5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5">
      <c r="A36" s="1"/>
      <c r="B36" s="1"/>
      <c r="C36" s="1"/>
      <c r="D36" s="1"/>
      <c r="E36" s="2"/>
      <c r="F36" s="5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5">
      <c r="A37" s="1"/>
      <c r="B37" s="1"/>
      <c r="C37" s="1"/>
      <c r="D37" s="1"/>
      <c r="E37" s="2"/>
      <c r="F37" s="5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5">
      <c r="A38" s="1"/>
      <c r="B38" s="1"/>
      <c r="C38" s="1"/>
      <c r="D38" s="1"/>
      <c r="E38" s="2"/>
      <c r="F38" s="5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5">
      <c r="A39" s="1"/>
      <c r="B39" s="1"/>
      <c r="C39" s="1"/>
      <c r="D39" s="1"/>
      <c r="E39" s="2"/>
      <c r="F39" s="5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5">
      <c r="A40" s="1"/>
      <c r="B40" s="1"/>
      <c r="C40" s="1"/>
      <c r="D40" s="1"/>
      <c r="E40" s="2"/>
      <c r="F40" s="5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5">
      <c r="A41" s="1"/>
      <c r="B41" s="1"/>
      <c r="C41" s="1"/>
      <c r="D41" s="1"/>
      <c r="E41" s="1"/>
      <c r="F41" s="1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1"/>
      <c r="B42" s="1"/>
      <c r="C42" s="1"/>
      <c r="D42" s="1"/>
      <c r="E42" s="1"/>
      <c r="F42" s="1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1"/>
      <c r="B43" s="1"/>
      <c r="C43" s="1"/>
      <c r="D43" s="1"/>
      <c r="E43" s="1"/>
      <c r="F43" s="1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5">
      <c r="A44" s="1"/>
      <c r="B44" s="1"/>
      <c r="C44" s="1"/>
      <c r="D44" s="1"/>
      <c r="E44" s="1"/>
      <c r="F44" s="1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5">
      <c r="A45" s="1"/>
      <c r="B45" s="1"/>
      <c r="C45" s="1"/>
      <c r="D45" s="1"/>
      <c r="E45" s="1"/>
      <c r="F45" s="1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1"/>
      <c r="B46" s="1"/>
      <c r="C46" s="1"/>
      <c r="D46" s="1"/>
      <c r="E46" s="1"/>
      <c r="F46" s="1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5">
      <c r="A47" s="1"/>
      <c r="B47" s="1"/>
      <c r="C47" s="1"/>
      <c r="D47" s="1"/>
      <c r="E47" s="1"/>
      <c r="F47" s="1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5">
      <c r="A48" s="1"/>
      <c r="B48" s="1"/>
      <c r="C48" s="1"/>
      <c r="D48" s="1"/>
      <c r="E48" s="1"/>
      <c r="F48" s="1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5">
      <c r="A49" s="1"/>
      <c r="B49" s="1"/>
      <c r="C49" s="1"/>
      <c r="D49" s="1"/>
      <c r="E49" s="1"/>
      <c r="F49" s="1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1"/>
      <c r="B50" s="1"/>
      <c r="C50" s="1"/>
      <c r="D50" s="1"/>
      <c r="E50" s="1"/>
      <c r="F50" s="1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1"/>
      <c r="B51" s="1"/>
      <c r="C51" s="1"/>
      <c r="D51" s="1"/>
      <c r="E51" s="1"/>
      <c r="F51" s="1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5">
      <c r="A52" s="1"/>
      <c r="B52" s="1"/>
      <c r="C52" s="1"/>
      <c r="D52" s="1"/>
      <c r="E52" s="1"/>
      <c r="F52" s="1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5">
      <c r="A53" s="1"/>
      <c r="B53" s="1"/>
      <c r="C53" s="1"/>
      <c r="D53" s="1"/>
      <c r="E53" s="1"/>
      <c r="F53" s="1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1"/>
      <c r="B54" s="1"/>
      <c r="C54" s="1"/>
      <c r="D54" s="1"/>
      <c r="E54" s="1"/>
      <c r="F54" s="1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5">
      <c r="A55" s="1"/>
      <c r="B55" s="1"/>
      <c r="C55" s="1"/>
      <c r="D55" s="1"/>
      <c r="E55" s="1"/>
      <c r="F55" s="1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5">
      <c r="A56" s="1"/>
      <c r="B56" s="1"/>
      <c r="C56" s="1"/>
      <c r="D56" s="1"/>
      <c r="E56" s="1"/>
      <c r="F56" s="1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1"/>
      <c r="B57" s="1"/>
      <c r="C57" s="1"/>
      <c r="D57" s="1"/>
      <c r="E57" s="1"/>
      <c r="F57" s="1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5">
      <c r="A58" s="1"/>
      <c r="B58" s="1"/>
      <c r="C58" s="1"/>
      <c r="D58" s="1"/>
      <c r="E58" s="1"/>
      <c r="F58" s="1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5">
      <c r="A59" s="1"/>
      <c r="B59" s="1"/>
      <c r="C59" s="1"/>
      <c r="D59" s="1"/>
      <c r="E59" s="1"/>
      <c r="F59" s="1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5">
      <c r="A60" s="1"/>
      <c r="B60" s="1"/>
      <c r="C60" s="1"/>
      <c r="D60" s="1"/>
      <c r="E60" s="1"/>
      <c r="F60" s="1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5">
      <c r="A61" s="1"/>
      <c r="B61" s="1"/>
      <c r="C61" s="1"/>
      <c r="D61" s="1"/>
      <c r="E61" s="1"/>
      <c r="F61" s="1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"/>
    <row r="228" spans="1:26" ht="15.75" customHeight="1" x14ac:dyDescent="0.2"/>
    <row r="229" spans="1:26" ht="15.75" customHeight="1" x14ac:dyDescent="0.2"/>
    <row r="230" spans="1:26" ht="15.75" customHeight="1" x14ac:dyDescent="0.2"/>
    <row r="231" spans="1:26" ht="15.75" customHeight="1" x14ac:dyDescent="0.2"/>
    <row r="232" spans="1:26" ht="15.75" customHeight="1" x14ac:dyDescent="0.2"/>
    <row r="233" spans="1:26" ht="15.75" customHeight="1" x14ac:dyDescent="0.2"/>
    <row r="234" spans="1:26" ht="15.75" customHeight="1" x14ac:dyDescent="0.2"/>
    <row r="235" spans="1:26" ht="15.75" customHeight="1" x14ac:dyDescent="0.2"/>
    <row r="236" spans="1:26" ht="15.75" customHeight="1" x14ac:dyDescent="0.2"/>
    <row r="237" spans="1:26" ht="15.75" customHeight="1" x14ac:dyDescent="0.2"/>
    <row r="238" spans="1:26" ht="15.75" customHeight="1" x14ac:dyDescent="0.2"/>
    <row r="239" spans="1:26" ht="15.75" customHeight="1" x14ac:dyDescent="0.2"/>
    <row r="240" spans="1:26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20">
    <mergeCell ref="E21:F21"/>
    <mergeCell ref="A26:D26"/>
    <mergeCell ref="E26:F26"/>
    <mergeCell ref="C29:E29"/>
    <mergeCell ref="C34:E34"/>
    <mergeCell ref="A27:D27"/>
    <mergeCell ref="E27:F27"/>
    <mergeCell ref="A1:C1"/>
    <mergeCell ref="A2:C2"/>
    <mergeCell ref="B14:C14"/>
    <mergeCell ref="B15:C15"/>
    <mergeCell ref="A3:D3"/>
    <mergeCell ref="A4:F4"/>
    <mergeCell ref="A5:F5"/>
    <mergeCell ref="B13:C13"/>
    <mergeCell ref="B16:C16"/>
    <mergeCell ref="B17:C17"/>
    <mergeCell ref="B18:C18"/>
    <mergeCell ref="B19:C19"/>
    <mergeCell ref="A21:D21"/>
  </mergeCells>
  <pageMargins left="0.81" right="0.24" top="0.75" bottom="0.75" header="0" footer="0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22"/>
  <sheetViews>
    <sheetView workbookViewId="0">
      <selection activeCell="G10" sqref="G10"/>
    </sheetView>
  </sheetViews>
  <sheetFormatPr defaultColWidth="12.625" defaultRowHeight="15" customHeight="1" x14ac:dyDescent="0.2"/>
  <cols>
    <col min="1" max="1" width="5.5" customWidth="1"/>
    <col min="2" max="2" width="22.5" customWidth="1"/>
    <col min="3" max="3" width="8.625" customWidth="1"/>
    <col min="4" max="4" width="8.375" customWidth="1"/>
    <col min="5" max="5" width="11.75" customWidth="1"/>
    <col min="6" max="6" width="21.125" customWidth="1"/>
    <col min="7" max="7" width="7.625" customWidth="1"/>
    <col min="8" max="8" width="7.625" hidden="1" customWidth="1"/>
    <col min="9" max="26" width="7.625" customWidth="1"/>
  </cols>
  <sheetData>
    <row r="1" spans="1:26" ht="16.5" x14ac:dyDescent="0.25">
      <c r="A1" s="64" t="s">
        <v>37</v>
      </c>
      <c r="B1" s="64"/>
      <c r="C1" s="64"/>
      <c r="D1" s="42"/>
      <c r="E1" s="2"/>
      <c r="F1" s="44" t="s">
        <v>36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6.5" x14ac:dyDescent="0.25">
      <c r="A2" s="65" t="s">
        <v>38</v>
      </c>
      <c r="B2" s="65"/>
      <c r="C2" s="65"/>
      <c r="E2" s="2"/>
      <c r="F2" s="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x14ac:dyDescent="0.25">
      <c r="A3" s="60"/>
      <c r="B3" s="63"/>
      <c r="C3" s="63"/>
      <c r="D3" s="63"/>
      <c r="E3" s="2"/>
      <c r="F3" s="5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9.5" x14ac:dyDescent="0.3">
      <c r="A4" s="68" t="s">
        <v>0</v>
      </c>
      <c r="B4" s="63"/>
      <c r="C4" s="63"/>
      <c r="D4" s="63"/>
      <c r="E4" s="63"/>
      <c r="F4" s="6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x14ac:dyDescent="0.25">
      <c r="A5" s="69">
        <f>'TP1'!A5</f>
        <v>46167</v>
      </c>
      <c r="B5" s="70"/>
      <c r="C5" s="70"/>
      <c r="D5" s="70"/>
      <c r="E5" s="70"/>
      <c r="F5" s="70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x14ac:dyDescent="0.25">
      <c r="A6" s="1"/>
      <c r="B6" s="1"/>
      <c r="C6" s="1"/>
      <c r="D6" s="6" t="s">
        <v>1</v>
      </c>
      <c r="E6" s="7">
        <f>H6</f>
        <v>73</v>
      </c>
      <c r="F6" s="5"/>
      <c r="G6" s="4"/>
      <c r="H6" s="31">
        <f>MS!E6+1</f>
        <v>73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x14ac:dyDescent="0.25">
      <c r="A7" s="1"/>
      <c r="B7" s="1"/>
      <c r="C7" s="1"/>
      <c r="D7" s="1"/>
      <c r="E7" s="2"/>
      <c r="F7" s="5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x14ac:dyDescent="0.25">
      <c r="A8" s="1"/>
      <c r="B8" s="8" t="s">
        <v>2</v>
      </c>
      <c r="C8" s="9" t="s">
        <v>19</v>
      </c>
      <c r="D8" s="4"/>
      <c r="E8" s="9"/>
      <c r="F8" s="10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6.5" x14ac:dyDescent="0.25">
      <c r="A9" s="1"/>
      <c r="B9" s="8" t="s">
        <v>3</v>
      </c>
      <c r="C9" s="9" t="s">
        <v>20</v>
      </c>
      <c r="D9" s="4"/>
      <c r="E9" s="9"/>
      <c r="F9" s="10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x14ac:dyDescent="0.25">
      <c r="A10" s="1"/>
      <c r="B10" s="8" t="s">
        <v>5</v>
      </c>
      <c r="C10" s="9" t="s">
        <v>6</v>
      </c>
      <c r="D10" s="4"/>
      <c r="E10" s="9"/>
      <c r="F10" s="10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6.5" x14ac:dyDescent="0.25">
      <c r="A11" s="1"/>
      <c r="B11" s="8" t="s">
        <v>7</v>
      </c>
      <c r="C11" s="9" t="s">
        <v>43</v>
      </c>
      <c r="D11" s="4"/>
      <c r="E11" s="9"/>
      <c r="F11" s="10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x14ac:dyDescent="0.25">
      <c r="A12" s="1"/>
      <c r="B12" s="11"/>
      <c r="C12" s="11"/>
      <c r="D12" s="12"/>
      <c r="E12" s="13"/>
      <c r="F12" s="1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9.5" customHeight="1" thickTop="1" x14ac:dyDescent="0.25">
      <c r="A13" s="34" t="s">
        <v>9</v>
      </c>
      <c r="B13" s="71" t="s">
        <v>10</v>
      </c>
      <c r="C13" s="72"/>
      <c r="D13" s="35" t="s">
        <v>11</v>
      </c>
      <c r="E13" s="36" t="s">
        <v>12</v>
      </c>
      <c r="F13" s="37" t="s">
        <v>13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7.25" customHeight="1" x14ac:dyDescent="0.25">
      <c r="A14" s="19">
        <v>1</v>
      </c>
      <c r="B14" s="73" t="s">
        <v>41</v>
      </c>
      <c r="C14" s="67"/>
      <c r="D14" s="20" t="s">
        <v>39</v>
      </c>
      <c r="E14" s="17">
        <v>70</v>
      </c>
      <c r="F14" s="18" t="s">
        <v>57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7.25" customHeight="1" x14ac:dyDescent="0.25">
      <c r="A15" s="21"/>
      <c r="B15" s="73"/>
      <c r="C15" s="67"/>
      <c r="D15" s="20"/>
      <c r="E15" s="22"/>
      <c r="F15" s="51"/>
      <c r="G15" s="53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7.25" customHeight="1" x14ac:dyDescent="0.25">
      <c r="A16" s="21"/>
      <c r="B16" s="73"/>
      <c r="C16" s="67"/>
      <c r="D16" s="20"/>
      <c r="E16" s="22"/>
      <c r="F16" s="18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7.25" customHeight="1" x14ac:dyDescent="0.25">
      <c r="A17" s="25"/>
      <c r="B17" s="79"/>
      <c r="C17" s="80"/>
      <c r="D17" s="26"/>
      <c r="E17" s="27"/>
      <c r="F17" s="28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7.25" thickBot="1" x14ac:dyDescent="0.3">
      <c r="A18" s="38"/>
      <c r="B18" s="77" t="s">
        <v>14</v>
      </c>
      <c r="C18" s="78"/>
      <c r="D18" s="39"/>
      <c r="E18" s="46">
        <f>SUM(E14:E17)</f>
        <v>70</v>
      </c>
      <c r="F18" s="41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thickTop="1" x14ac:dyDescent="0.25">
      <c r="A19" s="1"/>
      <c r="B19" s="1"/>
      <c r="C19" s="1"/>
      <c r="D19" s="1"/>
      <c r="E19" s="29"/>
      <c r="F19" s="2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5">
      <c r="A20" s="60" t="s">
        <v>15</v>
      </c>
      <c r="B20" s="63"/>
      <c r="C20" s="63"/>
      <c r="D20" s="63"/>
      <c r="E20" s="60" t="s">
        <v>55</v>
      </c>
      <c r="F20" s="6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5">
      <c r="A21" s="1"/>
      <c r="B21" s="30"/>
      <c r="C21" s="30"/>
      <c r="D21" s="1"/>
      <c r="E21" s="2"/>
      <c r="F21" s="5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1"/>
      <c r="B22" s="30"/>
      <c r="C22" s="30"/>
      <c r="D22" s="1"/>
      <c r="E22" s="2"/>
      <c r="F22" s="5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1"/>
      <c r="B23" s="30"/>
      <c r="C23" s="30"/>
      <c r="D23" s="1"/>
      <c r="E23" s="2"/>
      <c r="F23" s="5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1"/>
      <c r="B24" s="30"/>
      <c r="C24" s="30"/>
      <c r="D24" s="1"/>
      <c r="E24" s="2"/>
      <c r="F24" s="5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A25" s="60" t="str">
        <f>C8</f>
        <v>Phạm Minh Đức</v>
      </c>
      <c r="B25" s="60"/>
      <c r="C25" s="60"/>
      <c r="D25" s="60"/>
      <c r="E25" s="61" t="s">
        <v>48</v>
      </c>
      <c r="F25" s="63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1"/>
      <c r="B26" s="48"/>
      <c r="D26" s="1"/>
      <c r="E26" s="4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5">
      <c r="A27" s="1"/>
      <c r="B27" s="48"/>
      <c r="D27" s="1"/>
      <c r="E27" s="4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5">
      <c r="A28" s="1"/>
      <c r="B28" s="48"/>
      <c r="C28" s="60" t="s">
        <v>53</v>
      </c>
      <c r="D28" s="60"/>
      <c r="E28" s="60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1"/>
      <c r="B29" s="48"/>
      <c r="C29" s="4"/>
      <c r="D29" s="4"/>
      <c r="E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1"/>
      <c r="B30" s="48"/>
      <c r="C30" s="4"/>
      <c r="D30" s="4"/>
      <c r="E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1"/>
      <c r="B31" s="48"/>
      <c r="C31" s="4"/>
      <c r="D31" s="4"/>
      <c r="E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1"/>
      <c r="B32" s="48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5">
      <c r="A33" s="1"/>
      <c r="B33" s="48"/>
      <c r="C33" s="61" t="s">
        <v>54</v>
      </c>
      <c r="D33" s="61"/>
      <c r="E33" s="61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5">
      <c r="A34" s="1"/>
      <c r="B34" s="48"/>
      <c r="C34" s="1"/>
      <c r="D34" s="1"/>
      <c r="E34" s="2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5">
      <c r="A35" s="1"/>
      <c r="B35" s="48"/>
      <c r="D35" s="1"/>
      <c r="E35" s="4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5">
      <c r="A36" s="1"/>
      <c r="B36" s="48"/>
      <c r="D36" s="1"/>
      <c r="E36" s="4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5">
      <c r="A37" s="1"/>
      <c r="B37" s="48"/>
      <c r="D37" s="1"/>
      <c r="E37" s="4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5">
      <c r="A38" s="1"/>
      <c r="B38" s="48"/>
      <c r="D38" s="1"/>
      <c r="E38" s="4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5">
      <c r="A39" s="1"/>
      <c r="B39" s="48"/>
      <c r="D39" s="1"/>
      <c r="E39" s="4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5">
      <c r="A40" s="1"/>
      <c r="B40" s="48"/>
      <c r="D40" s="1"/>
      <c r="E40" s="4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5">
      <c r="A41" s="1"/>
      <c r="B41" s="48"/>
      <c r="D41" s="1"/>
      <c r="E41" s="4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1"/>
      <c r="B42" s="48"/>
      <c r="D42" s="1"/>
      <c r="E42" s="4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1"/>
      <c r="B43" s="48"/>
      <c r="D43" s="1"/>
      <c r="E43" s="4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5">
      <c r="A44" s="1"/>
      <c r="B44" s="48"/>
      <c r="D44" s="1"/>
      <c r="E44" s="4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5">
      <c r="A45" s="1"/>
      <c r="B45" s="48"/>
      <c r="D45" s="1"/>
      <c r="E45" s="4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1"/>
      <c r="B46" s="48"/>
      <c r="D46" s="1"/>
      <c r="E46" s="4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3">
      <c r="A47" s="62"/>
      <c r="B47" s="63"/>
      <c r="C47" s="63"/>
      <c r="D47" s="63"/>
      <c r="E47" s="62"/>
      <c r="F47" s="63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"/>
    <row r="151" spans="1:26" ht="15.75" customHeight="1" x14ac:dyDescent="0.2"/>
    <row r="152" spans="1:26" ht="15.75" customHeight="1" x14ac:dyDescent="0.2"/>
    <row r="153" spans="1:26" ht="15.75" customHeight="1" x14ac:dyDescent="0.2"/>
    <row r="154" spans="1:26" ht="15.75" customHeight="1" x14ac:dyDescent="0.2"/>
    <row r="155" spans="1:26" ht="15.75" customHeight="1" x14ac:dyDescent="0.2"/>
    <row r="156" spans="1:26" ht="15.75" customHeight="1" x14ac:dyDescent="0.2"/>
    <row r="157" spans="1:26" ht="15.75" customHeight="1" x14ac:dyDescent="0.2"/>
    <row r="158" spans="1:26" ht="15.75" customHeight="1" x14ac:dyDescent="0.2"/>
    <row r="159" spans="1:26" ht="15.75" customHeight="1" x14ac:dyDescent="0.2"/>
    <row r="160" spans="1:26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</sheetData>
  <mergeCells count="19">
    <mergeCell ref="A47:D47"/>
    <mergeCell ref="A3:D3"/>
    <mergeCell ref="A4:F4"/>
    <mergeCell ref="A5:F5"/>
    <mergeCell ref="B13:C13"/>
    <mergeCell ref="E47:F47"/>
    <mergeCell ref="B14:C14"/>
    <mergeCell ref="B15:C15"/>
    <mergeCell ref="B17:C17"/>
    <mergeCell ref="B18:C18"/>
    <mergeCell ref="A20:D20"/>
    <mergeCell ref="E20:F20"/>
    <mergeCell ref="E25:F25"/>
    <mergeCell ref="C28:E28"/>
    <mergeCell ref="C33:E33"/>
    <mergeCell ref="B16:C16"/>
    <mergeCell ref="A25:D25"/>
    <mergeCell ref="A1:C1"/>
    <mergeCell ref="A2:C2"/>
  </mergeCells>
  <pageMargins left="0.71" right="0.24" top="0.75" bottom="0.75" header="0" footer="0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99"/>
  <sheetViews>
    <sheetView topLeftCell="A10" workbookViewId="0">
      <selection activeCell="I18" sqref="I18"/>
    </sheetView>
  </sheetViews>
  <sheetFormatPr defaultColWidth="12.625" defaultRowHeight="15" customHeight="1" x14ac:dyDescent="0.2"/>
  <cols>
    <col min="1" max="1" width="5.5" customWidth="1"/>
    <col min="2" max="2" width="22.5" customWidth="1"/>
    <col min="3" max="3" width="7.875" customWidth="1"/>
    <col min="4" max="4" width="8.375" customWidth="1"/>
    <col min="5" max="5" width="11.75" customWidth="1"/>
    <col min="6" max="6" width="21.375" customWidth="1"/>
    <col min="7" max="7" width="7.625" customWidth="1"/>
    <col min="8" max="8" width="7.625" hidden="1" customWidth="1"/>
    <col min="9" max="26" width="7.625" customWidth="1"/>
  </cols>
  <sheetData>
    <row r="1" spans="1:26" ht="16.5" x14ac:dyDescent="0.25">
      <c r="A1" s="64" t="s">
        <v>37</v>
      </c>
      <c r="B1" s="64"/>
      <c r="C1" s="64"/>
      <c r="D1" s="42"/>
      <c r="E1" s="2"/>
      <c r="F1" s="44" t="s">
        <v>36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6.5" x14ac:dyDescent="0.25">
      <c r="A2" s="65" t="s">
        <v>38</v>
      </c>
      <c r="B2" s="65"/>
      <c r="C2" s="65"/>
      <c r="E2" s="2"/>
      <c r="F2" s="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x14ac:dyDescent="0.25">
      <c r="A3" s="60"/>
      <c r="B3" s="63"/>
      <c r="C3" s="63"/>
      <c r="D3" s="63"/>
      <c r="E3" s="2"/>
      <c r="F3" s="5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9.5" x14ac:dyDescent="0.3">
      <c r="A4" s="68" t="s">
        <v>0</v>
      </c>
      <c r="B4" s="63"/>
      <c r="C4" s="63"/>
      <c r="D4" s="63"/>
      <c r="E4" s="63"/>
      <c r="F4" s="6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x14ac:dyDescent="0.25">
      <c r="A5" s="69">
        <f>'TP1'!A5</f>
        <v>46167</v>
      </c>
      <c r="B5" s="70"/>
      <c r="C5" s="70"/>
      <c r="D5" s="70"/>
      <c r="E5" s="70"/>
      <c r="F5" s="70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x14ac:dyDescent="0.25">
      <c r="A6" s="1"/>
      <c r="B6" s="1"/>
      <c r="C6" s="1"/>
      <c r="D6" s="6" t="s">
        <v>1</v>
      </c>
      <c r="E6" s="7">
        <f>H6</f>
        <v>74</v>
      </c>
      <c r="F6" s="5"/>
      <c r="G6" s="4"/>
      <c r="H6" s="31">
        <f>MC!E6+1</f>
        <v>74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x14ac:dyDescent="0.25">
      <c r="A7" s="1"/>
      <c r="B7" s="1"/>
      <c r="C7" s="1"/>
      <c r="D7" s="1"/>
      <c r="E7" s="2"/>
      <c r="F7" s="5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x14ac:dyDescent="0.25">
      <c r="A8" s="1"/>
      <c r="B8" s="8" t="s">
        <v>2</v>
      </c>
      <c r="C8" s="9" t="s">
        <v>21</v>
      </c>
      <c r="D8" s="4"/>
      <c r="E8" s="9"/>
      <c r="F8" s="10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6.5" x14ac:dyDescent="0.25">
      <c r="A9" s="1"/>
      <c r="B9" s="8" t="s">
        <v>3</v>
      </c>
      <c r="C9" s="9" t="s">
        <v>22</v>
      </c>
      <c r="D9" s="4"/>
      <c r="E9" s="9"/>
      <c r="F9" s="10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x14ac:dyDescent="0.25">
      <c r="A10" s="1"/>
      <c r="B10" s="8" t="s">
        <v>5</v>
      </c>
      <c r="C10" s="9" t="s">
        <v>6</v>
      </c>
      <c r="D10" s="4"/>
      <c r="E10" s="9"/>
      <c r="F10" s="10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6.5" x14ac:dyDescent="0.25">
      <c r="A11" s="1"/>
      <c r="B11" s="8" t="s">
        <v>7</v>
      </c>
      <c r="C11" s="9" t="s">
        <v>8</v>
      </c>
      <c r="D11" s="4"/>
      <c r="E11" s="9"/>
      <c r="F11" s="10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x14ac:dyDescent="0.25">
      <c r="A12" s="1"/>
      <c r="B12" s="11"/>
      <c r="C12" s="11"/>
      <c r="D12" s="12"/>
      <c r="E12" s="13"/>
      <c r="F12" s="1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1" customHeight="1" thickTop="1" x14ac:dyDescent="0.25">
      <c r="A13" s="34" t="s">
        <v>9</v>
      </c>
      <c r="B13" s="71" t="s">
        <v>10</v>
      </c>
      <c r="C13" s="72"/>
      <c r="D13" s="35" t="s">
        <v>11</v>
      </c>
      <c r="E13" s="36" t="s">
        <v>12</v>
      </c>
      <c r="F13" s="37" t="s">
        <v>13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x14ac:dyDescent="0.25">
      <c r="A14" s="15">
        <v>1</v>
      </c>
      <c r="B14" s="73" t="s">
        <v>41</v>
      </c>
      <c r="C14" s="67"/>
      <c r="D14" s="20" t="s">
        <v>39</v>
      </c>
      <c r="E14" s="17">
        <v>50</v>
      </c>
      <c r="F14" s="18" t="s">
        <v>57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x14ac:dyDescent="0.25">
      <c r="A15" s="19">
        <v>2</v>
      </c>
      <c r="B15" s="73" t="s">
        <v>40</v>
      </c>
      <c r="C15" s="67"/>
      <c r="D15" s="20" t="s">
        <v>39</v>
      </c>
      <c r="E15" s="17">
        <v>10</v>
      </c>
      <c r="F15" s="18" t="s">
        <v>45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6.5" x14ac:dyDescent="0.25">
      <c r="A16" s="19"/>
      <c r="B16" s="73"/>
      <c r="C16" s="67"/>
      <c r="D16" s="20"/>
      <c r="E16" s="17"/>
      <c r="F16" s="18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x14ac:dyDescent="0.25">
      <c r="A17" s="21"/>
      <c r="B17" s="73"/>
      <c r="C17" s="67"/>
      <c r="D17" s="20"/>
      <c r="E17" s="22"/>
      <c r="F17" s="2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x14ac:dyDescent="0.25">
      <c r="A18" s="25"/>
      <c r="B18" s="79"/>
      <c r="C18" s="80"/>
      <c r="D18" s="26"/>
      <c r="E18" s="27"/>
      <c r="F18" s="28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7.25" thickBot="1" x14ac:dyDescent="0.3">
      <c r="A19" s="38"/>
      <c r="B19" s="77" t="s">
        <v>14</v>
      </c>
      <c r="C19" s="78"/>
      <c r="D19" s="39"/>
      <c r="E19" s="46">
        <f>SUM(E14:E18)</f>
        <v>60</v>
      </c>
      <c r="F19" s="41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thickTop="1" x14ac:dyDescent="0.25">
      <c r="A20" s="1"/>
      <c r="B20" s="1"/>
      <c r="C20" s="1"/>
      <c r="D20" s="1"/>
      <c r="E20" s="29"/>
      <c r="F20" s="2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5">
      <c r="A21" s="60" t="s">
        <v>15</v>
      </c>
      <c r="B21" s="63"/>
      <c r="C21" s="63"/>
      <c r="D21" s="63"/>
      <c r="E21" s="60" t="s">
        <v>55</v>
      </c>
      <c r="F21" s="63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1"/>
      <c r="B22" s="30"/>
      <c r="C22" s="30"/>
      <c r="D22" s="1"/>
      <c r="E22" s="2"/>
      <c r="F22" s="5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1"/>
      <c r="B23" s="30"/>
      <c r="C23" s="30"/>
      <c r="D23" s="1"/>
      <c r="E23" s="2"/>
      <c r="F23" s="5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1"/>
      <c r="B24" s="30"/>
      <c r="C24" s="30"/>
      <c r="D24" s="1"/>
      <c r="E24" s="2"/>
      <c r="F24" s="5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A25" s="1"/>
      <c r="B25" s="30"/>
      <c r="C25" s="30"/>
      <c r="D25" s="1"/>
      <c r="E25" s="2"/>
      <c r="F25" s="5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60" t="str">
        <f>C8</f>
        <v>Vũ Ngọc Tuấn</v>
      </c>
      <c r="B26" s="60"/>
      <c r="C26" s="60"/>
      <c r="D26" s="60"/>
      <c r="E26" s="61" t="s">
        <v>48</v>
      </c>
      <c r="F26" s="63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3">
      <c r="A27" s="62"/>
      <c r="B27" s="63"/>
      <c r="C27" s="63"/>
      <c r="D27" s="63"/>
      <c r="E27" s="62"/>
      <c r="F27" s="63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5">
      <c r="A28" s="1"/>
      <c r="B28" s="1"/>
      <c r="C28" s="1"/>
      <c r="D28" s="1"/>
      <c r="E28" s="2"/>
      <c r="F28" s="5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1"/>
      <c r="B29" s="1"/>
      <c r="C29" s="60" t="s">
        <v>53</v>
      </c>
      <c r="D29" s="60"/>
      <c r="E29" s="60"/>
      <c r="F29" s="5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1"/>
      <c r="B30" s="1"/>
      <c r="C30" s="4"/>
      <c r="D30" s="4"/>
      <c r="E30" s="4"/>
      <c r="F30" s="5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1"/>
      <c r="B31" s="1"/>
      <c r="C31" s="4"/>
      <c r="D31" s="4"/>
      <c r="E31" s="4"/>
      <c r="F31" s="5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1"/>
      <c r="B32" s="1"/>
      <c r="C32" s="4"/>
      <c r="D32" s="4"/>
      <c r="E32" s="4"/>
      <c r="F32" s="5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5">
      <c r="A33" s="1"/>
      <c r="B33" s="1"/>
      <c r="C33" s="4"/>
      <c r="D33" s="4"/>
      <c r="E33" s="4"/>
      <c r="F33" s="5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5">
      <c r="A34" s="1"/>
      <c r="B34" s="1"/>
      <c r="C34" s="61" t="s">
        <v>54</v>
      </c>
      <c r="D34" s="61"/>
      <c r="E34" s="61"/>
      <c r="F34" s="5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5">
      <c r="A35" s="1"/>
      <c r="B35" s="1"/>
      <c r="C35" s="1"/>
      <c r="D35" s="1"/>
      <c r="E35" s="2"/>
      <c r="F35" s="5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5">
      <c r="A36" s="1"/>
      <c r="B36" s="1"/>
      <c r="C36" s="1"/>
      <c r="D36" s="1"/>
      <c r="E36" s="2"/>
      <c r="F36" s="5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5">
      <c r="A37" s="1"/>
      <c r="B37" s="1"/>
      <c r="C37" s="1"/>
      <c r="D37" s="1"/>
      <c r="E37" s="2"/>
      <c r="F37" s="5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5">
      <c r="A38" s="1"/>
      <c r="B38" s="1"/>
      <c r="C38" s="1"/>
      <c r="D38" s="1"/>
      <c r="E38" s="2"/>
      <c r="F38" s="5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5">
      <c r="A39" s="1"/>
      <c r="B39" s="1"/>
      <c r="C39" s="1"/>
      <c r="D39" s="1"/>
      <c r="E39" s="2"/>
      <c r="F39" s="5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5">
      <c r="A40" s="1"/>
      <c r="B40" s="1"/>
      <c r="C40" s="1"/>
      <c r="D40" s="1"/>
      <c r="E40" s="2"/>
      <c r="F40" s="5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5">
      <c r="A41" s="1"/>
      <c r="B41" s="1"/>
      <c r="C41" s="1"/>
      <c r="D41" s="1"/>
      <c r="E41" s="1"/>
      <c r="F41" s="1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1"/>
      <c r="B42" s="1"/>
      <c r="C42" s="1"/>
      <c r="D42" s="1"/>
      <c r="E42" s="1"/>
      <c r="F42" s="1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1"/>
      <c r="B43" s="1"/>
      <c r="C43" s="1"/>
      <c r="D43" s="1"/>
      <c r="E43" s="1"/>
      <c r="F43" s="1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5">
      <c r="A44" s="1"/>
      <c r="B44" s="1"/>
      <c r="C44" s="1"/>
      <c r="D44" s="1"/>
      <c r="E44" s="1"/>
      <c r="F44" s="1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5">
      <c r="A45" s="1"/>
      <c r="B45" s="1"/>
      <c r="C45" s="1"/>
      <c r="D45" s="1"/>
      <c r="E45" s="1"/>
      <c r="F45" s="1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1"/>
      <c r="B46" s="1"/>
      <c r="C46" s="1"/>
      <c r="D46" s="1"/>
      <c r="E46" s="1"/>
      <c r="F46" s="1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5">
      <c r="A47" s="1"/>
      <c r="B47" s="1"/>
      <c r="C47" s="1"/>
      <c r="D47" s="1"/>
      <c r="E47" s="1"/>
      <c r="F47" s="1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5">
      <c r="A48" s="1"/>
      <c r="B48" s="1"/>
      <c r="C48" s="1"/>
      <c r="D48" s="1"/>
      <c r="E48" s="1"/>
      <c r="F48" s="1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5">
      <c r="A49" s="1"/>
      <c r="B49" s="1"/>
      <c r="C49" s="1"/>
      <c r="D49" s="1"/>
      <c r="E49" s="1"/>
      <c r="F49" s="1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1"/>
      <c r="B50" s="1"/>
      <c r="C50" s="1"/>
      <c r="D50" s="1"/>
      <c r="E50" s="1"/>
      <c r="F50" s="1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1"/>
      <c r="B51" s="1"/>
      <c r="C51" s="1"/>
      <c r="D51" s="1"/>
      <c r="E51" s="1"/>
      <c r="F51" s="1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5">
      <c r="A52" s="1"/>
      <c r="B52" s="1"/>
      <c r="C52" s="1"/>
      <c r="D52" s="1"/>
      <c r="E52" s="1"/>
      <c r="F52" s="1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5">
      <c r="A53" s="1"/>
      <c r="B53" s="1"/>
      <c r="C53" s="1"/>
      <c r="D53" s="1"/>
      <c r="E53" s="1"/>
      <c r="F53" s="1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1"/>
      <c r="B54" s="1"/>
      <c r="C54" s="1"/>
      <c r="D54" s="1"/>
      <c r="E54" s="1"/>
      <c r="F54" s="1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5">
      <c r="A55" s="1"/>
      <c r="B55" s="1"/>
      <c r="C55" s="1"/>
      <c r="D55" s="1"/>
      <c r="E55" s="1"/>
      <c r="F55" s="1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5">
      <c r="A56" s="1"/>
      <c r="B56" s="1"/>
      <c r="C56" s="1"/>
      <c r="D56" s="1"/>
      <c r="E56" s="1"/>
      <c r="F56" s="1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1"/>
      <c r="B57" s="1"/>
      <c r="C57" s="1"/>
      <c r="D57" s="1"/>
      <c r="E57" s="1"/>
      <c r="F57" s="1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5">
      <c r="A58" s="1"/>
      <c r="B58" s="1"/>
      <c r="C58" s="1"/>
      <c r="D58" s="1"/>
      <c r="E58" s="1"/>
      <c r="F58" s="1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5">
      <c r="A59" s="1"/>
      <c r="B59" s="1"/>
      <c r="C59" s="1"/>
      <c r="D59" s="1"/>
      <c r="E59" s="1"/>
      <c r="F59" s="1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5">
      <c r="A60" s="1"/>
      <c r="B60" s="1"/>
      <c r="C60" s="1"/>
      <c r="D60" s="1"/>
      <c r="E60" s="1"/>
      <c r="F60" s="1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5">
      <c r="A61" s="1"/>
      <c r="B61" s="1"/>
      <c r="C61" s="1"/>
      <c r="D61" s="1"/>
      <c r="E61" s="1"/>
      <c r="F61" s="1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"/>
    <row r="228" spans="1:26" ht="15.75" customHeight="1" x14ac:dyDescent="0.2"/>
    <row r="229" spans="1:26" ht="15.75" customHeight="1" x14ac:dyDescent="0.2"/>
    <row r="230" spans="1:26" ht="15.75" customHeight="1" x14ac:dyDescent="0.2"/>
    <row r="231" spans="1:26" ht="15.75" customHeight="1" x14ac:dyDescent="0.2"/>
    <row r="232" spans="1:26" ht="15.75" customHeight="1" x14ac:dyDescent="0.2"/>
    <row r="233" spans="1:26" ht="15.75" customHeight="1" x14ac:dyDescent="0.2"/>
    <row r="234" spans="1:26" ht="15.75" customHeight="1" x14ac:dyDescent="0.2"/>
    <row r="235" spans="1:26" ht="15.75" customHeight="1" x14ac:dyDescent="0.2"/>
    <row r="236" spans="1:26" ht="15.75" customHeight="1" x14ac:dyDescent="0.2"/>
    <row r="237" spans="1:26" ht="15.75" customHeight="1" x14ac:dyDescent="0.2"/>
    <row r="238" spans="1:26" ht="15.75" customHeight="1" x14ac:dyDescent="0.2"/>
    <row r="239" spans="1:26" ht="15.75" customHeight="1" x14ac:dyDescent="0.2"/>
    <row r="240" spans="1:26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20">
    <mergeCell ref="E26:F26"/>
    <mergeCell ref="B15:C15"/>
    <mergeCell ref="B16:C16"/>
    <mergeCell ref="C29:E29"/>
    <mergeCell ref="C34:E34"/>
    <mergeCell ref="A27:D27"/>
    <mergeCell ref="E27:F27"/>
    <mergeCell ref="B17:C17"/>
    <mergeCell ref="B18:C18"/>
    <mergeCell ref="B19:C19"/>
    <mergeCell ref="A21:D21"/>
    <mergeCell ref="E21:F21"/>
    <mergeCell ref="A26:D26"/>
    <mergeCell ref="A1:C1"/>
    <mergeCell ref="A2:C2"/>
    <mergeCell ref="B14:C14"/>
    <mergeCell ref="A3:D3"/>
    <mergeCell ref="A4:F4"/>
    <mergeCell ref="A5:F5"/>
    <mergeCell ref="B13:C13"/>
  </mergeCells>
  <pageMargins left="0.93" right="0.24" top="0.75" bottom="0.75" header="0.18" footer="0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999"/>
  <sheetViews>
    <sheetView topLeftCell="A4" workbookViewId="0">
      <selection activeCell="F10" sqref="F10"/>
    </sheetView>
  </sheetViews>
  <sheetFormatPr defaultColWidth="12.625" defaultRowHeight="15" customHeight="1" x14ac:dyDescent="0.2"/>
  <cols>
    <col min="1" max="1" width="5.5" customWidth="1"/>
    <col min="2" max="2" width="22.5" customWidth="1"/>
    <col min="3" max="3" width="7.75" customWidth="1"/>
    <col min="4" max="4" width="8.375" customWidth="1"/>
    <col min="5" max="5" width="9.75" customWidth="1"/>
    <col min="6" max="6" width="22.125" customWidth="1"/>
    <col min="7" max="7" width="7.375" customWidth="1"/>
    <col min="8" max="8" width="7.625" hidden="1" customWidth="1"/>
    <col min="9" max="27" width="7.625" customWidth="1"/>
  </cols>
  <sheetData>
    <row r="1" spans="1:27" ht="16.5" x14ac:dyDescent="0.25">
      <c r="A1" s="64" t="s">
        <v>37</v>
      </c>
      <c r="B1" s="64"/>
      <c r="C1" s="64"/>
      <c r="D1" s="42"/>
      <c r="E1" s="2"/>
      <c r="F1" s="44" t="s">
        <v>36</v>
      </c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6.5" x14ac:dyDescent="0.25">
      <c r="A2" s="65" t="s">
        <v>38</v>
      </c>
      <c r="B2" s="65"/>
      <c r="C2" s="65"/>
      <c r="E2" s="2"/>
      <c r="F2" s="5"/>
      <c r="G2" s="5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5.75" x14ac:dyDescent="0.25">
      <c r="A3" s="60"/>
      <c r="B3" s="63"/>
      <c r="C3" s="63"/>
      <c r="D3" s="63"/>
      <c r="E3" s="2"/>
      <c r="F3" s="5"/>
      <c r="G3" s="5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9.5" x14ac:dyDescent="0.3">
      <c r="A4" s="68" t="s">
        <v>0</v>
      </c>
      <c r="B4" s="63"/>
      <c r="C4" s="63"/>
      <c r="D4" s="63"/>
      <c r="E4" s="63"/>
      <c r="F4" s="6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5.75" x14ac:dyDescent="0.25">
      <c r="A5" s="69">
        <f>'TP1'!A5</f>
        <v>46167</v>
      </c>
      <c r="B5" s="70"/>
      <c r="C5" s="70"/>
      <c r="D5" s="70"/>
      <c r="E5" s="70"/>
      <c r="F5" s="70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5.75" x14ac:dyDescent="0.25">
      <c r="A6" s="1"/>
      <c r="B6" s="1"/>
      <c r="C6" s="1"/>
      <c r="D6" s="6" t="s">
        <v>1</v>
      </c>
      <c r="E6" s="7">
        <f>H6</f>
        <v>75</v>
      </c>
      <c r="F6" s="5"/>
      <c r="G6" s="5"/>
      <c r="H6" s="31">
        <f>TC!E6+1</f>
        <v>75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5.75" x14ac:dyDescent="0.25">
      <c r="A7" s="1"/>
      <c r="B7" s="1"/>
      <c r="C7" s="1"/>
      <c r="D7" s="1"/>
      <c r="E7" s="2"/>
      <c r="F7" s="5"/>
      <c r="G7" s="5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6.5" x14ac:dyDescent="0.25">
      <c r="A8" s="1"/>
      <c r="B8" s="8" t="s">
        <v>2</v>
      </c>
      <c r="C8" s="9" t="s">
        <v>23</v>
      </c>
      <c r="D8" s="4"/>
      <c r="E8" s="9"/>
      <c r="F8" s="10"/>
      <c r="G8" s="10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6.5" x14ac:dyDescent="0.25">
      <c r="A9" s="1"/>
      <c r="B9" s="8" t="s">
        <v>3</v>
      </c>
      <c r="C9" s="9" t="s">
        <v>24</v>
      </c>
      <c r="D9" s="4"/>
      <c r="E9" s="9"/>
      <c r="F9" s="10"/>
      <c r="G9" s="10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6.5" x14ac:dyDescent="0.25">
      <c r="A10" s="1"/>
      <c r="B10" s="8" t="s">
        <v>5</v>
      </c>
      <c r="C10" s="9" t="s">
        <v>6</v>
      </c>
      <c r="D10" s="4"/>
      <c r="E10" s="9"/>
      <c r="F10" s="10"/>
      <c r="G10" s="10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6.5" x14ac:dyDescent="0.25">
      <c r="A11" s="1"/>
      <c r="B11" s="8" t="s">
        <v>7</v>
      </c>
      <c r="C11" s="9" t="s">
        <v>8</v>
      </c>
      <c r="D11" s="4"/>
      <c r="E11" s="9"/>
      <c r="F11" s="10"/>
      <c r="G11" s="10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5.75" x14ac:dyDescent="0.25">
      <c r="A12" s="1"/>
      <c r="B12" s="11"/>
      <c r="C12" s="11"/>
      <c r="D12" s="12"/>
      <c r="E12" s="13"/>
      <c r="F12" s="14"/>
      <c r="G12" s="5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20.25" customHeight="1" thickTop="1" x14ac:dyDescent="0.25">
      <c r="A13" s="34" t="s">
        <v>9</v>
      </c>
      <c r="B13" s="71" t="s">
        <v>10</v>
      </c>
      <c r="C13" s="72"/>
      <c r="D13" s="35" t="s">
        <v>11</v>
      </c>
      <c r="E13" s="36" t="s">
        <v>12</v>
      </c>
      <c r="F13" s="37" t="s">
        <v>13</v>
      </c>
      <c r="G13" s="32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16.5" x14ac:dyDescent="0.25">
      <c r="A14" s="47">
        <v>1</v>
      </c>
      <c r="B14" s="73" t="s">
        <v>44</v>
      </c>
      <c r="C14" s="67"/>
      <c r="D14" s="16" t="s">
        <v>39</v>
      </c>
      <c r="E14" s="17">
        <v>20</v>
      </c>
      <c r="F14" s="18" t="s">
        <v>57</v>
      </c>
      <c r="G14" s="33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6.5" x14ac:dyDescent="0.25">
      <c r="A15" s="47"/>
      <c r="B15" s="73"/>
      <c r="C15" s="67"/>
      <c r="D15" s="16"/>
      <c r="E15" s="17"/>
      <c r="F15" s="51"/>
      <c r="G15" s="33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6.5" x14ac:dyDescent="0.25">
      <c r="A16" s="19"/>
      <c r="B16" s="73"/>
      <c r="C16" s="67"/>
      <c r="D16" s="20"/>
      <c r="E16" s="17"/>
      <c r="F16" s="24"/>
      <c r="G16" s="33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6.5" x14ac:dyDescent="0.25">
      <c r="A17" s="21"/>
      <c r="B17" s="73"/>
      <c r="C17" s="67"/>
      <c r="D17" s="23"/>
      <c r="E17" s="22"/>
      <c r="F17" s="24"/>
      <c r="G17" s="33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6.5" x14ac:dyDescent="0.25">
      <c r="A18" s="25"/>
      <c r="B18" s="79"/>
      <c r="C18" s="80"/>
      <c r="D18" s="26"/>
      <c r="E18" s="27"/>
      <c r="F18" s="28"/>
      <c r="G18" s="33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7.25" thickBot="1" x14ac:dyDescent="0.3">
      <c r="A19" s="38"/>
      <c r="B19" s="77" t="s">
        <v>14</v>
      </c>
      <c r="C19" s="78"/>
      <c r="D19" s="39"/>
      <c r="E19" s="46">
        <f>SUM(E14:E18)</f>
        <v>20</v>
      </c>
      <c r="F19" s="41"/>
      <c r="G19" s="33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5.75" customHeight="1" thickTop="1" x14ac:dyDescent="0.25">
      <c r="A20" s="1"/>
      <c r="B20" s="1"/>
      <c r="C20" s="1"/>
      <c r="D20" s="1"/>
      <c r="E20" s="29"/>
      <c r="F20" s="29"/>
      <c r="G20" s="29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5.75" customHeight="1" x14ac:dyDescent="0.25">
      <c r="A21" s="60" t="s">
        <v>15</v>
      </c>
      <c r="B21" s="63"/>
      <c r="C21" s="63"/>
      <c r="D21" s="63"/>
      <c r="E21" s="60" t="s">
        <v>55</v>
      </c>
      <c r="F21" s="63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5.75" customHeight="1" x14ac:dyDescent="0.25">
      <c r="A22" s="1"/>
      <c r="B22" s="30"/>
      <c r="C22" s="30"/>
      <c r="D22" s="1"/>
      <c r="E22" s="2"/>
      <c r="F22" s="5"/>
      <c r="G22" s="5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5.75" customHeight="1" x14ac:dyDescent="0.25">
      <c r="A23" s="1"/>
      <c r="B23" s="30"/>
      <c r="C23" s="30"/>
      <c r="D23" s="1"/>
      <c r="E23" s="2"/>
      <c r="F23" s="5"/>
      <c r="G23" s="5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5.75" customHeight="1" x14ac:dyDescent="0.25">
      <c r="A24" s="1"/>
      <c r="B24" s="30"/>
      <c r="C24" s="30"/>
      <c r="D24" s="1"/>
      <c r="E24" s="2"/>
      <c r="F24" s="5"/>
      <c r="G24" s="5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5.75" customHeight="1" x14ac:dyDescent="0.25">
      <c r="A25" s="1"/>
      <c r="B25" s="30"/>
      <c r="C25" s="30"/>
      <c r="D25" s="1"/>
      <c r="E25" s="2"/>
      <c r="F25" s="5"/>
      <c r="G25" s="5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5.75" customHeight="1" x14ac:dyDescent="0.25">
      <c r="A26" s="60" t="str">
        <f>C8</f>
        <v>Trịnh Thanh Hồng</v>
      </c>
      <c r="B26" s="60"/>
      <c r="C26" s="60"/>
      <c r="D26" s="60"/>
      <c r="E26" s="61" t="s">
        <v>48</v>
      </c>
      <c r="F26" s="63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5.75" customHeight="1" x14ac:dyDescent="0.3">
      <c r="A27" s="62"/>
      <c r="B27" s="63"/>
      <c r="C27" s="63"/>
      <c r="D27" s="63"/>
      <c r="E27" s="62"/>
      <c r="F27" s="63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5.75" customHeight="1" x14ac:dyDescent="0.25">
      <c r="A28" s="1"/>
      <c r="B28" s="1"/>
      <c r="C28" s="1"/>
      <c r="D28" s="1"/>
      <c r="E28" s="2"/>
      <c r="F28" s="5"/>
      <c r="G28" s="5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5.75" customHeight="1" x14ac:dyDescent="0.25">
      <c r="A29" s="1"/>
      <c r="B29" s="1"/>
      <c r="C29" s="1"/>
      <c r="D29" s="1"/>
      <c r="E29" s="2"/>
      <c r="F29" s="5"/>
      <c r="G29" s="5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5.75" customHeight="1" x14ac:dyDescent="0.25">
      <c r="A30" s="1"/>
      <c r="B30" s="1"/>
      <c r="C30" s="60" t="s">
        <v>53</v>
      </c>
      <c r="D30" s="60"/>
      <c r="E30" s="60"/>
      <c r="F30" s="5"/>
      <c r="G30" s="5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5.75" customHeight="1" x14ac:dyDescent="0.25">
      <c r="A31" s="1"/>
      <c r="B31" s="1"/>
      <c r="C31" s="4"/>
      <c r="D31" s="4"/>
      <c r="E31" s="4"/>
      <c r="F31" s="5"/>
      <c r="G31" s="5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5.75" customHeight="1" x14ac:dyDescent="0.25">
      <c r="A32" s="1"/>
      <c r="B32" s="1"/>
      <c r="C32" s="4"/>
      <c r="D32" s="4"/>
      <c r="E32" s="4"/>
      <c r="F32" s="5"/>
      <c r="G32" s="5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5.75" customHeight="1" x14ac:dyDescent="0.25">
      <c r="A33" s="1"/>
      <c r="B33" s="1"/>
      <c r="C33" s="4"/>
      <c r="D33" s="4"/>
      <c r="E33" s="4"/>
      <c r="F33" s="5"/>
      <c r="G33" s="5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5.75" customHeight="1" x14ac:dyDescent="0.25">
      <c r="A34" s="1"/>
      <c r="B34" s="1"/>
      <c r="C34" s="4"/>
      <c r="D34" s="4"/>
      <c r="E34" s="4"/>
      <c r="F34" s="5"/>
      <c r="G34" s="5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5.75" customHeight="1" x14ac:dyDescent="0.25">
      <c r="A35" s="1"/>
      <c r="B35" s="1"/>
      <c r="C35" s="61" t="s">
        <v>54</v>
      </c>
      <c r="D35" s="61"/>
      <c r="E35" s="61"/>
      <c r="F35" s="5"/>
      <c r="G35" s="5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5.75" customHeight="1" x14ac:dyDescent="0.25">
      <c r="A36" s="1"/>
      <c r="B36" s="1"/>
      <c r="C36" s="1"/>
      <c r="D36" s="1"/>
      <c r="E36" s="2"/>
      <c r="F36" s="5"/>
      <c r="G36" s="5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5.75" customHeight="1" x14ac:dyDescent="0.25">
      <c r="A37" s="1"/>
      <c r="B37" s="1"/>
      <c r="C37" s="1"/>
      <c r="D37" s="1"/>
      <c r="E37" s="2"/>
      <c r="F37" s="5"/>
      <c r="G37" s="5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5.75" customHeight="1" x14ac:dyDescent="0.25">
      <c r="A38" s="1"/>
      <c r="B38" s="1"/>
      <c r="C38" s="1"/>
      <c r="D38" s="1"/>
      <c r="E38" s="2"/>
      <c r="F38" s="5"/>
      <c r="G38" s="5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5.75" customHeight="1" x14ac:dyDescent="0.25">
      <c r="A39" s="1"/>
      <c r="B39" s="1"/>
      <c r="C39" s="1"/>
      <c r="D39" s="1"/>
      <c r="E39" s="2"/>
      <c r="F39" s="5"/>
      <c r="G39" s="5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5.75" customHeight="1" x14ac:dyDescent="0.25">
      <c r="A40" s="1"/>
      <c r="B40" s="1"/>
      <c r="C40" s="1"/>
      <c r="D40" s="1"/>
      <c r="E40" s="2"/>
      <c r="F40" s="5"/>
      <c r="G40" s="5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5.75" customHeight="1" x14ac:dyDescent="0.25">
      <c r="A41" s="1"/>
      <c r="B41" s="1"/>
      <c r="C41" s="1"/>
      <c r="D41" s="1"/>
      <c r="E41" s="1"/>
      <c r="F41" s="1"/>
      <c r="G41" s="1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5.75" customHeight="1" x14ac:dyDescent="0.25">
      <c r="A42" s="1"/>
      <c r="B42" s="1"/>
      <c r="C42" s="1"/>
      <c r="D42" s="1"/>
      <c r="E42" s="1"/>
      <c r="F42" s="1"/>
      <c r="G42" s="1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5.75" customHeight="1" x14ac:dyDescent="0.25">
      <c r="A43" s="1"/>
      <c r="B43" s="1"/>
      <c r="C43" s="1"/>
      <c r="D43" s="1"/>
      <c r="E43" s="1"/>
      <c r="F43" s="1"/>
      <c r="G43" s="1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5.75" customHeight="1" x14ac:dyDescent="0.25">
      <c r="A44" s="1"/>
      <c r="B44" s="1"/>
      <c r="C44" s="1"/>
      <c r="D44" s="1"/>
      <c r="E44" s="1"/>
      <c r="F44" s="1"/>
      <c r="G44" s="1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5.75" customHeight="1" x14ac:dyDescent="0.25">
      <c r="A45" s="1"/>
      <c r="B45" s="1"/>
      <c r="C45" s="1"/>
      <c r="D45" s="1"/>
      <c r="E45" s="1"/>
      <c r="F45" s="1"/>
      <c r="G45" s="1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5.75" customHeight="1" x14ac:dyDescent="0.25">
      <c r="A46" s="1"/>
      <c r="B46" s="1"/>
      <c r="C46" s="1"/>
      <c r="D46" s="1"/>
      <c r="E46" s="1"/>
      <c r="F46" s="1"/>
      <c r="G46" s="1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5.75" customHeight="1" x14ac:dyDescent="0.25">
      <c r="A47" s="1"/>
      <c r="B47" s="1"/>
      <c r="C47" s="1"/>
      <c r="D47" s="1"/>
      <c r="E47" s="1"/>
      <c r="F47" s="1"/>
      <c r="G47" s="1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5.75" customHeight="1" x14ac:dyDescent="0.25">
      <c r="A48" s="1"/>
      <c r="B48" s="1"/>
      <c r="C48" s="1"/>
      <c r="D48" s="1"/>
      <c r="E48" s="1"/>
      <c r="F48" s="1"/>
      <c r="G48" s="1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5.75" customHeight="1" x14ac:dyDescent="0.25">
      <c r="A49" s="1"/>
      <c r="B49" s="1"/>
      <c r="C49" s="1"/>
      <c r="D49" s="1"/>
      <c r="E49" s="1"/>
      <c r="F49" s="1"/>
      <c r="G49" s="1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5.75" customHeight="1" x14ac:dyDescent="0.25">
      <c r="A50" s="1"/>
      <c r="B50" s="1"/>
      <c r="C50" s="1"/>
      <c r="D50" s="1"/>
      <c r="E50" s="1"/>
      <c r="F50" s="1"/>
      <c r="G50" s="1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5.75" customHeight="1" x14ac:dyDescent="0.25">
      <c r="A51" s="1"/>
      <c r="B51" s="1"/>
      <c r="C51" s="1"/>
      <c r="D51" s="1"/>
      <c r="E51" s="1"/>
      <c r="F51" s="1"/>
      <c r="G51" s="1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5.75" customHeight="1" x14ac:dyDescent="0.25">
      <c r="A52" s="1"/>
      <c r="B52" s="1"/>
      <c r="C52" s="1"/>
      <c r="D52" s="1"/>
      <c r="E52" s="1"/>
      <c r="F52" s="1"/>
      <c r="G52" s="1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5.75" customHeight="1" x14ac:dyDescent="0.25">
      <c r="A53" s="1"/>
      <c r="B53" s="1"/>
      <c r="C53" s="1"/>
      <c r="D53" s="1"/>
      <c r="E53" s="1"/>
      <c r="F53" s="1"/>
      <c r="G53" s="1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5.75" customHeight="1" x14ac:dyDescent="0.25">
      <c r="A54" s="1"/>
      <c r="B54" s="1"/>
      <c r="C54" s="1"/>
      <c r="D54" s="1"/>
      <c r="E54" s="1"/>
      <c r="F54" s="1"/>
      <c r="G54" s="1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5.75" customHeight="1" x14ac:dyDescent="0.25">
      <c r="A55" s="1"/>
      <c r="B55" s="1"/>
      <c r="C55" s="1"/>
      <c r="D55" s="1"/>
      <c r="E55" s="1"/>
      <c r="F55" s="1"/>
      <c r="G55" s="1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5.75" customHeight="1" x14ac:dyDescent="0.25">
      <c r="A56" s="1"/>
      <c r="B56" s="1"/>
      <c r="C56" s="1"/>
      <c r="D56" s="1"/>
      <c r="E56" s="1"/>
      <c r="F56" s="1"/>
      <c r="G56" s="1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5.75" customHeight="1" x14ac:dyDescent="0.25">
      <c r="A57" s="1"/>
      <c r="B57" s="1"/>
      <c r="C57" s="1"/>
      <c r="D57" s="1"/>
      <c r="E57" s="1"/>
      <c r="F57" s="1"/>
      <c r="G57" s="1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5.75" customHeight="1" x14ac:dyDescent="0.25">
      <c r="A58" s="1"/>
      <c r="B58" s="1"/>
      <c r="C58" s="1"/>
      <c r="D58" s="1"/>
      <c r="E58" s="1"/>
      <c r="F58" s="1"/>
      <c r="G58" s="1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5.75" customHeight="1" x14ac:dyDescent="0.25">
      <c r="A59" s="1"/>
      <c r="B59" s="1"/>
      <c r="C59" s="1"/>
      <c r="D59" s="1"/>
      <c r="E59" s="1"/>
      <c r="F59" s="1"/>
      <c r="G59" s="1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5.75" customHeight="1" x14ac:dyDescent="0.25">
      <c r="A60" s="1"/>
      <c r="B60" s="1"/>
      <c r="C60" s="1"/>
      <c r="D60" s="1"/>
      <c r="E60" s="1"/>
      <c r="F60" s="1"/>
      <c r="G60" s="1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5.75" customHeight="1" x14ac:dyDescent="0.25">
      <c r="A61" s="1"/>
      <c r="B61" s="1"/>
      <c r="C61" s="1"/>
      <c r="D61" s="1"/>
      <c r="E61" s="1"/>
      <c r="F61" s="1"/>
      <c r="G61" s="1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5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5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5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5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5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5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5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5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5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5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5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5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5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5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5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5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5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5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5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5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5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5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5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5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5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5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5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5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5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5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5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5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5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5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5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5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5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5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5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5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5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5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5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5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5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5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5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5.75" customHeight="1" x14ac:dyDescent="0.2"/>
    <row r="228" spans="1:27" ht="15.75" customHeight="1" x14ac:dyDescent="0.2"/>
    <row r="229" spans="1:27" ht="15.75" customHeight="1" x14ac:dyDescent="0.2"/>
    <row r="230" spans="1:27" ht="15.75" customHeight="1" x14ac:dyDescent="0.2"/>
    <row r="231" spans="1:27" ht="15.75" customHeight="1" x14ac:dyDescent="0.2"/>
    <row r="232" spans="1:27" ht="15.75" customHeight="1" x14ac:dyDescent="0.2"/>
    <row r="233" spans="1:27" ht="15.75" customHeight="1" x14ac:dyDescent="0.2"/>
    <row r="234" spans="1:27" ht="15.75" customHeight="1" x14ac:dyDescent="0.2"/>
    <row r="235" spans="1:27" ht="15.75" customHeight="1" x14ac:dyDescent="0.2"/>
    <row r="236" spans="1:27" ht="15.75" customHeight="1" x14ac:dyDescent="0.2"/>
    <row r="237" spans="1:27" ht="15.75" customHeight="1" x14ac:dyDescent="0.2"/>
    <row r="238" spans="1:27" ht="15.75" customHeight="1" x14ac:dyDescent="0.2"/>
    <row r="239" spans="1:27" ht="15.75" customHeight="1" x14ac:dyDescent="0.2"/>
    <row r="240" spans="1:27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20">
    <mergeCell ref="E21:F21"/>
    <mergeCell ref="A26:D26"/>
    <mergeCell ref="E26:F26"/>
    <mergeCell ref="C30:E30"/>
    <mergeCell ref="C35:E35"/>
    <mergeCell ref="A27:D27"/>
    <mergeCell ref="E27:F27"/>
    <mergeCell ref="A1:C1"/>
    <mergeCell ref="A2:C2"/>
    <mergeCell ref="B14:C14"/>
    <mergeCell ref="B15:C15"/>
    <mergeCell ref="A3:D3"/>
    <mergeCell ref="A4:F4"/>
    <mergeCell ref="A5:F5"/>
    <mergeCell ref="B13:C13"/>
    <mergeCell ref="B16:C16"/>
    <mergeCell ref="B17:C17"/>
    <mergeCell ref="B18:C18"/>
    <mergeCell ref="B19:C19"/>
    <mergeCell ref="A21:D21"/>
  </mergeCells>
  <pageMargins left="0.75" right="0.24" top="0.75" bottom="0.75" header="0" footer="0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97"/>
  <sheetViews>
    <sheetView topLeftCell="A4" workbookViewId="0">
      <selection activeCell="B16" sqref="B16:C16"/>
    </sheetView>
  </sheetViews>
  <sheetFormatPr defaultColWidth="12.625" defaultRowHeight="15" customHeight="1" x14ac:dyDescent="0.2"/>
  <cols>
    <col min="1" max="1" width="5.5" customWidth="1"/>
    <col min="2" max="2" width="22.5" customWidth="1"/>
    <col min="3" max="3" width="8.125" customWidth="1"/>
    <col min="4" max="4" width="8.375" customWidth="1"/>
    <col min="5" max="5" width="11.75" customWidth="1"/>
    <col min="6" max="6" width="23.875" customWidth="1"/>
    <col min="7" max="7" width="7.625" customWidth="1"/>
    <col min="8" max="8" width="7.625" hidden="1" customWidth="1"/>
    <col min="9" max="26" width="7.625" customWidth="1"/>
  </cols>
  <sheetData>
    <row r="1" spans="1:26" ht="15.75" x14ac:dyDescent="0.25">
      <c r="A1" s="81" t="s">
        <v>37</v>
      </c>
      <c r="B1" s="81"/>
      <c r="C1" s="81"/>
      <c r="D1" s="42"/>
      <c r="E1" s="2"/>
      <c r="F1" s="44" t="s">
        <v>36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x14ac:dyDescent="0.25">
      <c r="A2" s="60" t="s">
        <v>38</v>
      </c>
      <c r="B2" s="60"/>
      <c r="C2" s="60"/>
      <c r="E2" s="2"/>
      <c r="F2" s="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x14ac:dyDescent="0.25">
      <c r="A3" s="60"/>
      <c r="B3" s="63"/>
      <c r="C3" s="63"/>
      <c r="D3" s="63"/>
      <c r="E3" s="2"/>
      <c r="F3" s="5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9.5" x14ac:dyDescent="0.3">
      <c r="A4" s="68" t="s">
        <v>0</v>
      </c>
      <c r="B4" s="63"/>
      <c r="C4" s="63"/>
      <c r="D4" s="63"/>
      <c r="E4" s="63"/>
      <c r="F4" s="6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x14ac:dyDescent="0.25">
      <c r="A5" s="69">
        <f>'TP1'!A5</f>
        <v>46167</v>
      </c>
      <c r="B5" s="70"/>
      <c r="C5" s="70"/>
      <c r="D5" s="70"/>
      <c r="E5" s="70"/>
      <c r="F5" s="70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x14ac:dyDescent="0.25">
      <c r="A6" s="1"/>
      <c r="B6" s="1"/>
      <c r="C6" s="1"/>
      <c r="D6" s="6" t="s">
        <v>1</v>
      </c>
      <c r="E6" s="7">
        <f>H6</f>
        <v>76</v>
      </c>
      <c r="F6" s="5"/>
      <c r="G6" s="4"/>
      <c r="H6" s="31">
        <f>YC!E6+1</f>
        <v>76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x14ac:dyDescent="0.25">
      <c r="A7" s="1"/>
      <c r="B7" s="1"/>
      <c r="C7" s="1"/>
      <c r="D7" s="1"/>
      <c r="E7" s="2"/>
      <c r="F7" s="5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x14ac:dyDescent="0.25">
      <c r="A8" s="1"/>
      <c r="B8" s="8" t="s">
        <v>2</v>
      </c>
      <c r="C8" s="9" t="s">
        <v>25</v>
      </c>
      <c r="D8" s="4"/>
      <c r="E8" s="9"/>
      <c r="F8" s="10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6.5" x14ac:dyDescent="0.25">
      <c r="A9" s="1"/>
      <c r="B9" s="8" t="s">
        <v>3</v>
      </c>
      <c r="C9" s="9" t="s">
        <v>26</v>
      </c>
      <c r="D9" s="4"/>
      <c r="E9" s="9"/>
      <c r="F9" s="10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x14ac:dyDescent="0.25">
      <c r="A10" s="1"/>
      <c r="B10" s="8" t="s">
        <v>5</v>
      </c>
      <c r="C10" s="9" t="s">
        <v>6</v>
      </c>
      <c r="D10" s="4"/>
      <c r="E10" s="9"/>
      <c r="F10" s="10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6.5" x14ac:dyDescent="0.25">
      <c r="A11" s="1"/>
      <c r="B11" s="8" t="s">
        <v>7</v>
      </c>
      <c r="C11" s="9" t="s">
        <v>8</v>
      </c>
      <c r="D11" s="4"/>
      <c r="E11" s="9"/>
      <c r="F11" s="10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x14ac:dyDescent="0.25">
      <c r="A12" s="1"/>
      <c r="B12" s="11"/>
      <c r="C12" s="11"/>
      <c r="D12" s="12"/>
      <c r="E12" s="13"/>
      <c r="F12" s="1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1" customHeight="1" thickTop="1" x14ac:dyDescent="0.25">
      <c r="A13" s="34" t="s">
        <v>9</v>
      </c>
      <c r="B13" s="71" t="s">
        <v>10</v>
      </c>
      <c r="C13" s="72"/>
      <c r="D13" s="35" t="s">
        <v>11</v>
      </c>
      <c r="E13" s="36" t="s">
        <v>12</v>
      </c>
      <c r="F13" s="37" t="s">
        <v>13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3.25" customHeight="1" x14ac:dyDescent="0.25">
      <c r="A14" s="15">
        <v>1</v>
      </c>
      <c r="B14" s="82" t="s">
        <v>41</v>
      </c>
      <c r="C14" s="83"/>
      <c r="D14" s="16" t="s">
        <v>39</v>
      </c>
      <c r="E14" s="17">
        <v>20</v>
      </c>
      <c r="F14" s="57" t="s">
        <v>57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" customHeight="1" x14ac:dyDescent="0.25">
      <c r="A15" s="15">
        <v>1</v>
      </c>
      <c r="B15" s="84" t="s">
        <v>51</v>
      </c>
      <c r="C15" s="85"/>
      <c r="D15" s="16" t="s">
        <v>39</v>
      </c>
      <c r="E15" s="17">
        <v>1</v>
      </c>
      <c r="F15" s="57" t="s">
        <v>70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6.5" x14ac:dyDescent="0.25">
      <c r="A16" s="25"/>
      <c r="B16" s="79"/>
      <c r="C16" s="80"/>
      <c r="D16" s="26"/>
      <c r="E16" s="27"/>
      <c r="F16" s="28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7.25" thickBot="1" x14ac:dyDescent="0.3">
      <c r="A17" s="38"/>
      <c r="B17" s="77" t="s">
        <v>14</v>
      </c>
      <c r="C17" s="78"/>
      <c r="D17" s="39"/>
      <c r="E17" s="46">
        <f>SUM(E14:E16)</f>
        <v>21</v>
      </c>
      <c r="F17" s="41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thickTop="1" x14ac:dyDescent="0.25">
      <c r="A18" s="1"/>
      <c r="B18" s="1"/>
      <c r="C18" s="1"/>
      <c r="D18" s="1"/>
      <c r="E18" s="29"/>
      <c r="F18" s="2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5">
      <c r="A19" s="60" t="s">
        <v>15</v>
      </c>
      <c r="B19" s="63"/>
      <c r="C19" s="63"/>
      <c r="D19" s="63"/>
      <c r="E19" s="60" t="s">
        <v>55</v>
      </c>
      <c r="F19" s="63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5">
      <c r="A20" s="1"/>
      <c r="B20" s="30"/>
      <c r="C20" s="30"/>
      <c r="D20" s="1"/>
      <c r="E20" s="2"/>
      <c r="F20" s="5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5">
      <c r="A21" s="1"/>
      <c r="B21" s="30"/>
      <c r="C21" s="30"/>
      <c r="D21" s="1"/>
      <c r="E21" s="2"/>
      <c r="F21" s="5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1"/>
      <c r="B22" s="30"/>
      <c r="C22" s="30"/>
      <c r="D22" s="1"/>
      <c r="E22" s="2"/>
      <c r="F22" s="5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1"/>
      <c r="B23" s="30"/>
      <c r="C23" s="30"/>
      <c r="D23" s="1"/>
      <c r="E23" s="2"/>
      <c r="F23" s="5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60" t="str">
        <f>C8</f>
        <v>Ngô Xuân Ngọc</v>
      </c>
      <c r="B24" s="60"/>
      <c r="C24" s="60"/>
      <c r="D24" s="60"/>
      <c r="E24" s="61" t="s">
        <v>48</v>
      </c>
      <c r="F24" s="63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3">
      <c r="A25" s="62"/>
      <c r="B25" s="63"/>
      <c r="C25" s="63"/>
      <c r="D25" s="63"/>
      <c r="E25" s="62"/>
      <c r="F25" s="63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1"/>
      <c r="B26" s="1"/>
      <c r="C26" s="1"/>
      <c r="D26" s="1"/>
      <c r="E26" s="2"/>
      <c r="F26" s="5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5">
      <c r="A27" s="1"/>
      <c r="B27" s="1"/>
      <c r="C27" s="60" t="s">
        <v>53</v>
      </c>
      <c r="D27" s="60"/>
      <c r="E27" s="60"/>
      <c r="F27" s="5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5">
      <c r="A28" s="1"/>
      <c r="B28" s="1"/>
      <c r="C28" s="4"/>
      <c r="D28" s="4"/>
      <c r="E28" s="4"/>
      <c r="F28" s="5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1"/>
      <c r="B29" s="1"/>
      <c r="C29" s="4"/>
      <c r="D29" s="4"/>
      <c r="E29" s="4"/>
      <c r="F29" s="5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1"/>
      <c r="B30" s="1"/>
      <c r="C30" s="4"/>
      <c r="D30" s="4"/>
      <c r="E30" s="4"/>
      <c r="F30" s="5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1"/>
      <c r="B31" s="1"/>
      <c r="C31" s="4"/>
      <c r="D31" s="4"/>
      <c r="E31" s="4"/>
      <c r="F31" s="5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1"/>
      <c r="B32" s="1"/>
      <c r="C32" s="61" t="s">
        <v>54</v>
      </c>
      <c r="D32" s="61"/>
      <c r="E32" s="61"/>
      <c r="F32" s="5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5">
      <c r="A33" s="1"/>
      <c r="B33" s="1"/>
      <c r="C33" s="1"/>
      <c r="D33" s="1"/>
      <c r="E33" s="2"/>
      <c r="F33" s="5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5">
      <c r="A34" s="1"/>
      <c r="B34" s="1"/>
      <c r="C34" s="1"/>
      <c r="D34" s="1"/>
      <c r="E34" s="2"/>
      <c r="F34" s="5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5">
      <c r="A35" s="1"/>
      <c r="B35" s="1"/>
      <c r="C35" s="1"/>
      <c r="D35" s="1"/>
      <c r="E35" s="2"/>
      <c r="F35" s="5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5">
      <c r="A36" s="1"/>
      <c r="B36" s="1"/>
      <c r="C36" s="1"/>
      <c r="D36" s="1"/>
      <c r="E36" s="2"/>
      <c r="F36" s="5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5">
      <c r="A37" s="1"/>
      <c r="B37" s="1"/>
      <c r="C37" s="1"/>
      <c r="D37" s="1"/>
      <c r="E37" s="2"/>
      <c r="F37" s="5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5">
      <c r="A38" s="1"/>
      <c r="B38" s="1"/>
      <c r="C38" s="1"/>
      <c r="D38" s="1"/>
      <c r="E38" s="2"/>
      <c r="F38" s="5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5">
      <c r="A39" s="1"/>
      <c r="B39" s="1"/>
      <c r="C39" s="1"/>
      <c r="D39" s="1"/>
      <c r="E39" s="1"/>
      <c r="F39" s="1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5">
      <c r="A40" s="1"/>
      <c r="B40" s="1"/>
      <c r="C40" s="1"/>
      <c r="D40" s="1"/>
      <c r="E40" s="1"/>
      <c r="F40" s="1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5">
      <c r="A41" s="1"/>
      <c r="B41" s="1"/>
      <c r="C41" s="1"/>
      <c r="D41" s="1"/>
      <c r="E41" s="1"/>
      <c r="F41" s="1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1"/>
      <c r="B42" s="1"/>
      <c r="C42" s="1"/>
      <c r="D42" s="1"/>
      <c r="E42" s="1"/>
      <c r="F42" s="1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1"/>
      <c r="B43" s="1"/>
      <c r="C43" s="1"/>
      <c r="D43" s="1"/>
      <c r="E43" s="1"/>
      <c r="F43" s="1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5">
      <c r="A44" s="1"/>
      <c r="B44" s="1"/>
      <c r="C44" s="1"/>
      <c r="D44" s="1"/>
      <c r="E44" s="1"/>
      <c r="F44" s="1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5">
      <c r="A45" s="1"/>
      <c r="B45" s="1"/>
      <c r="C45" s="1"/>
      <c r="D45" s="1"/>
      <c r="E45" s="1"/>
      <c r="F45" s="1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1"/>
      <c r="B46" s="1"/>
      <c r="C46" s="1"/>
      <c r="D46" s="1"/>
      <c r="E46" s="1"/>
      <c r="F46" s="1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5">
      <c r="A47" s="1"/>
      <c r="B47" s="1"/>
      <c r="C47" s="1"/>
      <c r="D47" s="1"/>
      <c r="E47" s="1"/>
      <c r="F47" s="1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5">
      <c r="A48" s="1"/>
      <c r="B48" s="1"/>
      <c r="C48" s="1"/>
      <c r="D48" s="1"/>
      <c r="E48" s="1"/>
      <c r="F48" s="1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5">
      <c r="A49" s="1"/>
      <c r="B49" s="1"/>
      <c r="C49" s="1"/>
      <c r="D49" s="1"/>
      <c r="E49" s="1"/>
      <c r="F49" s="1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1"/>
      <c r="B50" s="1"/>
      <c r="C50" s="1"/>
      <c r="D50" s="1"/>
      <c r="E50" s="1"/>
      <c r="F50" s="1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1"/>
      <c r="B51" s="1"/>
      <c r="C51" s="1"/>
      <c r="D51" s="1"/>
      <c r="E51" s="1"/>
      <c r="F51" s="1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5">
      <c r="A52" s="1"/>
      <c r="B52" s="1"/>
      <c r="C52" s="1"/>
      <c r="D52" s="1"/>
      <c r="E52" s="1"/>
      <c r="F52" s="1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5">
      <c r="A53" s="1"/>
      <c r="B53" s="1"/>
      <c r="C53" s="1"/>
      <c r="D53" s="1"/>
      <c r="E53" s="1"/>
      <c r="F53" s="1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1"/>
      <c r="B54" s="1"/>
      <c r="C54" s="1"/>
      <c r="D54" s="1"/>
      <c r="E54" s="1"/>
      <c r="F54" s="1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5">
      <c r="A55" s="1"/>
      <c r="B55" s="1"/>
      <c r="C55" s="1"/>
      <c r="D55" s="1"/>
      <c r="E55" s="1"/>
      <c r="F55" s="1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5">
      <c r="A56" s="1"/>
      <c r="B56" s="1"/>
      <c r="C56" s="1"/>
      <c r="D56" s="1"/>
      <c r="E56" s="1"/>
      <c r="F56" s="1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1"/>
      <c r="B57" s="1"/>
      <c r="C57" s="1"/>
      <c r="D57" s="1"/>
      <c r="E57" s="1"/>
      <c r="F57" s="1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5">
      <c r="A58" s="1"/>
      <c r="B58" s="1"/>
      <c r="C58" s="1"/>
      <c r="D58" s="1"/>
      <c r="E58" s="1"/>
      <c r="F58" s="1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5">
      <c r="A59" s="1"/>
      <c r="B59" s="1"/>
      <c r="C59" s="1"/>
      <c r="D59" s="1"/>
      <c r="E59" s="1"/>
      <c r="F59" s="1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</sheetData>
  <mergeCells count="18">
    <mergeCell ref="B16:C16"/>
    <mergeCell ref="B17:C17"/>
    <mergeCell ref="A19:D19"/>
    <mergeCell ref="A1:C1"/>
    <mergeCell ref="A2:C2"/>
    <mergeCell ref="B14:C14"/>
    <mergeCell ref="B15:C15"/>
    <mergeCell ref="A3:D3"/>
    <mergeCell ref="A4:F4"/>
    <mergeCell ref="A5:F5"/>
    <mergeCell ref="B13:C13"/>
    <mergeCell ref="E19:F19"/>
    <mergeCell ref="A24:D24"/>
    <mergeCell ref="E24:F24"/>
    <mergeCell ref="C27:E27"/>
    <mergeCell ref="C32:E32"/>
    <mergeCell ref="A25:D25"/>
    <mergeCell ref="E25:F25"/>
  </mergeCells>
  <pageMargins left="0.75" right="0.24" top="0.75" bottom="0.75" header="0.18" footer="0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998"/>
  <sheetViews>
    <sheetView workbookViewId="0">
      <selection activeCell="E17" sqref="E17"/>
    </sheetView>
  </sheetViews>
  <sheetFormatPr defaultColWidth="12.625" defaultRowHeight="15" customHeight="1" x14ac:dyDescent="0.2"/>
  <cols>
    <col min="1" max="1" width="5.5" customWidth="1"/>
    <col min="2" max="2" width="22.5" customWidth="1"/>
    <col min="3" max="3" width="8" customWidth="1"/>
    <col min="4" max="4" width="8.375" customWidth="1"/>
    <col min="5" max="5" width="11.75" customWidth="1"/>
    <col min="6" max="6" width="27.25" customWidth="1"/>
    <col min="7" max="7" width="7.625" customWidth="1"/>
    <col min="8" max="8" width="7.625" hidden="1" customWidth="1"/>
    <col min="9" max="26" width="7.625" customWidth="1"/>
  </cols>
  <sheetData>
    <row r="1" spans="1:26" ht="16.5" x14ac:dyDescent="0.25">
      <c r="A1" s="64" t="s">
        <v>37</v>
      </c>
      <c r="B1" s="64"/>
      <c r="C1" s="64"/>
      <c r="D1" s="42"/>
      <c r="E1" s="2"/>
      <c r="F1" s="44" t="s">
        <v>36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6.5" x14ac:dyDescent="0.25">
      <c r="A2" s="65" t="s">
        <v>38</v>
      </c>
      <c r="B2" s="65"/>
      <c r="C2" s="65"/>
      <c r="E2" s="2"/>
      <c r="F2" s="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x14ac:dyDescent="0.25">
      <c r="A3" s="60"/>
      <c r="B3" s="63"/>
      <c r="C3" s="63"/>
      <c r="D3" s="63"/>
      <c r="E3" s="2"/>
      <c r="F3" s="5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9.5" x14ac:dyDescent="0.3">
      <c r="A4" s="68" t="s">
        <v>0</v>
      </c>
      <c r="B4" s="63"/>
      <c r="C4" s="63"/>
      <c r="D4" s="63"/>
      <c r="E4" s="63"/>
      <c r="F4" s="6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x14ac:dyDescent="0.25">
      <c r="A5" s="69">
        <f>'TP1'!A5</f>
        <v>46167</v>
      </c>
      <c r="B5" s="70"/>
      <c r="C5" s="70"/>
      <c r="D5" s="70"/>
      <c r="E5" s="70"/>
      <c r="F5" s="70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x14ac:dyDescent="0.25">
      <c r="A6" s="1"/>
      <c r="B6" s="1"/>
      <c r="C6" s="1"/>
      <c r="D6" s="6" t="s">
        <v>1</v>
      </c>
      <c r="E6" s="7">
        <f>H6</f>
        <v>77</v>
      </c>
      <c r="F6" s="5"/>
      <c r="G6" s="4"/>
      <c r="H6" s="31">
        <f>ML!E6+1</f>
        <v>77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x14ac:dyDescent="0.25">
      <c r="A7" s="1"/>
      <c r="B7" s="1"/>
      <c r="C7" s="1"/>
      <c r="D7" s="1"/>
      <c r="E7" s="2"/>
      <c r="F7" s="5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x14ac:dyDescent="0.25">
      <c r="A8" s="1"/>
      <c r="B8" s="8" t="s">
        <v>2</v>
      </c>
      <c r="C8" s="9" t="s">
        <v>27</v>
      </c>
      <c r="D8" s="4"/>
      <c r="E8" s="9"/>
      <c r="F8" s="10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6.5" x14ac:dyDescent="0.25">
      <c r="A9" s="1"/>
      <c r="B9" s="8" t="s">
        <v>3</v>
      </c>
      <c r="C9" s="9" t="s">
        <v>28</v>
      </c>
      <c r="D9" s="4"/>
      <c r="E9" s="9"/>
      <c r="F9" s="10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x14ac:dyDescent="0.25">
      <c r="A10" s="1"/>
      <c r="B10" s="8" t="s">
        <v>5</v>
      </c>
      <c r="C10" s="9" t="s">
        <v>6</v>
      </c>
      <c r="D10" s="4"/>
      <c r="E10" s="9"/>
      <c r="F10" s="10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6.5" x14ac:dyDescent="0.25">
      <c r="A11" s="1"/>
      <c r="B11" s="8" t="s">
        <v>7</v>
      </c>
      <c r="C11" s="9" t="s">
        <v>8</v>
      </c>
      <c r="D11" s="4"/>
      <c r="E11" s="9"/>
      <c r="F11" s="10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x14ac:dyDescent="0.25">
      <c r="A12" s="1"/>
      <c r="B12" s="11"/>
      <c r="C12" s="11"/>
      <c r="D12" s="12"/>
      <c r="E12" s="13"/>
      <c r="F12" s="1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2.5" customHeight="1" thickTop="1" x14ac:dyDescent="0.25">
      <c r="A13" s="34" t="s">
        <v>9</v>
      </c>
      <c r="B13" s="71" t="s">
        <v>10</v>
      </c>
      <c r="C13" s="72"/>
      <c r="D13" s="35" t="s">
        <v>11</v>
      </c>
      <c r="E13" s="36" t="s">
        <v>12</v>
      </c>
      <c r="F13" s="37" t="s">
        <v>13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x14ac:dyDescent="0.25">
      <c r="A14" s="19">
        <v>1</v>
      </c>
      <c r="B14" s="86" t="s">
        <v>41</v>
      </c>
      <c r="C14" s="87"/>
      <c r="D14" s="16" t="s">
        <v>39</v>
      </c>
      <c r="E14" s="17">
        <v>10</v>
      </c>
      <c r="F14" s="18" t="s">
        <v>57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x14ac:dyDescent="0.25">
      <c r="A15" s="19"/>
      <c r="B15" s="73"/>
      <c r="C15" s="74"/>
      <c r="D15" s="16"/>
      <c r="E15" s="17"/>
      <c r="F15" s="51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6.5" x14ac:dyDescent="0.25">
      <c r="A16" s="19"/>
      <c r="B16" s="73"/>
      <c r="C16" s="67"/>
      <c r="D16" s="16"/>
      <c r="E16" s="22"/>
      <c r="F16" s="51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x14ac:dyDescent="0.25">
      <c r="A17" s="25"/>
      <c r="B17" s="79"/>
      <c r="C17" s="80"/>
      <c r="D17" s="26"/>
      <c r="E17" s="27"/>
      <c r="F17" s="28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7.25" thickBot="1" x14ac:dyDescent="0.3">
      <c r="A18" s="38"/>
      <c r="B18" s="77" t="s">
        <v>14</v>
      </c>
      <c r="C18" s="78"/>
      <c r="D18" s="39"/>
      <c r="E18" s="46">
        <f>SUM(E14:E17)</f>
        <v>10</v>
      </c>
      <c r="F18" s="41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thickTop="1" x14ac:dyDescent="0.25">
      <c r="A19" s="1"/>
      <c r="B19" s="1"/>
      <c r="C19" s="1"/>
      <c r="D19" s="1"/>
      <c r="E19" s="29"/>
      <c r="F19" s="2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5">
      <c r="A20" s="60" t="s">
        <v>15</v>
      </c>
      <c r="B20" s="63"/>
      <c r="C20" s="63"/>
      <c r="D20" s="63"/>
      <c r="E20" s="60" t="s">
        <v>55</v>
      </c>
      <c r="F20" s="6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5">
      <c r="A21" s="1"/>
      <c r="B21" s="30"/>
      <c r="C21" s="30"/>
      <c r="D21" s="1"/>
      <c r="E21" s="2"/>
      <c r="F21" s="5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1"/>
      <c r="B22" s="30"/>
      <c r="C22" s="30"/>
      <c r="D22" s="1"/>
      <c r="E22" s="2"/>
      <c r="F22" s="5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1"/>
      <c r="B23" s="30"/>
      <c r="C23" s="30"/>
      <c r="D23" s="1"/>
      <c r="E23" s="2"/>
      <c r="F23" s="5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1"/>
      <c r="B24" s="30"/>
      <c r="C24" s="30"/>
      <c r="D24" s="1"/>
      <c r="E24" s="2"/>
      <c r="F24" s="5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A25" s="60" t="str">
        <f>C8</f>
        <v>Nguyễn Bá Bảo</v>
      </c>
      <c r="B25" s="60"/>
      <c r="C25" s="60"/>
      <c r="D25" s="60"/>
      <c r="E25" s="61" t="s">
        <v>48</v>
      </c>
      <c r="F25" s="63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3">
      <c r="A26" s="62"/>
      <c r="B26" s="63"/>
      <c r="C26" s="63"/>
      <c r="D26" s="63"/>
      <c r="E26" s="62"/>
      <c r="F26" s="63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5">
      <c r="A27" s="1"/>
      <c r="B27" s="1"/>
      <c r="C27" s="1"/>
      <c r="D27" s="1"/>
      <c r="E27" s="2"/>
      <c r="F27" s="5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5">
      <c r="A28" s="1"/>
      <c r="B28" s="1"/>
      <c r="C28" s="60" t="s">
        <v>53</v>
      </c>
      <c r="D28" s="60"/>
      <c r="E28" s="60"/>
      <c r="F28" s="5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1"/>
      <c r="B29" s="1"/>
      <c r="C29" s="4"/>
      <c r="D29" s="4"/>
      <c r="E29" s="4"/>
      <c r="F29" s="5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1"/>
      <c r="B30" s="1"/>
      <c r="C30" s="4"/>
      <c r="D30" s="4"/>
      <c r="E30" s="4"/>
      <c r="F30" s="5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1"/>
      <c r="B31" s="1"/>
      <c r="C31" s="4"/>
      <c r="D31" s="4"/>
      <c r="E31" s="4"/>
      <c r="F31" s="5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1"/>
      <c r="B32" s="1"/>
      <c r="C32" s="4"/>
      <c r="D32" s="4"/>
      <c r="E32" s="4"/>
      <c r="F32" s="5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5">
      <c r="A33" s="1"/>
      <c r="B33" s="1"/>
      <c r="C33" s="61" t="s">
        <v>54</v>
      </c>
      <c r="D33" s="61"/>
      <c r="E33" s="61"/>
      <c r="F33" s="5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5">
      <c r="A34" s="1"/>
      <c r="B34" s="1"/>
      <c r="C34" s="1"/>
      <c r="D34" s="1"/>
      <c r="E34" s="2"/>
      <c r="F34" s="5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5">
      <c r="A35" s="1"/>
      <c r="B35" s="1"/>
      <c r="C35" s="1"/>
      <c r="D35" s="1"/>
      <c r="E35" s="2"/>
      <c r="F35" s="5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5">
      <c r="A36" s="1"/>
      <c r="B36" s="1"/>
      <c r="C36" s="1"/>
      <c r="D36" s="1"/>
      <c r="E36" s="2"/>
      <c r="F36" s="5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5">
      <c r="A37" s="1"/>
      <c r="B37" s="1"/>
      <c r="C37" s="1"/>
      <c r="D37" s="1"/>
      <c r="E37" s="2"/>
      <c r="F37" s="5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5">
      <c r="A38" s="1"/>
      <c r="B38" s="1"/>
      <c r="C38" s="1"/>
      <c r="D38" s="1"/>
      <c r="E38" s="2"/>
      <c r="F38" s="5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5">
      <c r="A39" s="1"/>
      <c r="B39" s="1"/>
      <c r="C39" s="1"/>
      <c r="D39" s="1"/>
      <c r="E39" s="2"/>
      <c r="F39" s="5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5">
      <c r="A40" s="1"/>
      <c r="B40" s="1"/>
      <c r="C40" s="1"/>
      <c r="D40" s="1"/>
      <c r="E40" s="1"/>
      <c r="F40" s="1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5">
      <c r="A41" s="1"/>
      <c r="B41" s="1"/>
      <c r="C41" s="1"/>
      <c r="D41" s="1"/>
      <c r="E41" s="1"/>
      <c r="F41" s="1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1"/>
      <c r="B42" s="1"/>
      <c r="C42" s="1"/>
      <c r="D42" s="1"/>
      <c r="E42" s="1"/>
      <c r="F42" s="1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1"/>
      <c r="B43" s="1"/>
      <c r="C43" s="1"/>
      <c r="D43" s="1"/>
      <c r="E43" s="1"/>
      <c r="F43" s="1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5">
      <c r="A44" s="1"/>
      <c r="B44" s="1"/>
      <c r="C44" s="1"/>
      <c r="D44" s="1"/>
      <c r="E44" s="1"/>
      <c r="F44" s="1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5">
      <c r="A45" s="1"/>
      <c r="B45" s="1"/>
      <c r="C45" s="1"/>
      <c r="D45" s="1"/>
      <c r="E45" s="1"/>
      <c r="F45" s="1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1"/>
      <c r="B46" s="1"/>
      <c r="C46" s="1"/>
      <c r="D46" s="1"/>
      <c r="E46" s="1"/>
      <c r="F46" s="1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5">
      <c r="A47" s="1"/>
      <c r="B47" s="1"/>
      <c r="C47" s="1"/>
      <c r="D47" s="1"/>
      <c r="E47" s="1"/>
      <c r="F47" s="1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5">
      <c r="A48" s="1"/>
      <c r="B48" s="1"/>
      <c r="C48" s="1"/>
      <c r="D48" s="1"/>
      <c r="E48" s="1"/>
      <c r="F48" s="1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5">
      <c r="A49" s="1"/>
      <c r="B49" s="1"/>
      <c r="C49" s="1"/>
      <c r="D49" s="1"/>
      <c r="E49" s="1"/>
      <c r="F49" s="1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1"/>
      <c r="B50" s="1"/>
      <c r="C50" s="1"/>
      <c r="D50" s="1"/>
      <c r="E50" s="1"/>
      <c r="F50" s="1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1"/>
      <c r="B51" s="1"/>
      <c r="C51" s="1"/>
      <c r="D51" s="1"/>
      <c r="E51" s="1"/>
      <c r="F51" s="1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5">
      <c r="A52" s="1"/>
      <c r="B52" s="1"/>
      <c r="C52" s="1"/>
      <c r="D52" s="1"/>
      <c r="E52" s="1"/>
      <c r="F52" s="1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5">
      <c r="A53" s="1"/>
      <c r="B53" s="1"/>
      <c r="C53" s="1"/>
      <c r="D53" s="1"/>
      <c r="E53" s="1"/>
      <c r="F53" s="1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1"/>
      <c r="B54" s="1"/>
      <c r="C54" s="1"/>
      <c r="D54" s="1"/>
      <c r="E54" s="1"/>
      <c r="F54" s="1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5">
      <c r="A55" s="1"/>
      <c r="B55" s="1"/>
      <c r="C55" s="1"/>
      <c r="D55" s="1"/>
      <c r="E55" s="1"/>
      <c r="F55" s="1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5">
      <c r="A56" s="1"/>
      <c r="B56" s="1"/>
      <c r="C56" s="1"/>
      <c r="D56" s="1"/>
      <c r="E56" s="1"/>
      <c r="F56" s="1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1"/>
      <c r="B57" s="1"/>
      <c r="C57" s="1"/>
      <c r="D57" s="1"/>
      <c r="E57" s="1"/>
      <c r="F57" s="1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5">
      <c r="A58" s="1"/>
      <c r="B58" s="1"/>
      <c r="C58" s="1"/>
      <c r="D58" s="1"/>
      <c r="E58" s="1"/>
      <c r="F58" s="1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5">
      <c r="A59" s="1"/>
      <c r="B59" s="1"/>
      <c r="C59" s="1"/>
      <c r="D59" s="1"/>
      <c r="E59" s="1"/>
      <c r="F59" s="1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5">
      <c r="A60" s="1"/>
      <c r="B60" s="1"/>
      <c r="C60" s="1"/>
      <c r="D60" s="1"/>
      <c r="E60" s="1"/>
      <c r="F60" s="1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"/>
    <row r="227" spans="1:26" ht="15.75" customHeight="1" x14ac:dyDescent="0.2"/>
    <row r="228" spans="1:26" ht="15.75" customHeight="1" x14ac:dyDescent="0.2"/>
    <row r="229" spans="1:26" ht="15.75" customHeight="1" x14ac:dyDescent="0.2"/>
    <row r="230" spans="1:26" ht="15.75" customHeight="1" x14ac:dyDescent="0.2"/>
    <row r="231" spans="1:26" ht="15.75" customHeight="1" x14ac:dyDescent="0.2"/>
    <row r="232" spans="1:26" ht="15.75" customHeight="1" x14ac:dyDescent="0.2"/>
    <row r="233" spans="1:26" ht="15.75" customHeight="1" x14ac:dyDescent="0.2"/>
    <row r="234" spans="1:26" ht="15.75" customHeight="1" x14ac:dyDescent="0.2"/>
    <row r="235" spans="1:26" ht="15.75" customHeight="1" x14ac:dyDescent="0.2"/>
    <row r="236" spans="1:26" ht="15.75" customHeight="1" x14ac:dyDescent="0.2"/>
    <row r="237" spans="1:26" ht="15.75" customHeight="1" x14ac:dyDescent="0.2"/>
    <row r="238" spans="1:26" ht="15.75" customHeight="1" x14ac:dyDescent="0.2"/>
    <row r="239" spans="1:26" ht="15.75" customHeight="1" x14ac:dyDescent="0.2"/>
    <row r="240" spans="1:26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mergeCells count="19">
    <mergeCell ref="E20:F20"/>
    <mergeCell ref="A25:D25"/>
    <mergeCell ref="E25:F25"/>
    <mergeCell ref="C28:E28"/>
    <mergeCell ref="C33:E33"/>
    <mergeCell ref="A26:D26"/>
    <mergeCell ref="E26:F26"/>
    <mergeCell ref="A1:C1"/>
    <mergeCell ref="A2:C2"/>
    <mergeCell ref="B14:C14"/>
    <mergeCell ref="A3:D3"/>
    <mergeCell ref="A4:F4"/>
    <mergeCell ref="A5:F5"/>
    <mergeCell ref="B13:C13"/>
    <mergeCell ref="B15:C15"/>
    <mergeCell ref="B16:C16"/>
    <mergeCell ref="B17:C17"/>
    <mergeCell ref="B18:C18"/>
    <mergeCell ref="A20:D20"/>
  </mergeCells>
  <pageMargins left="0.82" right="0.24" top="0.75" bottom="0.75" header="0" footer="0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999"/>
  <sheetViews>
    <sheetView topLeftCell="A4" workbookViewId="0">
      <selection activeCell="J16" sqref="J16"/>
    </sheetView>
  </sheetViews>
  <sheetFormatPr defaultColWidth="12.625" defaultRowHeight="15" customHeight="1" x14ac:dyDescent="0.2"/>
  <cols>
    <col min="1" max="1" width="5.5" customWidth="1"/>
    <col min="2" max="2" width="22.5" customWidth="1"/>
    <col min="3" max="3" width="7.75" customWidth="1"/>
    <col min="4" max="4" width="8.375" customWidth="1"/>
    <col min="5" max="5" width="11.75" customWidth="1"/>
    <col min="6" max="6" width="25.5" customWidth="1"/>
    <col min="7" max="7" width="7.625" customWidth="1"/>
    <col min="8" max="8" width="7.625" hidden="1" customWidth="1"/>
    <col min="9" max="26" width="7.625" customWidth="1"/>
  </cols>
  <sheetData>
    <row r="1" spans="1:26" ht="16.5" x14ac:dyDescent="0.25">
      <c r="A1" s="64" t="s">
        <v>37</v>
      </c>
      <c r="B1" s="64"/>
      <c r="C1" s="64"/>
      <c r="D1" s="42"/>
      <c r="E1" s="2"/>
      <c r="F1" s="44" t="s">
        <v>36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6.5" x14ac:dyDescent="0.25">
      <c r="A2" s="65" t="s">
        <v>38</v>
      </c>
      <c r="B2" s="65"/>
      <c r="C2" s="65"/>
      <c r="E2" s="2"/>
      <c r="F2" s="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x14ac:dyDescent="0.25">
      <c r="A3" s="60"/>
      <c r="B3" s="63"/>
      <c r="C3" s="63"/>
      <c r="D3" s="63"/>
      <c r="E3" s="2"/>
      <c r="F3" s="5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9.5" x14ac:dyDescent="0.3">
      <c r="A4" s="68" t="s">
        <v>0</v>
      </c>
      <c r="B4" s="63"/>
      <c r="C4" s="63"/>
      <c r="D4" s="63"/>
      <c r="E4" s="63"/>
      <c r="F4" s="6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x14ac:dyDescent="0.25">
      <c r="A5" s="69">
        <f>'TP1'!A5</f>
        <v>46167</v>
      </c>
      <c r="B5" s="70"/>
      <c r="C5" s="70"/>
      <c r="D5" s="70"/>
      <c r="E5" s="70"/>
      <c r="F5" s="70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x14ac:dyDescent="0.25">
      <c r="A6" s="1"/>
      <c r="B6" s="1"/>
      <c r="C6" s="1"/>
      <c r="D6" s="6" t="s">
        <v>1</v>
      </c>
      <c r="E6" s="7">
        <f>H6</f>
        <v>78</v>
      </c>
      <c r="F6" s="5"/>
      <c r="G6" s="4"/>
      <c r="H6" s="31">
        <f>BY!E6+1</f>
        <v>78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x14ac:dyDescent="0.25">
      <c r="A7" s="1"/>
      <c r="B7" s="1"/>
      <c r="C7" s="1"/>
      <c r="D7" s="1"/>
      <c r="E7" s="2"/>
      <c r="F7" s="5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x14ac:dyDescent="0.25">
      <c r="A8" s="1"/>
      <c r="B8" s="8" t="s">
        <v>2</v>
      </c>
      <c r="C8" s="9" t="s">
        <v>29</v>
      </c>
      <c r="D8" s="4"/>
      <c r="E8" s="9"/>
      <c r="F8" s="10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6.5" x14ac:dyDescent="0.25">
      <c r="A9" s="1"/>
      <c r="B9" s="8" t="s">
        <v>3</v>
      </c>
      <c r="C9" s="9" t="s">
        <v>30</v>
      </c>
      <c r="D9" s="4"/>
      <c r="E9" s="9"/>
      <c r="F9" s="10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x14ac:dyDescent="0.25">
      <c r="A10" s="1"/>
      <c r="B10" s="8" t="s">
        <v>5</v>
      </c>
      <c r="C10" s="9" t="s">
        <v>6</v>
      </c>
      <c r="D10" s="4"/>
      <c r="E10" s="9"/>
      <c r="F10" s="10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6.5" x14ac:dyDescent="0.25">
      <c r="A11" s="1"/>
      <c r="B11" s="8" t="s">
        <v>7</v>
      </c>
      <c r="C11" s="9" t="s">
        <v>8</v>
      </c>
      <c r="D11" s="4"/>
      <c r="E11" s="9"/>
      <c r="F11" s="10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x14ac:dyDescent="0.25">
      <c r="A12" s="1"/>
      <c r="B12" s="11"/>
      <c r="C12" s="11"/>
      <c r="D12" s="12"/>
      <c r="E12" s="13"/>
      <c r="F12" s="1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1.75" customHeight="1" thickTop="1" x14ac:dyDescent="0.25">
      <c r="A13" s="34" t="s">
        <v>9</v>
      </c>
      <c r="B13" s="71" t="s">
        <v>10</v>
      </c>
      <c r="C13" s="72"/>
      <c r="D13" s="35" t="s">
        <v>11</v>
      </c>
      <c r="E13" s="36" t="s">
        <v>12</v>
      </c>
      <c r="F13" s="37" t="s">
        <v>13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x14ac:dyDescent="0.25">
      <c r="A14" s="15">
        <v>1</v>
      </c>
      <c r="B14" s="73" t="s">
        <v>41</v>
      </c>
      <c r="C14" s="67"/>
      <c r="D14" s="16" t="s">
        <v>39</v>
      </c>
      <c r="E14" s="17">
        <v>40</v>
      </c>
      <c r="F14" s="18" t="s">
        <v>57</v>
      </c>
      <c r="G14" s="50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x14ac:dyDescent="0.25">
      <c r="A15" s="19">
        <v>2</v>
      </c>
      <c r="B15" s="73" t="s">
        <v>40</v>
      </c>
      <c r="C15" s="74"/>
      <c r="D15" s="16" t="s">
        <v>39</v>
      </c>
      <c r="E15" s="17">
        <v>20</v>
      </c>
      <c r="F15" s="18" t="s">
        <v>45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6.5" x14ac:dyDescent="0.25">
      <c r="A16" s="19"/>
      <c r="B16" s="73"/>
      <c r="C16" s="74"/>
      <c r="D16" s="16"/>
      <c r="E16" s="17"/>
      <c r="F16" s="18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x14ac:dyDescent="0.25">
      <c r="A17" s="21"/>
      <c r="B17" s="73"/>
      <c r="C17" s="67"/>
      <c r="D17" s="23"/>
      <c r="E17" s="22"/>
      <c r="F17" s="2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x14ac:dyDescent="0.25">
      <c r="A18" s="25"/>
      <c r="B18" s="79"/>
      <c r="C18" s="80"/>
      <c r="D18" s="26"/>
      <c r="E18" s="27"/>
      <c r="F18" s="28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7.25" thickBot="1" x14ac:dyDescent="0.3">
      <c r="A19" s="38"/>
      <c r="B19" s="77" t="s">
        <v>14</v>
      </c>
      <c r="C19" s="78"/>
      <c r="D19" s="39"/>
      <c r="E19" s="46">
        <f>SUM(E14:E18)</f>
        <v>60</v>
      </c>
      <c r="F19" s="41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thickTop="1" x14ac:dyDescent="0.25">
      <c r="A20" s="1"/>
      <c r="B20" s="1"/>
      <c r="C20" s="1"/>
      <c r="D20" s="1"/>
      <c r="E20" s="29"/>
      <c r="F20" s="2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5">
      <c r="A21" s="60" t="s">
        <v>15</v>
      </c>
      <c r="B21" s="63"/>
      <c r="C21" s="63"/>
      <c r="D21" s="63"/>
      <c r="E21" s="60" t="s">
        <v>55</v>
      </c>
      <c r="F21" s="63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1"/>
      <c r="B22" s="30"/>
      <c r="C22" s="30"/>
      <c r="D22" s="1"/>
      <c r="E22" s="2"/>
      <c r="F22" s="5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1"/>
      <c r="B23" s="30"/>
      <c r="C23" s="30"/>
      <c r="D23" s="1"/>
      <c r="E23" s="2"/>
      <c r="F23" s="5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1"/>
      <c r="B24" s="30"/>
      <c r="C24" s="30"/>
      <c r="D24" s="1"/>
      <c r="E24" s="2"/>
      <c r="F24" s="5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A25" s="1"/>
      <c r="B25" s="30"/>
      <c r="C25" s="30"/>
      <c r="D25" s="1"/>
      <c r="E25" s="2"/>
      <c r="F25" s="5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60" t="str">
        <f>C8</f>
        <v>Ngô Thế Nghĩa</v>
      </c>
      <c r="B26" s="60"/>
      <c r="C26" s="60"/>
      <c r="D26" s="60"/>
      <c r="E26" s="61" t="s">
        <v>48</v>
      </c>
      <c r="F26" s="63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3">
      <c r="A27" s="62"/>
      <c r="B27" s="63"/>
      <c r="C27" s="63"/>
      <c r="D27" s="63"/>
      <c r="E27" s="62"/>
      <c r="F27" s="63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5">
      <c r="A28" s="1"/>
      <c r="B28" s="1"/>
      <c r="C28" s="1"/>
      <c r="D28" s="1"/>
      <c r="E28" s="2"/>
      <c r="F28" s="5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1"/>
      <c r="B29" s="1"/>
      <c r="C29" s="60" t="s">
        <v>53</v>
      </c>
      <c r="D29" s="60"/>
      <c r="E29" s="60"/>
      <c r="F29" s="5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1"/>
      <c r="B30" s="1"/>
      <c r="C30" s="4"/>
      <c r="D30" s="4"/>
      <c r="E30" s="4"/>
      <c r="F30" s="5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1"/>
      <c r="B31" s="1"/>
      <c r="C31" s="4"/>
      <c r="D31" s="4"/>
      <c r="E31" s="4"/>
      <c r="F31" s="5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1"/>
      <c r="B32" s="1"/>
      <c r="C32" s="4"/>
      <c r="D32" s="4"/>
      <c r="E32" s="4"/>
      <c r="F32" s="5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5">
      <c r="A33" s="1"/>
      <c r="B33" s="1"/>
      <c r="C33" s="4"/>
      <c r="D33" s="4"/>
      <c r="E33" s="4"/>
      <c r="F33" s="5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5">
      <c r="A34" s="1"/>
      <c r="B34" s="1"/>
      <c r="C34" s="61" t="s">
        <v>54</v>
      </c>
      <c r="D34" s="61"/>
      <c r="E34" s="61"/>
      <c r="F34" s="5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5">
      <c r="A35" s="1"/>
      <c r="B35" s="1"/>
      <c r="C35" s="1"/>
      <c r="D35" s="1"/>
      <c r="E35" s="2"/>
      <c r="F35" s="5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5">
      <c r="A36" s="1"/>
      <c r="B36" s="1"/>
      <c r="C36" s="1"/>
      <c r="D36" s="1"/>
      <c r="E36" s="2"/>
      <c r="F36" s="5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5">
      <c r="A37" s="1"/>
      <c r="B37" s="1"/>
      <c r="C37" s="1"/>
      <c r="D37" s="1"/>
      <c r="E37" s="2"/>
      <c r="F37" s="5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5">
      <c r="A38" s="1"/>
      <c r="B38" s="1"/>
      <c r="C38" s="1"/>
      <c r="D38" s="1"/>
      <c r="E38" s="2"/>
      <c r="F38" s="5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5">
      <c r="A39" s="1"/>
      <c r="B39" s="1"/>
      <c r="C39" s="1"/>
      <c r="D39" s="1"/>
      <c r="E39" s="2"/>
      <c r="F39" s="5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5">
      <c r="A40" s="1"/>
      <c r="B40" s="1"/>
      <c r="C40" s="1"/>
      <c r="D40" s="1"/>
      <c r="E40" s="2"/>
      <c r="F40" s="5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5">
      <c r="A41" s="1"/>
      <c r="B41" s="1"/>
      <c r="C41" s="1"/>
      <c r="D41" s="1"/>
      <c r="E41" s="1"/>
      <c r="F41" s="1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1"/>
      <c r="B42" s="1"/>
      <c r="C42" s="1"/>
      <c r="D42" s="1"/>
      <c r="E42" s="1"/>
      <c r="F42" s="1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1"/>
      <c r="B43" s="1"/>
      <c r="C43" s="1"/>
      <c r="D43" s="1"/>
      <c r="E43" s="1"/>
      <c r="F43" s="1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5">
      <c r="A44" s="1"/>
      <c r="B44" s="1"/>
      <c r="C44" s="1"/>
      <c r="D44" s="1"/>
      <c r="E44" s="1"/>
      <c r="F44" s="1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5">
      <c r="A45" s="1"/>
      <c r="B45" s="1"/>
      <c r="C45" s="1"/>
      <c r="D45" s="1"/>
      <c r="E45" s="1"/>
      <c r="F45" s="1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1"/>
      <c r="B46" s="1"/>
      <c r="C46" s="1"/>
      <c r="D46" s="1"/>
      <c r="E46" s="1"/>
      <c r="F46" s="1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5">
      <c r="A47" s="1"/>
      <c r="B47" s="1"/>
      <c r="C47" s="1"/>
      <c r="D47" s="1"/>
      <c r="E47" s="1"/>
      <c r="F47" s="1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5">
      <c r="A48" s="1"/>
      <c r="B48" s="1"/>
      <c r="C48" s="1"/>
      <c r="D48" s="1"/>
      <c r="E48" s="1"/>
      <c r="F48" s="1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5">
      <c r="A49" s="1"/>
      <c r="B49" s="1"/>
      <c r="C49" s="1"/>
      <c r="D49" s="1"/>
      <c r="E49" s="1"/>
      <c r="F49" s="1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1"/>
      <c r="B50" s="1"/>
      <c r="C50" s="1"/>
      <c r="D50" s="1"/>
      <c r="E50" s="1"/>
      <c r="F50" s="1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1"/>
      <c r="B51" s="1"/>
      <c r="C51" s="1"/>
      <c r="D51" s="1"/>
      <c r="E51" s="1"/>
      <c r="F51" s="1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5">
      <c r="A52" s="1"/>
      <c r="B52" s="1"/>
      <c r="C52" s="1"/>
      <c r="D52" s="1"/>
      <c r="E52" s="1"/>
      <c r="F52" s="1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5">
      <c r="A53" s="1"/>
      <c r="B53" s="1"/>
      <c r="C53" s="1"/>
      <c r="D53" s="1"/>
      <c r="E53" s="1"/>
      <c r="F53" s="1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1"/>
      <c r="B54" s="1"/>
      <c r="C54" s="1"/>
      <c r="D54" s="1"/>
      <c r="E54" s="1"/>
      <c r="F54" s="1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5">
      <c r="A55" s="1"/>
      <c r="B55" s="1"/>
      <c r="C55" s="1"/>
      <c r="D55" s="1"/>
      <c r="E55" s="1"/>
      <c r="F55" s="1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5">
      <c r="A56" s="1"/>
      <c r="B56" s="1"/>
      <c r="C56" s="1"/>
      <c r="D56" s="1"/>
      <c r="E56" s="1"/>
      <c r="F56" s="1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1"/>
      <c r="B57" s="1"/>
      <c r="C57" s="1"/>
      <c r="D57" s="1"/>
      <c r="E57" s="1"/>
      <c r="F57" s="1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5">
      <c r="A58" s="1"/>
      <c r="B58" s="1"/>
      <c r="C58" s="1"/>
      <c r="D58" s="1"/>
      <c r="E58" s="1"/>
      <c r="F58" s="1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5">
      <c r="A59" s="1"/>
      <c r="B59" s="1"/>
      <c r="C59" s="1"/>
      <c r="D59" s="1"/>
      <c r="E59" s="1"/>
      <c r="F59" s="1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5">
      <c r="A60" s="1"/>
      <c r="B60" s="1"/>
      <c r="C60" s="1"/>
      <c r="D60" s="1"/>
      <c r="E60" s="1"/>
      <c r="F60" s="1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5">
      <c r="A61" s="1"/>
      <c r="B61" s="1"/>
      <c r="C61" s="1"/>
      <c r="D61" s="1"/>
      <c r="E61" s="1"/>
      <c r="F61" s="1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"/>
    <row r="228" spans="1:26" ht="15.75" customHeight="1" x14ac:dyDescent="0.2"/>
    <row r="229" spans="1:26" ht="15.75" customHeight="1" x14ac:dyDescent="0.2"/>
    <row r="230" spans="1:26" ht="15.75" customHeight="1" x14ac:dyDescent="0.2"/>
    <row r="231" spans="1:26" ht="15.75" customHeight="1" x14ac:dyDescent="0.2"/>
    <row r="232" spans="1:26" ht="15.75" customHeight="1" x14ac:dyDescent="0.2"/>
    <row r="233" spans="1:26" ht="15.75" customHeight="1" x14ac:dyDescent="0.2"/>
    <row r="234" spans="1:26" ht="15.75" customHeight="1" x14ac:dyDescent="0.2"/>
    <row r="235" spans="1:26" ht="15.75" customHeight="1" x14ac:dyDescent="0.2"/>
    <row r="236" spans="1:26" ht="15.75" customHeight="1" x14ac:dyDescent="0.2"/>
    <row r="237" spans="1:26" ht="15.75" customHeight="1" x14ac:dyDescent="0.2"/>
    <row r="238" spans="1:26" ht="15.75" customHeight="1" x14ac:dyDescent="0.2"/>
    <row r="239" spans="1:26" ht="15.75" customHeight="1" x14ac:dyDescent="0.2"/>
    <row r="240" spans="1:26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20">
    <mergeCell ref="E21:F21"/>
    <mergeCell ref="A26:D26"/>
    <mergeCell ref="E26:F26"/>
    <mergeCell ref="C29:E29"/>
    <mergeCell ref="C34:E34"/>
    <mergeCell ref="A27:D27"/>
    <mergeCell ref="E27:F27"/>
    <mergeCell ref="A1:C1"/>
    <mergeCell ref="A2:C2"/>
    <mergeCell ref="B14:C14"/>
    <mergeCell ref="B15:C15"/>
    <mergeCell ref="A3:D3"/>
    <mergeCell ref="A4:F4"/>
    <mergeCell ref="A5:F5"/>
    <mergeCell ref="B13:C13"/>
    <mergeCell ref="B16:C16"/>
    <mergeCell ref="B17:C17"/>
    <mergeCell ref="B18:C18"/>
    <mergeCell ref="B19:C19"/>
    <mergeCell ref="A21:D21"/>
  </mergeCells>
  <pageMargins left="0.84" right="0.24" top="0.75" bottom="0.75" header="0" footer="0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999"/>
  <sheetViews>
    <sheetView topLeftCell="A4" workbookViewId="0">
      <selection activeCell="J12" sqref="J12"/>
    </sheetView>
  </sheetViews>
  <sheetFormatPr defaultColWidth="12.625" defaultRowHeight="15" customHeight="1" x14ac:dyDescent="0.2"/>
  <cols>
    <col min="1" max="1" width="5.5" customWidth="1"/>
    <col min="2" max="2" width="22.5" customWidth="1"/>
    <col min="3" max="3" width="8.25" customWidth="1"/>
    <col min="4" max="4" width="8.375" customWidth="1"/>
    <col min="5" max="5" width="11.75" customWidth="1"/>
    <col min="6" max="6" width="26.375" customWidth="1"/>
    <col min="7" max="7" width="7.625" customWidth="1"/>
    <col min="8" max="8" width="2.875" hidden="1" customWidth="1"/>
    <col min="9" max="26" width="7.625" customWidth="1"/>
  </cols>
  <sheetData>
    <row r="1" spans="1:26" ht="16.5" x14ac:dyDescent="0.25">
      <c r="A1" s="64" t="s">
        <v>37</v>
      </c>
      <c r="B1" s="64"/>
      <c r="C1" s="64"/>
      <c r="D1" s="42"/>
      <c r="E1" s="2"/>
      <c r="F1" s="44" t="s">
        <v>36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6.5" x14ac:dyDescent="0.25">
      <c r="A2" s="65" t="s">
        <v>38</v>
      </c>
      <c r="B2" s="65"/>
      <c r="C2" s="65"/>
      <c r="E2" s="2"/>
      <c r="F2" s="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x14ac:dyDescent="0.25">
      <c r="A3" s="60"/>
      <c r="B3" s="63"/>
      <c r="C3" s="63"/>
      <c r="D3" s="63"/>
      <c r="E3" s="2"/>
      <c r="F3" s="5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9.5" x14ac:dyDescent="0.3">
      <c r="A4" s="68" t="s">
        <v>0</v>
      </c>
      <c r="B4" s="63"/>
      <c r="C4" s="63"/>
      <c r="D4" s="63"/>
      <c r="E4" s="63"/>
      <c r="F4" s="6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x14ac:dyDescent="0.25">
      <c r="A5" s="69">
        <f>'TP1'!A5</f>
        <v>46167</v>
      </c>
      <c r="B5" s="70"/>
      <c r="C5" s="70"/>
      <c r="D5" s="70"/>
      <c r="E5" s="70"/>
      <c r="F5" s="70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x14ac:dyDescent="0.25">
      <c r="A6" s="1"/>
      <c r="B6" s="1"/>
      <c r="C6" s="1"/>
      <c r="D6" s="6" t="s">
        <v>1</v>
      </c>
      <c r="E6" s="7">
        <f>H6</f>
        <v>79</v>
      </c>
      <c r="F6" s="5"/>
      <c r="G6" s="4"/>
      <c r="H6" s="31">
        <f>PY!E6+1</f>
        <v>79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x14ac:dyDescent="0.25">
      <c r="A7" s="1"/>
      <c r="B7" s="1"/>
      <c r="C7" s="1"/>
      <c r="D7" s="1"/>
      <c r="E7" s="2"/>
      <c r="F7" s="5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x14ac:dyDescent="0.25">
      <c r="A8" s="1"/>
      <c r="B8" s="8" t="s">
        <v>2</v>
      </c>
      <c r="C8" s="9" t="s">
        <v>46</v>
      </c>
      <c r="D8" s="4"/>
      <c r="E8" s="9"/>
      <c r="F8" s="10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6.5" x14ac:dyDescent="0.25">
      <c r="A9" s="1"/>
      <c r="B9" s="8" t="s">
        <v>3</v>
      </c>
      <c r="C9" s="9" t="s">
        <v>31</v>
      </c>
      <c r="D9" s="4"/>
      <c r="E9" s="9"/>
      <c r="F9" s="10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x14ac:dyDescent="0.25">
      <c r="A10" s="1"/>
      <c r="B10" s="8" t="s">
        <v>5</v>
      </c>
      <c r="C10" s="9" t="s">
        <v>6</v>
      </c>
      <c r="D10" s="4"/>
      <c r="E10" s="9"/>
      <c r="F10" s="10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6.5" x14ac:dyDescent="0.25">
      <c r="A11" s="1"/>
      <c r="B11" s="8" t="s">
        <v>7</v>
      </c>
      <c r="C11" s="9" t="s">
        <v>8</v>
      </c>
      <c r="D11" s="4"/>
      <c r="E11" s="9"/>
      <c r="F11" s="10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x14ac:dyDescent="0.25">
      <c r="A12" s="1"/>
      <c r="B12" s="11"/>
      <c r="C12" s="11"/>
      <c r="D12" s="12"/>
      <c r="E12" s="13"/>
      <c r="F12" s="1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0.25" customHeight="1" thickTop="1" x14ac:dyDescent="0.25">
      <c r="A13" s="34" t="s">
        <v>9</v>
      </c>
      <c r="B13" s="71" t="s">
        <v>10</v>
      </c>
      <c r="C13" s="72"/>
      <c r="D13" s="35" t="s">
        <v>11</v>
      </c>
      <c r="E13" s="36" t="s">
        <v>12</v>
      </c>
      <c r="F13" s="37" t="s">
        <v>13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x14ac:dyDescent="0.25">
      <c r="A14" s="15">
        <v>1</v>
      </c>
      <c r="B14" s="73" t="s">
        <v>41</v>
      </c>
      <c r="C14" s="67"/>
      <c r="D14" s="16" t="s">
        <v>39</v>
      </c>
      <c r="E14" s="17">
        <v>30</v>
      </c>
      <c r="F14" s="18" t="s">
        <v>57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x14ac:dyDescent="0.25">
      <c r="A15" s="19">
        <v>2</v>
      </c>
      <c r="B15" s="73" t="s">
        <v>40</v>
      </c>
      <c r="C15" s="67"/>
      <c r="D15" s="16" t="s">
        <v>39</v>
      </c>
      <c r="E15" s="17">
        <v>10</v>
      </c>
      <c r="F15" s="18" t="s">
        <v>45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6.5" x14ac:dyDescent="0.25">
      <c r="A16" s="19">
        <v>2</v>
      </c>
      <c r="B16" s="73" t="s">
        <v>51</v>
      </c>
      <c r="C16" s="67"/>
      <c r="D16" s="16" t="s">
        <v>39</v>
      </c>
      <c r="E16" s="17">
        <v>3</v>
      </c>
      <c r="F16" s="18" t="s">
        <v>42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x14ac:dyDescent="0.25">
      <c r="A17" s="21"/>
      <c r="B17" s="73"/>
      <c r="C17" s="67"/>
      <c r="D17" s="16"/>
      <c r="E17" s="17"/>
      <c r="F17" s="18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x14ac:dyDescent="0.25">
      <c r="A18" s="25"/>
      <c r="B18" s="79"/>
      <c r="C18" s="80"/>
      <c r="D18" s="26"/>
      <c r="E18" s="27"/>
      <c r="F18" s="28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7.25" thickBot="1" x14ac:dyDescent="0.3">
      <c r="A19" s="38"/>
      <c r="B19" s="77" t="s">
        <v>14</v>
      </c>
      <c r="C19" s="78"/>
      <c r="D19" s="39"/>
      <c r="E19" s="46">
        <f>SUM(E14:E18)</f>
        <v>43</v>
      </c>
      <c r="F19" s="41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thickTop="1" x14ac:dyDescent="0.25">
      <c r="A20" s="1"/>
      <c r="B20" s="1"/>
      <c r="C20" s="1"/>
      <c r="D20" s="1"/>
      <c r="E20" s="29"/>
      <c r="F20" s="2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5">
      <c r="A21" s="60" t="s">
        <v>15</v>
      </c>
      <c r="B21" s="63"/>
      <c r="C21" s="63"/>
      <c r="D21" s="63"/>
      <c r="E21" s="60" t="s">
        <v>55</v>
      </c>
      <c r="F21" s="63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1"/>
      <c r="B22" s="30"/>
      <c r="C22" s="30"/>
      <c r="D22" s="1"/>
      <c r="E22" s="2"/>
      <c r="F22" s="5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1"/>
      <c r="B23" s="30"/>
      <c r="C23" s="30"/>
      <c r="D23" s="1"/>
      <c r="E23" s="2"/>
      <c r="F23" s="5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1"/>
      <c r="B24" s="30"/>
      <c r="C24" s="30"/>
      <c r="D24" s="1"/>
      <c r="E24" s="2"/>
      <c r="F24" s="5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A25" s="1"/>
      <c r="B25" s="30"/>
      <c r="C25" s="30"/>
      <c r="D25" s="1"/>
      <c r="E25" s="2"/>
      <c r="F25" s="5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60" t="str">
        <f>C8</f>
        <v>Nguyễn Thanh Sơn</v>
      </c>
      <c r="B26" s="60"/>
      <c r="C26" s="60"/>
      <c r="D26" s="60"/>
      <c r="E26" s="61" t="s">
        <v>48</v>
      </c>
      <c r="F26" s="63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3">
      <c r="A27" s="62"/>
      <c r="B27" s="63"/>
      <c r="C27" s="63"/>
      <c r="D27" s="63"/>
      <c r="E27" s="62"/>
      <c r="F27" s="63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5">
      <c r="A28" s="1"/>
      <c r="B28" s="1"/>
      <c r="C28" s="1"/>
      <c r="D28" s="1"/>
      <c r="E28" s="2"/>
      <c r="F28" s="5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1"/>
      <c r="B29" s="1"/>
      <c r="C29" s="60" t="s">
        <v>53</v>
      </c>
      <c r="D29" s="60"/>
      <c r="E29" s="60"/>
      <c r="F29" s="5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1"/>
      <c r="B30" s="1"/>
      <c r="C30" s="4"/>
      <c r="D30" s="4"/>
      <c r="E30" s="4"/>
      <c r="F30" s="5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1"/>
      <c r="B31" s="1"/>
      <c r="C31" s="4"/>
      <c r="D31" s="4"/>
      <c r="E31" s="4"/>
      <c r="F31" s="5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1"/>
      <c r="B32" s="1"/>
      <c r="C32" s="4"/>
      <c r="D32" s="4"/>
      <c r="E32" s="4"/>
      <c r="F32" s="5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5">
      <c r="A33" s="1"/>
      <c r="B33" s="1"/>
      <c r="C33" s="4"/>
      <c r="D33" s="4"/>
      <c r="E33" s="4"/>
      <c r="F33" s="5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5">
      <c r="A34" s="1"/>
      <c r="B34" s="1"/>
      <c r="C34" s="61" t="s">
        <v>54</v>
      </c>
      <c r="D34" s="61"/>
      <c r="E34" s="61"/>
      <c r="F34" s="5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5">
      <c r="A35" s="1"/>
      <c r="B35" s="1"/>
      <c r="C35" s="1"/>
      <c r="D35" s="1"/>
      <c r="E35" s="2"/>
      <c r="F35" s="5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5">
      <c r="A36" s="1"/>
      <c r="B36" s="1"/>
      <c r="C36" s="1"/>
      <c r="D36" s="1"/>
      <c r="E36" s="2"/>
      <c r="F36" s="5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5">
      <c r="A37" s="1"/>
      <c r="B37" s="1"/>
      <c r="C37" s="1"/>
      <c r="D37" s="1"/>
      <c r="E37" s="2"/>
      <c r="F37" s="5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5">
      <c r="A38" s="1"/>
      <c r="B38" s="1"/>
      <c r="C38" s="1"/>
      <c r="D38" s="1"/>
      <c r="E38" s="2"/>
      <c r="F38" s="5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5">
      <c r="A39" s="1"/>
      <c r="B39" s="1"/>
      <c r="C39" s="1"/>
      <c r="D39" s="1"/>
      <c r="E39" s="2"/>
      <c r="F39" s="5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5">
      <c r="A40" s="1"/>
      <c r="B40" s="1"/>
      <c r="C40" s="1"/>
      <c r="D40" s="1"/>
      <c r="E40" s="2"/>
      <c r="F40" s="5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5">
      <c r="A41" s="1"/>
      <c r="B41" s="1"/>
      <c r="C41" s="1"/>
      <c r="D41" s="1"/>
      <c r="E41" s="1"/>
      <c r="F41" s="1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1"/>
      <c r="B42" s="1"/>
      <c r="C42" s="1"/>
      <c r="D42" s="1"/>
      <c r="E42" s="1"/>
      <c r="F42" s="1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1"/>
      <c r="B43" s="1"/>
      <c r="C43" s="1"/>
      <c r="D43" s="1"/>
      <c r="E43" s="1"/>
      <c r="F43" s="1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5">
      <c r="A44" s="1"/>
      <c r="B44" s="1"/>
      <c r="C44" s="1"/>
      <c r="D44" s="1"/>
      <c r="E44" s="1"/>
      <c r="F44" s="1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5">
      <c r="A45" s="1"/>
      <c r="B45" s="1"/>
      <c r="C45" s="1"/>
      <c r="D45" s="1"/>
      <c r="E45" s="1"/>
      <c r="F45" s="1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1"/>
      <c r="B46" s="1"/>
      <c r="C46" s="1"/>
      <c r="D46" s="1"/>
      <c r="E46" s="1"/>
      <c r="F46" s="1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5">
      <c r="A47" s="1"/>
      <c r="B47" s="1"/>
      <c r="C47" s="1"/>
      <c r="D47" s="1"/>
      <c r="E47" s="1"/>
      <c r="F47" s="1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5">
      <c r="A48" s="1"/>
      <c r="B48" s="1"/>
      <c r="C48" s="1"/>
      <c r="D48" s="1"/>
      <c r="E48" s="1"/>
      <c r="F48" s="1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5">
      <c r="A49" s="1"/>
      <c r="B49" s="1"/>
      <c r="C49" s="1"/>
      <c r="D49" s="1"/>
      <c r="E49" s="1"/>
      <c r="F49" s="1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1"/>
      <c r="B50" s="1"/>
      <c r="C50" s="1"/>
      <c r="D50" s="1"/>
      <c r="E50" s="1"/>
      <c r="F50" s="1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1"/>
      <c r="B51" s="1"/>
      <c r="C51" s="1"/>
      <c r="D51" s="1"/>
      <c r="E51" s="1"/>
      <c r="F51" s="1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5">
      <c r="A52" s="1"/>
      <c r="B52" s="1"/>
      <c r="C52" s="1"/>
      <c r="D52" s="1"/>
      <c r="E52" s="1"/>
      <c r="F52" s="1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5">
      <c r="A53" s="1"/>
      <c r="B53" s="1"/>
      <c r="C53" s="1"/>
      <c r="D53" s="1"/>
      <c r="E53" s="1"/>
      <c r="F53" s="1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1"/>
      <c r="B54" s="1"/>
      <c r="C54" s="1"/>
      <c r="D54" s="1"/>
      <c r="E54" s="1"/>
      <c r="F54" s="1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5">
      <c r="A55" s="1"/>
      <c r="B55" s="1"/>
      <c r="C55" s="1"/>
      <c r="D55" s="1"/>
      <c r="E55" s="1"/>
      <c r="F55" s="1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5">
      <c r="A56" s="1"/>
      <c r="B56" s="1"/>
      <c r="C56" s="1"/>
      <c r="D56" s="1"/>
      <c r="E56" s="1"/>
      <c r="F56" s="1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1"/>
      <c r="B57" s="1"/>
      <c r="C57" s="1"/>
      <c r="D57" s="1"/>
      <c r="E57" s="1"/>
      <c r="F57" s="1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5">
      <c r="A58" s="1"/>
      <c r="B58" s="1"/>
      <c r="C58" s="1"/>
      <c r="D58" s="1"/>
      <c r="E58" s="1"/>
      <c r="F58" s="1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5">
      <c r="A59" s="1"/>
      <c r="B59" s="1"/>
      <c r="C59" s="1"/>
      <c r="D59" s="1"/>
      <c r="E59" s="1"/>
      <c r="F59" s="1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5">
      <c r="A60" s="1"/>
      <c r="B60" s="1"/>
      <c r="C60" s="1"/>
      <c r="D60" s="1"/>
      <c r="E60" s="1"/>
      <c r="F60" s="1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5">
      <c r="A61" s="1"/>
      <c r="B61" s="1"/>
      <c r="C61" s="1"/>
      <c r="D61" s="1"/>
      <c r="E61" s="1"/>
      <c r="F61" s="1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"/>
    <row r="228" spans="1:26" ht="15.75" customHeight="1" x14ac:dyDescent="0.2"/>
    <row r="229" spans="1:26" ht="15.75" customHeight="1" x14ac:dyDescent="0.2"/>
    <row r="230" spans="1:26" ht="15.75" customHeight="1" x14ac:dyDescent="0.2"/>
    <row r="231" spans="1:26" ht="15.75" customHeight="1" x14ac:dyDescent="0.2"/>
    <row r="232" spans="1:26" ht="15.75" customHeight="1" x14ac:dyDescent="0.2"/>
    <row r="233" spans="1:26" ht="15.75" customHeight="1" x14ac:dyDescent="0.2"/>
    <row r="234" spans="1:26" ht="15.75" customHeight="1" x14ac:dyDescent="0.2"/>
    <row r="235" spans="1:26" ht="15.75" customHeight="1" x14ac:dyDescent="0.2"/>
    <row r="236" spans="1:26" ht="15.75" customHeight="1" x14ac:dyDescent="0.2"/>
    <row r="237" spans="1:26" ht="15.75" customHeight="1" x14ac:dyDescent="0.2"/>
    <row r="238" spans="1:26" ht="15.75" customHeight="1" x14ac:dyDescent="0.2"/>
    <row r="239" spans="1:26" ht="15.75" customHeight="1" x14ac:dyDescent="0.2"/>
    <row r="240" spans="1:26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20">
    <mergeCell ref="A26:D26"/>
    <mergeCell ref="E26:F26"/>
    <mergeCell ref="B16:C16"/>
    <mergeCell ref="C29:E29"/>
    <mergeCell ref="C34:E34"/>
    <mergeCell ref="A27:D27"/>
    <mergeCell ref="E27:F27"/>
    <mergeCell ref="B17:C17"/>
    <mergeCell ref="B18:C18"/>
    <mergeCell ref="B19:C19"/>
    <mergeCell ref="A21:D21"/>
    <mergeCell ref="E21:F21"/>
    <mergeCell ref="A1:C1"/>
    <mergeCell ref="A2:C2"/>
    <mergeCell ref="B14:C14"/>
    <mergeCell ref="B15:C15"/>
    <mergeCell ref="A3:D3"/>
    <mergeCell ref="A4:F4"/>
    <mergeCell ref="A5:F5"/>
    <mergeCell ref="B13:C13"/>
  </mergeCells>
  <pageMargins left="0.65" right="0.24" top="0.75" bottom="0.75" header="0" footer="0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998"/>
  <sheetViews>
    <sheetView workbookViewId="0">
      <selection activeCell="J13" sqref="J13"/>
    </sheetView>
  </sheetViews>
  <sheetFormatPr defaultColWidth="12.625" defaultRowHeight="15" customHeight="1" x14ac:dyDescent="0.2"/>
  <cols>
    <col min="1" max="1" width="5.5" customWidth="1"/>
    <col min="2" max="2" width="22.5" customWidth="1"/>
    <col min="3" max="3" width="7.625" customWidth="1"/>
    <col min="4" max="4" width="8.375" customWidth="1"/>
    <col min="5" max="5" width="11.75" customWidth="1"/>
    <col min="6" max="6" width="23.625" customWidth="1"/>
    <col min="7" max="7" width="7.625" customWidth="1"/>
    <col min="8" max="8" width="7.625" hidden="1" customWidth="1"/>
    <col min="9" max="26" width="7.625" customWidth="1"/>
  </cols>
  <sheetData>
    <row r="1" spans="1:26" ht="16.5" x14ac:dyDescent="0.25">
      <c r="A1" s="64" t="s">
        <v>37</v>
      </c>
      <c r="B1" s="64"/>
      <c r="C1" s="64"/>
      <c r="D1" s="42"/>
      <c r="E1" s="2"/>
      <c r="F1" s="44" t="s">
        <v>36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6.5" x14ac:dyDescent="0.25">
      <c r="A2" s="65" t="s">
        <v>38</v>
      </c>
      <c r="B2" s="65"/>
      <c r="C2" s="65"/>
      <c r="E2" s="2"/>
      <c r="F2" s="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x14ac:dyDescent="0.25">
      <c r="A3" s="60"/>
      <c r="B3" s="63"/>
      <c r="C3" s="63"/>
      <c r="D3" s="63"/>
      <c r="E3" s="2"/>
      <c r="F3" s="5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9.5" x14ac:dyDescent="0.3">
      <c r="A4" s="68" t="s">
        <v>0</v>
      </c>
      <c r="B4" s="63"/>
      <c r="C4" s="63"/>
      <c r="D4" s="63"/>
      <c r="E4" s="63"/>
      <c r="F4" s="6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x14ac:dyDescent="0.25">
      <c r="A5" s="69">
        <f>'TP1'!A5</f>
        <v>46167</v>
      </c>
      <c r="B5" s="70"/>
      <c r="C5" s="70"/>
      <c r="D5" s="70"/>
      <c r="E5" s="70"/>
      <c r="F5" s="70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x14ac:dyDescent="0.25">
      <c r="A6" s="1"/>
      <c r="B6" s="1"/>
      <c r="C6" s="1"/>
      <c r="D6" s="6" t="s">
        <v>1</v>
      </c>
      <c r="E6" s="7">
        <f>H6</f>
        <v>80</v>
      </c>
      <c r="F6" s="5"/>
      <c r="G6" s="4"/>
      <c r="H6" s="31">
        <f>SM!E6+1</f>
        <v>80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x14ac:dyDescent="0.25">
      <c r="A7" s="1"/>
      <c r="B7" s="1"/>
      <c r="C7" s="1"/>
      <c r="D7" s="1"/>
      <c r="E7" s="2"/>
      <c r="F7" s="5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x14ac:dyDescent="0.25">
      <c r="A8" s="1"/>
      <c r="B8" s="8" t="s">
        <v>2</v>
      </c>
      <c r="C8" s="9" t="s">
        <v>49</v>
      </c>
      <c r="D8" s="4"/>
      <c r="E8" s="9"/>
      <c r="F8" s="10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6.5" x14ac:dyDescent="0.25">
      <c r="A9" s="1"/>
      <c r="B9" s="8" t="s">
        <v>3</v>
      </c>
      <c r="C9" s="9" t="s">
        <v>33</v>
      </c>
      <c r="D9" s="4"/>
      <c r="E9" s="9"/>
      <c r="F9" s="10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x14ac:dyDescent="0.25">
      <c r="A10" s="1"/>
      <c r="B10" s="8" t="s">
        <v>5</v>
      </c>
      <c r="C10" s="9" t="s">
        <v>6</v>
      </c>
      <c r="D10" s="4"/>
      <c r="E10" s="9"/>
      <c r="F10" s="10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6.5" x14ac:dyDescent="0.25">
      <c r="A11" s="1"/>
      <c r="B11" s="8" t="s">
        <v>7</v>
      </c>
      <c r="C11" s="9" t="s">
        <v>8</v>
      </c>
      <c r="D11" s="4"/>
      <c r="E11" s="9"/>
      <c r="F11" s="10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x14ac:dyDescent="0.25">
      <c r="A12" s="1"/>
      <c r="B12" s="11"/>
      <c r="C12" s="11"/>
      <c r="D12" s="12"/>
      <c r="E12" s="13"/>
      <c r="F12" s="1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3.25" customHeight="1" thickTop="1" x14ac:dyDescent="0.25">
      <c r="A13" s="34" t="s">
        <v>9</v>
      </c>
      <c r="B13" s="71" t="s">
        <v>10</v>
      </c>
      <c r="C13" s="72"/>
      <c r="D13" s="35" t="s">
        <v>11</v>
      </c>
      <c r="E13" s="36" t="s">
        <v>12</v>
      </c>
      <c r="F13" s="37" t="s">
        <v>13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x14ac:dyDescent="0.25">
      <c r="A14" s="15">
        <v>1</v>
      </c>
      <c r="B14" s="73" t="s">
        <v>41</v>
      </c>
      <c r="C14" s="67"/>
      <c r="D14" s="16" t="s">
        <v>39</v>
      </c>
      <c r="E14" s="17">
        <v>10</v>
      </c>
      <c r="F14" s="18" t="s">
        <v>57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x14ac:dyDescent="0.25">
      <c r="A15" s="15">
        <v>2</v>
      </c>
      <c r="B15" s="73" t="s">
        <v>40</v>
      </c>
      <c r="C15" s="67"/>
      <c r="D15" s="16" t="s">
        <v>39</v>
      </c>
      <c r="E15" s="17">
        <v>10</v>
      </c>
      <c r="F15" s="24" t="s">
        <v>45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6.5" x14ac:dyDescent="0.25">
      <c r="A16" s="21"/>
      <c r="B16" s="73"/>
      <c r="C16" s="67"/>
      <c r="D16" s="23"/>
      <c r="E16" s="22"/>
      <c r="F16" s="2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x14ac:dyDescent="0.25">
      <c r="A17" s="25"/>
      <c r="B17" s="79"/>
      <c r="C17" s="80"/>
      <c r="D17" s="26"/>
      <c r="E17" s="27"/>
      <c r="F17" s="28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7.25" thickBot="1" x14ac:dyDescent="0.3">
      <c r="A18" s="38"/>
      <c r="B18" s="77" t="s">
        <v>14</v>
      </c>
      <c r="C18" s="78"/>
      <c r="D18" s="39"/>
      <c r="E18" s="40">
        <f>SUM(E14:E17)</f>
        <v>20</v>
      </c>
      <c r="F18" s="41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thickTop="1" x14ac:dyDescent="0.25">
      <c r="A19" s="1"/>
      <c r="B19" s="1"/>
      <c r="C19" s="1"/>
      <c r="D19" s="1"/>
      <c r="E19" s="29"/>
      <c r="F19" s="2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5">
      <c r="A20" s="88" t="s">
        <v>15</v>
      </c>
      <c r="B20" s="88"/>
      <c r="C20" s="88"/>
      <c r="E20" s="60" t="s">
        <v>55</v>
      </c>
      <c r="F20" s="6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5">
      <c r="A21" s="1"/>
      <c r="B21" s="30"/>
      <c r="C21" s="30"/>
      <c r="D21" s="1"/>
      <c r="E21" s="2"/>
      <c r="F21" s="5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1"/>
      <c r="B22" s="30"/>
      <c r="C22" s="30"/>
      <c r="D22" s="1"/>
      <c r="E22" s="2"/>
      <c r="F22" s="5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1"/>
      <c r="B23" s="30"/>
      <c r="C23" s="30"/>
      <c r="D23" s="1"/>
      <c r="E23" s="2"/>
      <c r="F23" s="5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1"/>
      <c r="B24" s="30"/>
      <c r="C24" s="30"/>
      <c r="D24" s="1"/>
      <c r="E24" s="2"/>
      <c r="F24" s="5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A25" s="60" t="str">
        <f>C8</f>
        <v>Đoàn Quang Việt</v>
      </c>
      <c r="B25" s="60"/>
      <c r="C25" s="60"/>
      <c r="D25" s="1"/>
      <c r="E25" s="61" t="s">
        <v>48</v>
      </c>
      <c r="F25" s="63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3">
      <c r="A26" s="62"/>
      <c r="B26" s="63"/>
      <c r="C26" s="63"/>
      <c r="D26" s="63"/>
      <c r="E26" s="62"/>
      <c r="F26" s="63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5">
      <c r="A27" s="1"/>
      <c r="B27" s="1"/>
      <c r="C27" s="1"/>
      <c r="D27" s="1"/>
      <c r="E27" s="2"/>
      <c r="F27" s="5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5">
      <c r="A28" s="1"/>
      <c r="B28" s="1"/>
      <c r="C28" s="60" t="s">
        <v>53</v>
      </c>
      <c r="D28" s="60"/>
      <c r="E28" s="60"/>
      <c r="F28" s="5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1"/>
      <c r="B29" s="1"/>
      <c r="C29" s="4"/>
      <c r="D29" s="4"/>
      <c r="E29" s="4"/>
      <c r="F29" s="5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1"/>
      <c r="B30" s="1"/>
      <c r="C30" s="4"/>
      <c r="D30" s="4"/>
      <c r="E30" s="4"/>
      <c r="F30" s="5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1"/>
      <c r="B31" s="1"/>
      <c r="C31" s="4"/>
      <c r="D31" s="4"/>
      <c r="E31" s="4"/>
      <c r="F31" s="5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1"/>
      <c r="B32" s="1"/>
      <c r="C32" s="4"/>
      <c r="D32" s="4"/>
      <c r="E32" s="4"/>
      <c r="F32" s="5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5">
      <c r="A33" s="1"/>
      <c r="B33" s="1"/>
      <c r="C33" s="61" t="s">
        <v>54</v>
      </c>
      <c r="D33" s="61"/>
      <c r="E33" s="61"/>
      <c r="F33" s="5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5">
      <c r="A34" s="1"/>
      <c r="B34" s="1"/>
      <c r="C34" s="1"/>
      <c r="D34" s="1"/>
      <c r="E34" s="2"/>
      <c r="F34" s="5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5">
      <c r="A35" s="1"/>
      <c r="B35" s="1"/>
      <c r="C35" s="1"/>
      <c r="D35" s="1"/>
      <c r="E35" s="2"/>
      <c r="F35" s="5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5">
      <c r="A36" s="1"/>
      <c r="B36" s="1"/>
      <c r="C36" s="1"/>
      <c r="D36" s="1"/>
      <c r="E36" s="2"/>
      <c r="F36" s="5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5">
      <c r="A37" s="1"/>
      <c r="B37" s="1"/>
      <c r="C37" s="1"/>
      <c r="D37" s="1"/>
      <c r="E37" s="2"/>
      <c r="F37" s="5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5">
      <c r="A38" s="1"/>
      <c r="B38" s="1"/>
      <c r="C38" s="1"/>
      <c r="D38" s="1"/>
      <c r="E38" s="2"/>
      <c r="F38" s="5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5">
      <c r="A39" s="1"/>
      <c r="B39" s="1"/>
      <c r="C39" s="1"/>
      <c r="D39" s="1"/>
      <c r="E39" s="2"/>
      <c r="F39" s="5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5">
      <c r="A40" s="1"/>
      <c r="B40" s="1"/>
      <c r="C40" s="1"/>
      <c r="D40" s="1"/>
      <c r="E40" s="1"/>
      <c r="F40" s="1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5">
      <c r="A41" s="1"/>
      <c r="B41" s="1"/>
      <c r="C41" s="1"/>
      <c r="D41" s="1"/>
      <c r="E41" s="1"/>
      <c r="F41" s="1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1"/>
      <c r="B42" s="1"/>
      <c r="C42" s="1"/>
      <c r="D42" s="1"/>
      <c r="E42" s="1"/>
      <c r="F42" s="1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1"/>
      <c r="B43" s="1"/>
      <c r="C43" s="1"/>
      <c r="D43" s="1"/>
      <c r="E43" s="1"/>
      <c r="F43" s="1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5">
      <c r="A44" s="1"/>
      <c r="B44" s="1"/>
      <c r="C44" s="1"/>
      <c r="D44" s="1"/>
      <c r="E44" s="1"/>
      <c r="F44" s="1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5">
      <c r="A45" s="1"/>
      <c r="B45" s="1"/>
      <c r="C45" s="1"/>
      <c r="D45" s="1"/>
      <c r="E45" s="1"/>
      <c r="F45" s="1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1"/>
      <c r="B46" s="1"/>
      <c r="C46" s="1"/>
      <c r="D46" s="1"/>
      <c r="E46" s="1"/>
      <c r="F46" s="1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5">
      <c r="A47" s="1"/>
      <c r="B47" s="1"/>
      <c r="C47" s="1"/>
      <c r="D47" s="1"/>
      <c r="E47" s="1"/>
      <c r="F47" s="1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5">
      <c r="A48" s="1"/>
      <c r="B48" s="1"/>
      <c r="C48" s="1"/>
      <c r="D48" s="1"/>
      <c r="E48" s="1"/>
      <c r="F48" s="1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5">
      <c r="A49" s="1"/>
      <c r="B49" s="1"/>
      <c r="C49" s="1"/>
      <c r="D49" s="1"/>
      <c r="E49" s="1"/>
      <c r="F49" s="1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1"/>
      <c r="B50" s="1"/>
      <c r="C50" s="1"/>
      <c r="D50" s="1"/>
      <c r="E50" s="1"/>
      <c r="F50" s="1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1"/>
      <c r="B51" s="1"/>
      <c r="C51" s="1"/>
      <c r="D51" s="1"/>
      <c r="E51" s="1"/>
      <c r="F51" s="1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5">
      <c r="A52" s="1"/>
      <c r="B52" s="1"/>
      <c r="C52" s="1"/>
      <c r="D52" s="1"/>
      <c r="E52" s="1"/>
      <c r="F52" s="1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5">
      <c r="A53" s="1"/>
      <c r="B53" s="1"/>
      <c r="C53" s="1"/>
      <c r="D53" s="1"/>
      <c r="E53" s="1"/>
      <c r="F53" s="1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1"/>
      <c r="B54" s="1"/>
      <c r="C54" s="1"/>
      <c r="D54" s="1"/>
      <c r="E54" s="1"/>
      <c r="F54" s="1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5">
      <c r="A55" s="1"/>
      <c r="B55" s="1"/>
      <c r="C55" s="1"/>
      <c r="D55" s="1"/>
      <c r="E55" s="1"/>
      <c r="F55" s="1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5">
      <c r="A56" s="1"/>
      <c r="B56" s="1"/>
      <c r="C56" s="1"/>
      <c r="D56" s="1"/>
      <c r="E56" s="1"/>
      <c r="F56" s="1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1"/>
      <c r="B57" s="1"/>
      <c r="C57" s="1"/>
      <c r="D57" s="1"/>
      <c r="E57" s="1"/>
      <c r="F57" s="1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5">
      <c r="A58" s="1"/>
      <c r="B58" s="1"/>
      <c r="C58" s="1"/>
      <c r="D58" s="1"/>
      <c r="E58" s="1"/>
      <c r="F58" s="1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5">
      <c r="A59" s="1"/>
      <c r="B59" s="1"/>
      <c r="C59" s="1"/>
      <c r="D59" s="1"/>
      <c r="E59" s="1"/>
      <c r="F59" s="1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5">
      <c r="A60" s="1"/>
      <c r="B60" s="1"/>
      <c r="C60" s="1"/>
      <c r="D60" s="1"/>
      <c r="E60" s="1"/>
      <c r="F60" s="1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"/>
    <row r="227" spans="1:26" ht="15.75" customHeight="1" x14ac:dyDescent="0.2"/>
    <row r="228" spans="1:26" ht="15.75" customHeight="1" x14ac:dyDescent="0.2"/>
    <row r="229" spans="1:26" ht="15.75" customHeight="1" x14ac:dyDescent="0.2"/>
    <row r="230" spans="1:26" ht="15.75" customHeight="1" x14ac:dyDescent="0.2"/>
    <row r="231" spans="1:26" ht="15.75" customHeight="1" x14ac:dyDescent="0.2"/>
    <row r="232" spans="1:26" ht="15.75" customHeight="1" x14ac:dyDescent="0.2"/>
    <row r="233" spans="1:26" ht="15.75" customHeight="1" x14ac:dyDescent="0.2"/>
    <row r="234" spans="1:26" ht="15.75" customHeight="1" x14ac:dyDescent="0.2"/>
    <row r="235" spans="1:26" ht="15.75" customHeight="1" x14ac:dyDescent="0.2"/>
    <row r="236" spans="1:26" ht="15.75" customHeight="1" x14ac:dyDescent="0.2"/>
    <row r="237" spans="1:26" ht="15.75" customHeight="1" x14ac:dyDescent="0.2"/>
    <row r="238" spans="1:26" ht="15.75" customHeight="1" x14ac:dyDescent="0.2"/>
    <row r="239" spans="1:26" ht="15.75" customHeight="1" x14ac:dyDescent="0.2"/>
    <row r="240" spans="1:26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mergeCells count="19">
    <mergeCell ref="A1:C1"/>
    <mergeCell ref="A2:C2"/>
    <mergeCell ref="B14:C14"/>
    <mergeCell ref="A3:D3"/>
    <mergeCell ref="A4:F4"/>
    <mergeCell ref="A5:F5"/>
    <mergeCell ref="B13:C13"/>
    <mergeCell ref="A20:C20"/>
    <mergeCell ref="E25:F25"/>
    <mergeCell ref="B15:C15"/>
    <mergeCell ref="C28:E28"/>
    <mergeCell ref="C33:E33"/>
    <mergeCell ref="A26:D26"/>
    <mergeCell ref="E26:F26"/>
    <mergeCell ref="B16:C16"/>
    <mergeCell ref="B17:C17"/>
    <mergeCell ref="B18:C18"/>
    <mergeCell ref="E20:F20"/>
    <mergeCell ref="A25:C25"/>
  </mergeCells>
  <pageMargins left="0.9" right="0.24" top="0.75" bottom="0.75" header="0" footer="0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999"/>
  <sheetViews>
    <sheetView workbookViewId="0">
      <selection activeCell="I14" sqref="I14"/>
    </sheetView>
  </sheetViews>
  <sheetFormatPr defaultColWidth="12.625" defaultRowHeight="15" customHeight="1" x14ac:dyDescent="0.2"/>
  <cols>
    <col min="1" max="1" width="5.5" customWidth="1"/>
    <col min="2" max="2" width="22.5" customWidth="1"/>
    <col min="3" max="3" width="7.875" customWidth="1"/>
    <col min="4" max="4" width="8.375" customWidth="1"/>
    <col min="5" max="5" width="11.75" customWidth="1"/>
    <col min="6" max="6" width="26.125" customWidth="1"/>
    <col min="7" max="7" width="7.625" customWidth="1"/>
    <col min="8" max="8" width="7.625" hidden="1" customWidth="1"/>
    <col min="9" max="26" width="7.625" customWidth="1"/>
  </cols>
  <sheetData>
    <row r="1" spans="1:26" ht="16.5" x14ac:dyDescent="0.25">
      <c r="A1" s="64" t="s">
        <v>37</v>
      </c>
      <c r="B1" s="64"/>
      <c r="C1" s="64"/>
      <c r="D1" s="42"/>
      <c r="E1" s="2"/>
      <c r="F1" s="44" t="s">
        <v>36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6.5" x14ac:dyDescent="0.25">
      <c r="A2" s="65" t="s">
        <v>38</v>
      </c>
      <c r="B2" s="65"/>
      <c r="C2" s="65"/>
      <c r="E2" s="2"/>
      <c r="F2" s="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x14ac:dyDescent="0.25">
      <c r="A3" s="60"/>
      <c r="B3" s="63"/>
      <c r="C3" s="63"/>
      <c r="D3" s="63"/>
      <c r="E3" s="2"/>
      <c r="F3" s="5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9.5" x14ac:dyDescent="0.3">
      <c r="A4" s="68" t="s">
        <v>0</v>
      </c>
      <c r="B4" s="63"/>
      <c r="C4" s="63"/>
      <c r="D4" s="63"/>
      <c r="E4" s="63"/>
      <c r="F4" s="6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x14ac:dyDescent="0.25">
      <c r="A5" s="69">
        <f>'TP1'!A5</f>
        <v>46167</v>
      </c>
      <c r="B5" s="70"/>
      <c r="C5" s="70"/>
      <c r="D5" s="70"/>
      <c r="E5" s="70"/>
      <c r="F5" s="70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x14ac:dyDescent="0.25">
      <c r="A6" s="1"/>
      <c r="B6" s="1"/>
      <c r="C6" s="1"/>
      <c r="D6" s="6" t="s">
        <v>1</v>
      </c>
      <c r="E6" s="7">
        <f>H6</f>
        <v>81</v>
      </c>
      <c r="F6" s="5"/>
      <c r="G6" s="4"/>
      <c r="H6" s="31">
        <f>SC!E6+1</f>
        <v>81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x14ac:dyDescent="0.25">
      <c r="A7" s="1"/>
      <c r="B7" s="1"/>
      <c r="C7" s="1"/>
      <c r="D7" s="1"/>
      <c r="E7" s="2"/>
      <c r="F7" s="5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x14ac:dyDescent="0.25">
      <c r="A8" s="1"/>
      <c r="B8" s="8" t="s">
        <v>2</v>
      </c>
      <c r="C8" s="9" t="s">
        <v>50</v>
      </c>
      <c r="D8" s="4"/>
      <c r="E8" s="9"/>
      <c r="F8" s="10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6.5" x14ac:dyDescent="0.25">
      <c r="A9" s="1"/>
      <c r="B9" s="8" t="s">
        <v>3</v>
      </c>
      <c r="C9" s="9" t="s">
        <v>34</v>
      </c>
      <c r="D9" s="4"/>
      <c r="E9" s="9"/>
      <c r="F9" s="10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x14ac:dyDescent="0.25">
      <c r="A10" s="1"/>
      <c r="B10" s="8" t="s">
        <v>5</v>
      </c>
      <c r="C10" s="9" t="s">
        <v>6</v>
      </c>
      <c r="D10" s="4"/>
      <c r="E10" s="9"/>
      <c r="F10" s="10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6.5" x14ac:dyDescent="0.25">
      <c r="A11" s="1"/>
      <c r="B11" s="8" t="s">
        <v>7</v>
      </c>
      <c r="C11" s="9" t="s">
        <v>8</v>
      </c>
      <c r="D11" s="4"/>
      <c r="E11" s="9"/>
      <c r="F11" s="10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x14ac:dyDescent="0.25">
      <c r="A12" s="1"/>
      <c r="B12" s="11"/>
      <c r="C12" s="11"/>
      <c r="D12" s="12"/>
      <c r="E12" s="13"/>
      <c r="F12" s="1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0.25" customHeight="1" thickTop="1" x14ac:dyDescent="0.25">
      <c r="A13" s="34" t="s">
        <v>9</v>
      </c>
      <c r="B13" s="71" t="s">
        <v>10</v>
      </c>
      <c r="C13" s="72"/>
      <c r="D13" s="35" t="s">
        <v>11</v>
      </c>
      <c r="E13" s="36" t="s">
        <v>12</v>
      </c>
      <c r="F13" s="37" t="s">
        <v>13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x14ac:dyDescent="0.25">
      <c r="A14" s="15">
        <v>1</v>
      </c>
      <c r="B14" s="73" t="s">
        <v>41</v>
      </c>
      <c r="C14" s="67"/>
      <c r="D14" s="16" t="s">
        <v>39</v>
      </c>
      <c r="E14" s="17">
        <v>20</v>
      </c>
      <c r="F14" s="18" t="s">
        <v>57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x14ac:dyDescent="0.25">
      <c r="A15" s="19">
        <v>2</v>
      </c>
      <c r="B15" s="73" t="s">
        <v>40</v>
      </c>
      <c r="C15" s="67"/>
      <c r="D15" s="16" t="s">
        <v>39</v>
      </c>
      <c r="E15" s="17">
        <v>10</v>
      </c>
      <c r="F15" s="24" t="s">
        <v>45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6.5" x14ac:dyDescent="0.25">
      <c r="A16" s="21"/>
      <c r="B16" s="73"/>
      <c r="C16" s="67"/>
      <c r="D16" s="16"/>
      <c r="E16" s="22"/>
      <c r="F16" s="18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x14ac:dyDescent="0.25">
      <c r="A17" s="21"/>
      <c r="B17" s="73"/>
      <c r="C17" s="67"/>
      <c r="D17" s="16"/>
      <c r="E17" s="22"/>
      <c r="F17" s="2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x14ac:dyDescent="0.25">
      <c r="A18" s="25"/>
      <c r="B18" s="79"/>
      <c r="C18" s="80"/>
      <c r="D18" s="26"/>
      <c r="E18" s="27"/>
      <c r="F18" s="28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7.25" thickBot="1" x14ac:dyDescent="0.3">
      <c r="A19" s="38"/>
      <c r="B19" s="77" t="s">
        <v>14</v>
      </c>
      <c r="C19" s="78"/>
      <c r="D19" s="39"/>
      <c r="E19" s="40">
        <f>SUM(E14:E18)</f>
        <v>30</v>
      </c>
      <c r="F19" s="41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thickTop="1" x14ac:dyDescent="0.25">
      <c r="A20" s="1"/>
      <c r="B20" s="1"/>
      <c r="C20" s="1"/>
      <c r="D20" s="1"/>
      <c r="E20" s="29"/>
      <c r="F20" s="2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5">
      <c r="A21" s="60" t="s">
        <v>15</v>
      </c>
      <c r="B21" s="63"/>
      <c r="C21" s="63"/>
      <c r="D21" s="63"/>
      <c r="E21" s="60" t="s">
        <v>55</v>
      </c>
      <c r="F21" s="63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1"/>
      <c r="B22" s="30"/>
      <c r="C22" s="30"/>
      <c r="D22" s="1"/>
      <c r="E22" s="2"/>
      <c r="F22" s="5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1"/>
      <c r="B23" s="30"/>
      <c r="C23" s="30"/>
      <c r="D23" s="1"/>
      <c r="E23" s="2"/>
      <c r="F23" s="5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1"/>
      <c r="B24" s="30"/>
      <c r="C24" s="30"/>
      <c r="D24" s="1"/>
      <c r="E24" s="2"/>
      <c r="F24" s="5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A25" s="1"/>
      <c r="B25" s="30"/>
      <c r="C25" s="30"/>
      <c r="D25" s="1"/>
      <c r="E25" s="2"/>
      <c r="F25" s="5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60" t="str">
        <f>C8</f>
        <v>Trần Xuân Long</v>
      </c>
      <c r="B26" s="60"/>
      <c r="C26" s="60"/>
      <c r="D26" s="60"/>
      <c r="E26" s="61" t="s">
        <v>48</v>
      </c>
      <c r="F26" s="63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3">
      <c r="A27" s="62"/>
      <c r="B27" s="63"/>
      <c r="C27" s="63"/>
      <c r="D27" s="63"/>
      <c r="E27" s="62"/>
      <c r="F27" s="63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5">
      <c r="A28" s="1"/>
      <c r="B28" s="1"/>
      <c r="C28" s="1"/>
      <c r="D28" s="1"/>
      <c r="E28" s="2"/>
      <c r="F28" s="5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1"/>
      <c r="B29" s="1"/>
      <c r="C29" s="60" t="s">
        <v>53</v>
      </c>
      <c r="D29" s="60"/>
      <c r="E29" s="60"/>
      <c r="F29" s="5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1"/>
      <c r="B30" s="1"/>
      <c r="C30" s="4"/>
      <c r="D30" s="4"/>
      <c r="E30" s="4"/>
      <c r="F30" s="5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1"/>
      <c r="B31" s="1"/>
      <c r="C31" s="4"/>
      <c r="D31" s="4"/>
      <c r="E31" s="4"/>
      <c r="F31" s="5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1"/>
      <c r="B32" s="1"/>
      <c r="C32" s="4"/>
      <c r="D32" s="4"/>
      <c r="E32" s="4"/>
      <c r="F32" s="5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5">
      <c r="A33" s="1"/>
      <c r="B33" s="1"/>
      <c r="C33" s="4"/>
      <c r="D33" s="4"/>
      <c r="E33" s="4"/>
      <c r="F33" s="5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5">
      <c r="A34" s="1"/>
      <c r="B34" s="1"/>
      <c r="C34" s="61" t="s">
        <v>54</v>
      </c>
      <c r="D34" s="61"/>
      <c r="E34" s="61"/>
      <c r="F34" s="5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5">
      <c r="A35" s="1"/>
      <c r="B35" s="1"/>
      <c r="C35" s="1"/>
      <c r="D35" s="1"/>
      <c r="E35" s="2"/>
      <c r="F35" s="5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5">
      <c r="A36" s="1"/>
      <c r="B36" s="1"/>
      <c r="C36" s="1"/>
      <c r="D36" s="1"/>
      <c r="E36" s="2"/>
      <c r="F36" s="5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5">
      <c r="A37" s="1"/>
      <c r="B37" s="1"/>
      <c r="C37" s="1"/>
      <c r="D37" s="1"/>
      <c r="E37" s="2"/>
      <c r="F37" s="5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5">
      <c r="A38" s="1"/>
      <c r="B38" s="1"/>
      <c r="C38" s="1"/>
      <c r="D38" s="1"/>
      <c r="E38" s="2"/>
      <c r="F38" s="5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5">
      <c r="A39" s="1"/>
      <c r="B39" s="1"/>
      <c r="C39" s="1"/>
      <c r="D39" s="1"/>
      <c r="E39" s="2"/>
      <c r="F39" s="5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5">
      <c r="A40" s="1"/>
      <c r="B40" s="1"/>
      <c r="C40" s="1"/>
      <c r="D40" s="1"/>
      <c r="E40" s="2"/>
      <c r="F40" s="5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5">
      <c r="A41" s="1"/>
      <c r="B41" s="1"/>
      <c r="C41" s="1"/>
      <c r="D41" s="1"/>
      <c r="E41" s="1"/>
      <c r="F41" s="1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1"/>
      <c r="B42" s="1"/>
      <c r="C42" s="1"/>
      <c r="D42" s="1"/>
      <c r="E42" s="1"/>
      <c r="F42" s="1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1"/>
      <c r="B43" s="1"/>
      <c r="C43" s="1"/>
      <c r="D43" s="1"/>
      <c r="E43" s="1"/>
      <c r="F43" s="1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5">
      <c r="A44" s="1"/>
      <c r="B44" s="1"/>
      <c r="C44" s="1"/>
      <c r="D44" s="1"/>
      <c r="E44" s="1"/>
      <c r="F44" s="1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5">
      <c r="A45" s="1"/>
      <c r="B45" s="1"/>
      <c r="C45" s="1"/>
      <c r="D45" s="1"/>
      <c r="E45" s="1"/>
      <c r="F45" s="1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1"/>
      <c r="B46" s="1"/>
      <c r="C46" s="1"/>
      <c r="D46" s="1"/>
      <c r="E46" s="1"/>
      <c r="F46" s="1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5">
      <c r="A47" s="1"/>
      <c r="B47" s="1"/>
      <c r="C47" s="1"/>
      <c r="D47" s="1"/>
      <c r="E47" s="1"/>
      <c r="F47" s="1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5">
      <c r="A48" s="1"/>
      <c r="B48" s="1"/>
      <c r="C48" s="1"/>
      <c r="D48" s="1"/>
      <c r="E48" s="1"/>
      <c r="F48" s="1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5">
      <c r="A49" s="1"/>
      <c r="B49" s="1"/>
      <c r="C49" s="1"/>
      <c r="D49" s="1"/>
      <c r="E49" s="1"/>
      <c r="F49" s="1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1"/>
      <c r="B50" s="1"/>
      <c r="C50" s="1"/>
      <c r="D50" s="1"/>
      <c r="E50" s="1"/>
      <c r="F50" s="1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1"/>
      <c r="B51" s="1"/>
      <c r="C51" s="1"/>
      <c r="D51" s="1"/>
      <c r="E51" s="1"/>
      <c r="F51" s="1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5">
      <c r="A52" s="1"/>
      <c r="B52" s="1"/>
      <c r="C52" s="1"/>
      <c r="D52" s="1"/>
      <c r="E52" s="1"/>
      <c r="F52" s="1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5">
      <c r="A53" s="1"/>
      <c r="B53" s="1"/>
      <c r="C53" s="1"/>
      <c r="D53" s="1"/>
      <c r="E53" s="1"/>
      <c r="F53" s="1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1"/>
      <c r="B54" s="1"/>
      <c r="C54" s="1"/>
      <c r="D54" s="1"/>
      <c r="E54" s="1"/>
      <c r="F54" s="1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5">
      <c r="A55" s="1"/>
      <c r="B55" s="1"/>
      <c r="C55" s="1"/>
      <c r="D55" s="1"/>
      <c r="E55" s="1"/>
      <c r="F55" s="1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5">
      <c r="A56" s="1"/>
      <c r="B56" s="1"/>
      <c r="C56" s="1"/>
      <c r="D56" s="1"/>
      <c r="E56" s="1"/>
      <c r="F56" s="1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1"/>
      <c r="B57" s="1"/>
      <c r="C57" s="1"/>
      <c r="D57" s="1"/>
      <c r="E57" s="1"/>
      <c r="F57" s="1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5">
      <c r="A58" s="1"/>
      <c r="B58" s="1"/>
      <c r="C58" s="1"/>
      <c r="D58" s="1"/>
      <c r="E58" s="1"/>
      <c r="F58" s="1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5">
      <c r="A59" s="1"/>
      <c r="B59" s="1"/>
      <c r="C59" s="1"/>
      <c r="D59" s="1"/>
      <c r="E59" s="1"/>
      <c r="F59" s="1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5">
      <c r="A60" s="1"/>
      <c r="B60" s="1"/>
      <c r="C60" s="1"/>
      <c r="D60" s="1"/>
      <c r="E60" s="1"/>
      <c r="F60" s="1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5">
      <c r="A61" s="1"/>
      <c r="B61" s="1"/>
      <c r="C61" s="1"/>
      <c r="D61" s="1"/>
      <c r="E61" s="1"/>
      <c r="F61" s="1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"/>
    <row r="228" spans="1:26" ht="15.75" customHeight="1" x14ac:dyDescent="0.2"/>
    <row r="229" spans="1:26" ht="15.75" customHeight="1" x14ac:dyDescent="0.2"/>
    <row r="230" spans="1:26" ht="15.75" customHeight="1" x14ac:dyDescent="0.2"/>
    <row r="231" spans="1:26" ht="15.75" customHeight="1" x14ac:dyDescent="0.2"/>
    <row r="232" spans="1:26" ht="15.75" customHeight="1" x14ac:dyDescent="0.2"/>
    <row r="233" spans="1:26" ht="15.75" customHeight="1" x14ac:dyDescent="0.2"/>
    <row r="234" spans="1:26" ht="15.75" customHeight="1" x14ac:dyDescent="0.2"/>
    <row r="235" spans="1:26" ht="15.75" customHeight="1" x14ac:dyDescent="0.2"/>
    <row r="236" spans="1:26" ht="15.75" customHeight="1" x14ac:dyDescent="0.2"/>
    <row r="237" spans="1:26" ht="15.75" customHeight="1" x14ac:dyDescent="0.2"/>
    <row r="238" spans="1:26" ht="15.75" customHeight="1" x14ac:dyDescent="0.2"/>
    <row r="239" spans="1:26" ht="15.75" customHeight="1" x14ac:dyDescent="0.2"/>
    <row r="240" spans="1:26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20">
    <mergeCell ref="E26:F26"/>
    <mergeCell ref="B16:C16"/>
    <mergeCell ref="B15:C15"/>
    <mergeCell ref="C29:E29"/>
    <mergeCell ref="C34:E34"/>
    <mergeCell ref="A27:D27"/>
    <mergeCell ref="E27:F27"/>
    <mergeCell ref="B17:C17"/>
    <mergeCell ref="B18:C18"/>
    <mergeCell ref="B19:C19"/>
    <mergeCell ref="A21:D21"/>
    <mergeCell ref="E21:F21"/>
    <mergeCell ref="A26:D26"/>
    <mergeCell ref="A1:C1"/>
    <mergeCell ref="A2:C2"/>
    <mergeCell ref="B14:C14"/>
    <mergeCell ref="A3:D3"/>
    <mergeCell ref="A4:F4"/>
    <mergeCell ref="A5:F5"/>
    <mergeCell ref="B13:C13"/>
  </mergeCells>
  <pageMargins left="0.9" right="0.24" top="0.75" bottom="0.75" header="0" footer="0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2CD8A-3FE6-4F3B-A556-E5F57F145AAE}">
  <dimension ref="A1:AA999"/>
  <sheetViews>
    <sheetView workbookViewId="0">
      <selection activeCell="F7" sqref="F7"/>
    </sheetView>
  </sheetViews>
  <sheetFormatPr defaultColWidth="12.625" defaultRowHeight="15" customHeight="1" x14ac:dyDescent="0.2"/>
  <cols>
    <col min="1" max="1" width="5.5" customWidth="1"/>
    <col min="2" max="2" width="22.5" customWidth="1"/>
    <col min="3" max="3" width="7.75" customWidth="1"/>
    <col min="4" max="4" width="8.375" customWidth="1"/>
    <col min="5" max="5" width="9.75" customWidth="1"/>
    <col min="6" max="6" width="22.125" customWidth="1"/>
    <col min="7" max="7" width="7.375" customWidth="1"/>
    <col min="8" max="8" width="7.625" hidden="1" customWidth="1"/>
    <col min="9" max="27" width="7.625" customWidth="1"/>
  </cols>
  <sheetData>
    <row r="1" spans="1:27" ht="16.5" x14ac:dyDescent="0.25">
      <c r="A1" s="64" t="s">
        <v>37</v>
      </c>
      <c r="B1" s="64"/>
      <c r="C1" s="64"/>
      <c r="D1" s="42"/>
      <c r="E1" s="2"/>
      <c r="F1" s="44" t="s">
        <v>36</v>
      </c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6.5" x14ac:dyDescent="0.25">
      <c r="A2" s="65" t="s">
        <v>38</v>
      </c>
      <c r="B2" s="65"/>
      <c r="C2" s="65"/>
      <c r="E2" s="2"/>
      <c r="F2" s="5"/>
      <c r="G2" s="5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5.75" x14ac:dyDescent="0.25">
      <c r="A3" s="60"/>
      <c r="B3" s="63"/>
      <c r="C3" s="63"/>
      <c r="D3" s="63"/>
      <c r="E3" s="2"/>
      <c r="F3" s="5"/>
      <c r="G3" s="5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9.5" x14ac:dyDescent="0.3">
      <c r="A4" s="68" t="s">
        <v>0</v>
      </c>
      <c r="B4" s="63"/>
      <c r="C4" s="63"/>
      <c r="D4" s="63"/>
      <c r="E4" s="63"/>
      <c r="F4" s="6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5.75" x14ac:dyDescent="0.25">
      <c r="A5" s="69">
        <f>'TP1'!A5</f>
        <v>46167</v>
      </c>
      <c r="B5" s="70"/>
      <c r="C5" s="70"/>
      <c r="D5" s="70"/>
      <c r="E5" s="70"/>
      <c r="F5" s="70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5.75" x14ac:dyDescent="0.25">
      <c r="A6" s="1"/>
      <c r="B6" s="1"/>
      <c r="C6" s="1"/>
      <c r="D6" s="6" t="s">
        <v>1</v>
      </c>
      <c r="E6" s="7" t="s">
        <v>62</v>
      </c>
      <c r="F6" s="5"/>
      <c r="G6" s="5"/>
      <c r="H6" s="31">
        <f>TC!E6+1</f>
        <v>75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5.75" x14ac:dyDescent="0.25">
      <c r="A7" s="1"/>
      <c r="B7" s="1"/>
      <c r="C7" s="1"/>
      <c r="D7" s="1"/>
      <c r="E7" s="2"/>
      <c r="F7" s="5"/>
      <c r="G7" s="5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6.5" x14ac:dyDescent="0.25">
      <c r="A8" s="1"/>
      <c r="B8" s="8" t="s">
        <v>2</v>
      </c>
      <c r="C8" s="9" t="s">
        <v>23</v>
      </c>
      <c r="D8" s="4"/>
      <c r="E8" s="9"/>
      <c r="F8" s="10"/>
      <c r="G8" s="10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6.5" x14ac:dyDescent="0.25">
      <c r="A9" s="1"/>
      <c r="B9" s="8" t="s">
        <v>3</v>
      </c>
      <c r="C9" s="9" t="s">
        <v>24</v>
      </c>
      <c r="D9" s="4"/>
      <c r="E9" s="9"/>
      <c r="F9" s="10"/>
      <c r="G9" s="10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6.5" x14ac:dyDescent="0.25">
      <c r="A10" s="1"/>
      <c r="B10" s="8" t="s">
        <v>5</v>
      </c>
      <c r="C10" s="9" t="s">
        <v>6</v>
      </c>
      <c r="D10" s="4"/>
      <c r="E10" s="9"/>
      <c r="F10" s="10"/>
      <c r="G10" s="10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6.5" x14ac:dyDescent="0.25">
      <c r="A11" s="1"/>
      <c r="B11" s="8" t="s">
        <v>7</v>
      </c>
      <c r="C11" s="9" t="s">
        <v>8</v>
      </c>
      <c r="D11" s="4"/>
      <c r="E11" s="9"/>
      <c r="F11" s="10"/>
      <c r="G11" s="10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6.5" thickBot="1" x14ac:dyDescent="0.3">
      <c r="A12" s="1"/>
      <c r="B12" s="11"/>
      <c r="C12" s="11"/>
      <c r="D12" s="12"/>
      <c r="E12" s="13"/>
      <c r="F12" s="14"/>
      <c r="G12" s="5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20.25" customHeight="1" thickTop="1" x14ac:dyDescent="0.25">
      <c r="A13" s="34" t="s">
        <v>9</v>
      </c>
      <c r="B13" s="71" t="s">
        <v>10</v>
      </c>
      <c r="C13" s="72"/>
      <c r="D13" s="35" t="s">
        <v>11</v>
      </c>
      <c r="E13" s="36" t="s">
        <v>12</v>
      </c>
      <c r="F13" s="37" t="s">
        <v>13</v>
      </c>
      <c r="G13" s="32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16.5" x14ac:dyDescent="0.25">
      <c r="A14" s="47">
        <v>1</v>
      </c>
      <c r="B14" s="73" t="s">
        <v>52</v>
      </c>
      <c r="C14" s="67"/>
      <c r="D14" s="16" t="s">
        <v>39</v>
      </c>
      <c r="E14" s="17">
        <v>1</v>
      </c>
      <c r="F14" s="18" t="s">
        <v>60</v>
      </c>
      <c r="G14" s="33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6.5" x14ac:dyDescent="0.25">
      <c r="A15" s="19">
        <v>1</v>
      </c>
      <c r="B15" s="73" t="s">
        <v>52</v>
      </c>
      <c r="C15" s="67"/>
      <c r="D15" s="16" t="s">
        <v>39</v>
      </c>
      <c r="E15" s="17">
        <v>1</v>
      </c>
      <c r="F15" s="18" t="s">
        <v>61</v>
      </c>
      <c r="G15" s="33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6.5" x14ac:dyDescent="0.25">
      <c r="A16" s="19"/>
      <c r="B16" s="73"/>
      <c r="C16" s="67"/>
      <c r="D16" s="20"/>
      <c r="E16" s="17"/>
      <c r="F16" s="24"/>
      <c r="G16" s="33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6.5" x14ac:dyDescent="0.25">
      <c r="A17" s="21"/>
      <c r="B17" s="73"/>
      <c r="C17" s="67"/>
      <c r="D17" s="23"/>
      <c r="E17" s="22"/>
      <c r="F17" s="24"/>
      <c r="G17" s="33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6.5" x14ac:dyDescent="0.25">
      <c r="A18" s="25"/>
      <c r="B18" s="79"/>
      <c r="C18" s="80"/>
      <c r="D18" s="26"/>
      <c r="E18" s="27"/>
      <c r="F18" s="28"/>
      <c r="G18" s="33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7.25" thickBot="1" x14ac:dyDescent="0.3">
      <c r="A19" s="38"/>
      <c r="B19" s="77" t="s">
        <v>14</v>
      </c>
      <c r="C19" s="78"/>
      <c r="D19" s="39"/>
      <c r="E19" s="46">
        <f>SUM(E14:E18)</f>
        <v>2</v>
      </c>
      <c r="F19" s="41"/>
      <c r="G19" s="33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5.75" customHeight="1" thickTop="1" x14ac:dyDescent="0.25">
      <c r="A20" s="1"/>
      <c r="B20" s="1"/>
      <c r="C20" s="1"/>
      <c r="D20" s="1"/>
      <c r="E20" s="29"/>
      <c r="F20" s="29"/>
      <c r="G20" s="29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5.75" customHeight="1" x14ac:dyDescent="0.25">
      <c r="A21" s="60" t="s">
        <v>15</v>
      </c>
      <c r="B21" s="63"/>
      <c r="C21" s="63"/>
      <c r="D21" s="63"/>
      <c r="E21" s="60" t="s">
        <v>55</v>
      </c>
      <c r="F21" s="63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5.75" customHeight="1" x14ac:dyDescent="0.25">
      <c r="A22" s="1"/>
      <c r="B22" s="30"/>
      <c r="C22" s="30"/>
      <c r="D22" s="1"/>
      <c r="E22" s="2"/>
      <c r="F22" s="5"/>
      <c r="G22" s="5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5.75" customHeight="1" x14ac:dyDescent="0.25">
      <c r="A23" s="1"/>
      <c r="B23" s="30"/>
      <c r="C23" s="30"/>
      <c r="D23" s="1"/>
      <c r="E23" s="2"/>
      <c r="F23" s="5"/>
      <c r="G23" s="5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5.75" customHeight="1" x14ac:dyDescent="0.25">
      <c r="A24" s="1"/>
      <c r="B24" s="30"/>
      <c r="C24" s="30"/>
      <c r="D24" s="1"/>
      <c r="E24" s="2"/>
      <c r="F24" s="5"/>
      <c r="G24" s="5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5.75" customHeight="1" x14ac:dyDescent="0.25">
      <c r="A25" s="1"/>
      <c r="B25" s="30"/>
      <c r="C25" s="30"/>
      <c r="D25" s="1"/>
      <c r="E25" s="2"/>
      <c r="F25" s="5"/>
      <c r="G25" s="5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5.75" customHeight="1" x14ac:dyDescent="0.25">
      <c r="A26" s="60" t="str">
        <f>C8</f>
        <v>Trịnh Thanh Hồng</v>
      </c>
      <c r="B26" s="60"/>
      <c r="C26" s="60"/>
      <c r="D26" s="60"/>
      <c r="E26" s="61" t="s">
        <v>48</v>
      </c>
      <c r="F26" s="63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5.75" customHeight="1" x14ac:dyDescent="0.3">
      <c r="A27" s="62"/>
      <c r="B27" s="63"/>
      <c r="C27" s="63"/>
      <c r="D27" s="63"/>
      <c r="E27" s="62"/>
      <c r="F27" s="63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5.75" customHeight="1" x14ac:dyDescent="0.25">
      <c r="A28" s="1"/>
      <c r="B28" s="1"/>
      <c r="C28" s="1"/>
      <c r="D28" s="1"/>
      <c r="E28" s="2"/>
      <c r="F28" s="5"/>
      <c r="G28" s="5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5.75" customHeight="1" x14ac:dyDescent="0.25">
      <c r="A29" s="1"/>
      <c r="B29" s="1"/>
      <c r="C29" s="1"/>
      <c r="D29" s="1"/>
      <c r="E29" s="2"/>
      <c r="F29" s="5"/>
      <c r="G29" s="5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5.75" customHeight="1" x14ac:dyDescent="0.25">
      <c r="A30" s="1"/>
      <c r="B30" s="1"/>
      <c r="C30" s="60" t="s">
        <v>53</v>
      </c>
      <c r="D30" s="60"/>
      <c r="E30" s="60"/>
      <c r="F30" s="5"/>
      <c r="G30" s="5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5.75" customHeight="1" x14ac:dyDescent="0.25">
      <c r="A31" s="1"/>
      <c r="B31" s="1"/>
      <c r="C31" s="4"/>
      <c r="D31" s="4"/>
      <c r="E31" s="4"/>
      <c r="F31" s="5"/>
      <c r="G31" s="5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5.75" customHeight="1" x14ac:dyDescent="0.25">
      <c r="A32" s="1"/>
      <c r="B32" s="1"/>
      <c r="C32" s="4"/>
      <c r="D32" s="4"/>
      <c r="E32" s="4"/>
      <c r="F32" s="5"/>
      <c r="G32" s="5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5.75" customHeight="1" x14ac:dyDescent="0.25">
      <c r="A33" s="1"/>
      <c r="B33" s="1"/>
      <c r="C33" s="4"/>
      <c r="D33" s="4"/>
      <c r="E33" s="4"/>
      <c r="F33" s="5"/>
      <c r="G33" s="5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5.75" customHeight="1" x14ac:dyDescent="0.25">
      <c r="A34" s="1"/>
      <c r="B34" s="1"/>
      <c r="C34" s="4"/>
      <c r="D34" s="4"/>
      <c r="E34" s="4"/>
      <c r="F34" s="5"/>
      <c r="G34" s="5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5.75" customHeight="1" x14ac:dyDescent="0.25">
      <c r="A35" s="1"/>
      <c r="B35" s="1"/>
      <c r="C35" s="61" t="s">
        <v>54</v>
      </c>
      <c r="D35" s="61"/>
      <c r="E35" s="61"/>
      <c r="F35" s="5"/>
      <c r="G35" s="5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5.75" customHeight="1" x14ac:dyDescent="0.25">
      <c r="A36" s="1"/>
      <c r="B36" s="1"/>
      <c r="C36" s="1"/>
      <c r="D36" s="1"/>
      <c r="E36" s="2"/>
      <c r="F36" s="5"/>
      <c r="G36" s="5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5.75" customHeight="1" x14ac:dyDescent="0.25">
      <c r="A37" s="1"/>
      <c r="B37" s="1"/>
      <c r="C37" s="1"/>
      <c r="D37" s="1"/>
      <c r="E37" s="2"/>
      <c r="F37" s="5"/>
      <c r="G37" s="5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5.75" customHeight="1" x14ac:dyDescent="0.25">
      <c r="A38" s="1"/>
      <c r="B38" s="1"/>
      <c r="C38" s="1"/>
      <c r="D38" s="1"/>
      <c r="E38" s="2"/>
      <c r="F38" s="5"/>
      <c r="G38" s="5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5.75" customHeight="1" x14ac:dyDescent="0.25">
      <c r="A39" s="1"/>
      <c r="B39" s="1"/>
      <c r="C39" s="1"/>
      <c r="D39" s="1"/>
      <c r="E39" s="2"/>
      <c r="F39" s="5"/>
      <c r="G39" s="5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5.75" customHeight="1" x14ac:dyDescent="0.25">
      <c r="A40" s="1"/>
      <c r="B40" s="1"/>
      <c r="C40" s="1"/>
      <c r="D40" s="1"/>
      <c r="E40" s="2"/>
      <c r="F40" s="5"/>
      <c r="G40" s="5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5.75" customHeight="1" x14ac:dyDescent="0.25">
      <c r="A41" s="1"/>
      <c r="B41" s="1"/>
      <c r="C41" s="1"/>
      <c r="D41" s="1"/>
      <c r="E41" s="1"/>
      <c r="F41" s="1"/>
      <c r="G41" s="1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5.75" customHeight="1" x14ac:dyDescent="0.25">
      <c r="A42" s="1"/>
      <c r="B42" s="1"/>
      <c r="C42" s="1"/>
      <c r="D42" s="1"/>
      <c r="E42" s="1"/>
      <c r="F42" s="1"/>
      <c r="G42" s="1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5.75" customHeight="1" x14ac:dyDescent="0.25">
      <c r="A43" s="1"/>
      <c r="B43" s="1"/>
      <c r="C43" s="1"/>
      <c r="D43" s="1"/>
      <c r="E43" s="1"/>
      <c r="F43" s="1"/>
      <c r="G43" s="1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5.75" customHeight="1" x14ac:dyDescent="0.25">
      <c r="A44" s="1"/>
      <c r="B44" s="1"/>
      <c r="C44" s="1"/>
      <c r="D44" s="1"/>
      <c r="E44" s="1"/>
      <c r="F44" s="1"/>
      <c r="G44" s="1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5.75" customHeight="1" x14ac:dyDescent="0.25">
      <c r="A45" s="1"/>
      <c r="B45" s="1"/>
      <c r="C45" s="1"/>
      <c r="D45" s="1"/>
      <c r="E45" s="1"/>
      <c r="F45" s="1"/>
      <c r="G45" s="1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5.75" customHeight="1" x14ac:dyDescent="0.25">
      <c r="A46" s="1"/>
      <c r="B46" s="1"/>
      <c r="C46" s="1"/>
      <c r="D46" s="1"/>
      <c r="E46" s="1"/>
      <c r="F46" s="1"/>
      <c r="G46" s="1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5.75" customHeight="1" x14ac:dyDescent="0.25">
      <c r="A47" s="1"/>
      <c r="B47" s="1"/>
      <c r="C47" s="1"/>
      <c r="D47" s="1"/>
      <c r="E47" s="1"/>
      <c r="F47" s="1"/>
      <c r="G47" s="1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5.75" customHeight="1" x14ac:dyDescent="0.25">
      <c r="A48" s="1"/>
      <c r="B48" s="1"/>
      <c r="C48" s="1"/>
      <c r="D48" s="1"/>
      <c r="E48" s="1"/>
      <c r="F48" s="1"/>
      <c r="G48" s="1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5.75" customHeight="1" x14ac:dyDescent="0.25">
      <c r="A49" s="1"/>
      <c r="B49" s="1"/>
      <c r="C49" s="1"/>
      <c r="D49" s="1"/>
      <c r="E49" s="1"/>
      <c r="F49" s="1"/>
      <c r="G49" s="1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5.75" customHeight="1" x14ac:dyDescent="0.25">
      <c r="A50" s="1"/>
      <c r="B50" s="1"/>
      <c r="C50" s="1"/>
      <c r="D50" s="1"/>
      <c r="E50" s="1"/>
      <c r="F50" s="1"/>
      <c r="G50" s="1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5.75" customHeight="1" x14ac:dyDescent="0.25">
      <c r="A51" s="1"/>
      <c r="B51" s="1"/>
      <c r="C51" s="1"/>
      <c r="D51" s="1"/>
      <c r="E51" s="1"/>
      <c r="F51" s="1"/>
      <c r="G51" s="1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5.75" customHeight="1" x14ac:dyDescent="0.25">
      <c r="A52" s="1"/>
      <c r="B52" s="1"/>
      <c r="C52" s="1"/>
      <c r="D52" s="1"/>
      <c r="E52" s="1"/>
      <c r="F52" s="1"/>
      <c r="G52" s="1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5.75" customHeight="1" x14ac:dyDescent="0.25">
      <c r="A53" s="1"/>
      <c r="B53" s="1"/>
      <c r="C53" s="1"/>
      <c r="D53" s="1"/>
      <c r="E53" s="1"/>
      <c r="F53" s="1"/>
      <c r="G53" s="1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5.75" customHeight="1" x14ac:dyDescent="0.25">
      <c r="A54" s="1"/>
      <c r="B54" s="1"/>
      <c r="C54" s="1"/>
      <c r="D54" s="1"/>
      <c r="E54" s="1"/>
      <c r="F54" s="1"/>
      <c r="G54" s="1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5.75" customHeight="1" x14ac:dyDescent="0.25">
      <c r="A55" s="1"/>
      <c r="B55" s="1"/>
      <c r="C55" s="1"/>
      <c r="D55" s="1"/>
      <c r="E55" s="1"/>
      <c r="F55" s="1"/>
      <c r="G55" s="1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5.75" customHeight="1" x14ac:dyDescent="0.25">
      <c r="A56" s="1"/>
      <c r="B56" s="1"/>
      <c r="C56" s="1"/>
      <c r="D56" s="1"/>
      <c r="E56" s="1"/>
      <c r="F56" s="1"/>
      <c r="G56" s="1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5.75" customHeight="1" x14ac:dyDescent="0.25">
      <c r="A57" s="1"/>
      <c r="B57" s="1"/>
      <c r="C57" s="1"/>
      <c r="D57" s="1"/>
      <c r="E57" s="1"/>
      <c r="F57" s="1"/>
      <c r="G57" s="1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5.75" customHeight="1" x14ac:dyDescent="0.25">
      <c r="A58" s="1"/>
      <c r="B58" s="1"/>
      <c r="C58" s="1"/>
      <c r="D58" s="1"/>
      <c r="E58" s="1"/>
      <c r="F58" s="1"/>
      <c r="G58" s="1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5.75" customHeight="1" x14ac:dyDescent="0.25">
      <c r="A59" s="1"/>
      <c r="B59" s="1"/>
      <c r="C59" s="1"/>
      <c r="D59" s="1"/>
      <c r="E59" s="1"/>
      <c r="F59" s="1"/>
      <c r="G59" s="1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5.75" customHeight="1" x14ac:dyDescent="0.25">
      <c r="A60" s="1"/>
      <c r="B60" s="1"/>
      <c r="C60" s="1"/>
      <c r="D60" s="1"/>
      <c r="E60" s="1"/>
      <c r="F60" s="1"/>
      <c r="G60" s="1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5.75" customHeight="1" x14ac:dyDescent="0.25">
      <c r="A61" s="1"/>
      <c r="B61" s="1"/>
      <c r="C61" s="1"/>
      <c r="D61" s="1"/>
      <c r="E61" s="1"/>
      <c r="F61" s="1"/>
      <c r="G61" s="1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5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5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5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5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5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5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5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5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5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5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5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5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5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5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5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5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5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5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5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5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5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5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5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5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5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5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5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5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5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5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5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5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5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5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5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5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5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5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5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5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5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5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5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5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5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5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5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5.75" customHeight="1" x14ac:dyDescent="0.2"/>
    <row r="228" spans="1:27" ht="15.75" customHeight="1" x14ac:dyDescent="0.2"/>
    <row r="229" spans="1:27" ht="15.75" customHeight="1" x14ac:dyDescent="0.2"/>
    <row r="230" spans="1:27" ht="15.75" customHeight="1" x14ac:dyDescent="0.2"/>
    <row r="231" spans="1:27" ht="15.75" customHeight="1" x14ac:dyDescent="0.2"/>
    <row r="232" spans="1:27" ht="15.75" customHeight="1" x14ac:dyDescent="0.2"/>
    <row r="233" spans="1:27" ht="15.75" customHeight="1" x14ac:dyDescent="0.2"/>
    <row r="234" spans="1:27" ht="15.75" customHeight="1" x14ac:dyDescent="0.2"/>
    <row r="235" spans="1:27" ht="15.75" customHeight="1" x14ac:dyDescent="0.2"/>
    <row r="236" spans="1:27" ht="15.75" customHeight="1" x14ac:dyDescent="0.2"/>
    <row r="237" spans="1:27" ht="15.75" customHeight="1" x14ac:dyDescent="0.2"/>
    <row r="238" spans="1:27" ht="15.75" customHeight="1" x14ac:dyDescent="0.2"/>
    <row r="239" spans="1:27" ht="15.75" customHeight="1" x14ac:dyDescent="0.2"/>
    <row r="240" spans="1:27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20">
    <mergeCell ref="C30:E30"/>
    <mergeCell ref="C35:E35"/>
    <mergeCell ref="A21:D21"/>
    <mergeCell ref="E21:F21"/>
    <mergeCell ref="A26:D26"/>
    <mergeCell ref="E26:F26"/>
    <mergeCell ref="A27:D27"/>
    <mergeCell ref="E27:F27"/>
    <mergeCell ref="B19:C19"/>
    <mergeCell ref="A1:C1"/>
    <mergeCell ref="A2:C2"/>
    <mergeCell ref="A3:D3"/>
    <mergeCell ref="A4:F4"/>
    <mergeCell ref="A5:F5"/>
    <mergeCell ref="B13:C13"/>
    <mergeCell ref="B14:C14"/>
    <mergeCell ref="B15:C15"/>
    <mergeCell ref="B16:C16"/>
    <mergeCell ref="B17:C17"/>
    <mergeCell ref="B18:C18"/>
  </mergeCells>
  <pageMargins left="0.75" right="0.24" top="0.75" bottom="0.75" header="0" footer="0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4114C-EDA3-410F-9F2B-2898666D78A6}">
  <dimension ref="A1:Z996"/>
  <sheetViews>
    <sheetView workbookViewId="0">
      <selection activeCell="B14" sqref="B14:C14"/>
    </sheetView>
  </sheetViews>
  <sheetFormatPr defaultColWidth="12.625" defaultRowHeight="15" customHeight="1" x14ac:dyDescent="0.2"/>
  <cols>
    <col min="1" max="1" width="5.5" customWidth="1"/>
    <col min="2" max="2" width="22.5" customWidth="1"/>
    <col min="3" max="3" width="8.125" customWidth="1"/>
    <col min="4" max="4" width="8.375" customWidth="1"/>
    <col min="5" max="5" width="11.75" customWidth="1"/>
    <col min="6" max="6" width="23.875" customWidth="1"/>
    <col min="7" max="7" width="7.625" customWidth="1"/>
    <col min="8" max="8" width="7.625" hidden="1" customWidth="1"/>
    <col min="9" max="26" width="7.625" customWidth="1"/>
  </cols>
  <sheetData>
    <row r="1" spans="1:26" ht="15.75" x14ac:dyDescent="0.25">
      <c r="A1" s="81" t="s">
        <v>37</v>
      </c>
      <c r="B1" s="81"/>
      <c r="C1" s="81"/>
      <c r="D1" s="42"/>
      <c r="E1" s="2"/>
      <c r="F1" s="44" t="s">
        <v>36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x14ac:dyDescent="0.25">
      <c r="A2" s="60" t="s">
        <v>38</v>
      </c>
      <c r="B2" s="60"/>
      <c r="C2" s="60"/>
      <c r="E2" s="2"/>
      <c r="F2" s="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x14ac:dyDescent="0.25">
      <c r="A3" s="60"/>
      <c r="B3" s="63"/>
      <c r="C3" s="63"/>
      <c r="D3" s="63"/>
      <c r="E3" s="2"/>
      <c r="F3" s="5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9.5" x14ac:dyDescent="0.3">
      <c r="A4" s="68" t="s">
        <v>0</v>
      </c>
      <c r="B4" s="63"/>
      <c r="C4" s="63"/>
      <c r="D4" s="63"/>
      <c r="E4" s="63"/>
      <c r="F4" s="6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x14ac:dyDescent="0.25">
      <c r="A5" s="69">
        <f>'TP1'!A5</f>
        <v>46167</v>
      </c>
      <c r="B5" s="70"/>
      <c r="C5" s="70"/>
      <c r="D5" s="70"/>
      <c r="E5" s="70"/>
      <c r="F5" s="70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x14ac:dyDescent="0.25">
      <c r="A6" s="1"/>
      <c r="B6" s="1"/>
      <c r="C6" s="1"/>
      <c r="D6" s="6" t="s">
        <v>1</v>
      </c>
      <c r="E6" s="7" t="s">
        <v>67</v>
      </c>
      <c r="F6" s="5"/>
      <c r="G6" s="4"/>
      <c r="H6" s="31">
        <f>YC!E6+1</f>
        <v>76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x14ac:dyDescent="0.25">
      <c r="A7" s="1"/>
      <c r="B7" s="1"/>
      <c r="C7" s="1"/>
      <c r="D7" s="1"/>
      <c r="E7" s="2"/>
      <c r="F7" s="5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x14ac:dyDescent="0.25">
      <c r="A8" s="1"/>
      <c r="B8" s="8" t="s">
        <v>2</v>
      </c>
      <c r="C8" s="9" t="s">
        <v>25</v>
      </c>
      <c r="D8" s="4"/>
      <c r="E8" s="9"/>
      <c r="F8" s="10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6.5" x14ac:dyDescent="0.25">
      <c r="A9" s="1"/>
      <c r="B9" s="8" t="s">
        <v>3</v>
      </c>
      <c r="C9" s="9" t="s">
        <v>26</v>
      </c>
      <c r="D9" s="4"/>
      <c r="E9" s="9"/>
      <c r="F9" s="10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x14ac:dyDescent="0.25">
      <c r="A10" s="1"/>
      <c r="B10" s="8" t="s">
        <v>5</v>
      </c>
      <c r="C10" s="9" t="s">
        <v>6</v>
      </c>
      <c r="D10" s="4"/>
      <c r="E10" s="9"/>
      <c r="F10" s="10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6.5" x14ac:dyDescent="0.25">
      <c r="A11" s="1"/>
      <c r="B11" s="8" t="s">
        <v>7</v>
      </c>
      <c r="C11" s="9" t="s">
        <v>8</v>
      </c>
      <c r="D11" s="4"/>
      <c r="E11" s="9"/>
      <c r="F11" s="10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 thickBot="1" x14ac:dyDescent="0.3">
      <c r="A12" s="1"/>
      <c r="B12" s="11"/>
      <c r="C12" s="11"/>
      <c r="D12" s="12"/>
      <c r="E12" s="13"/>
      <c r="F12" s="1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1" customHeight="1" thickTop="1" x14ac:dyDescent="0.25">
      <c r="A13" s="34" t="s">
        <v>9</v>
      </c>
      <c r="B13" s="71" t="s">
        <v>10</v>
      </c>
      <c r="C13" s="72"/>
      <c r="D13" s="35" t="s">
        <v>11</v>
      </c>
      <c r="E13" s="36" t="s">
        <v>12</v>
      </c>
      <c r="F13" s="37" t="s">
        <v>13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" customHeight="1" x14ac:dyDescent="0.25">
      <c r="A14" s="19">
        <v>2</v>
      </c>
      <c r="B14" s="84" t="s">
        <v>52</v>
      </c>
      <c r="C14" s="85"/>
      <c r="D14" s="16" t="s">
        <v>39</v>
      </c>
      <c r="E14" s="17">
        <v>1</v>
      </c>
      <c r="F14" s="57" t="s">
        <v>63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x14ac:dyDescent="0.25">
      <c r="A15" s="25"/>
      <c r="B15" s="79"/>
      <c r="C15" s="80"/>
      <c r="D15" s="26"/>
      <c r="E15" s="27"/>
      <c r="F15" s="28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7.25" thickBot="1" x14ac:dyDescent="0.3">
      <c r="A16" s="38"/>
      <c r="B16" s="77" t="s">
        <v>14</v>
      </c>
      <c r="C16" s="78"/>
      <c r="D16" s="39"/>
      <c r="E16" s="46">
        <f>SUM(E14:E15)</f>
        <v>1</v>
      </c>
      <c r="F16" s="41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thickTop="1" x14ac:dyDescent="0.25">
      <c r="A17" s="1"/>
      <c r="B17" s="1"/>
      <c r="C17" s="1"/>
      <c r="D17" s="1"/>
      <c r="E17" s="29"/>
      <c r="F17" s="2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5">
      <c r="A18" s="60" t="s">
        <v>15</v>
      </c>
      <c r="B18" s="63"/>
      <c r="C18" s="63"/>
      <c r="D18" s="63"/>
      <c r="E18" s="60" t="s">
        <v>55</v>
      </c>
      <c r="F18" s="63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5">
      <c r="A19" s="1"/>
      <c r="B19" s="30"/>
      <c r="C19" s="30"/>
      <c r="D19" s="1"/>
      <c r="E19" s="2"/>
      <c r="F19" s="5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5">
      <c r="A20" s="1"/>
      <c r="B20" s="30"/>
      <c r="C20" s="30"/>
      <c r="D20" s="1"/>
      <c r="E20" s="2"/>
      <c r="F20" s="5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5">
      <c r="A21" s="1"/>
      <c r="B21" s="30"/>
      <c r="C21" s="30"/>
      <c r="D21" s="1"/>
      <c r="E21" s="2"/>
      <c r="F21" s="5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1"/>
      <c r="B22" s="30"/>
      <c r="C22" s="30"/>
      <c r="D22" s="1"/>
      <c r="E22" s="2"/>
      <c r="F22" s="5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60" t="str">
        <f>C8</f>
        <v>Ngô Xuân Ngọc</v>
      </c>
      <c r="B23" s="60"/>
      <c r="C23" s="60"/>
      <c r="D23" s="60"/>
      <c r="E23" s="61" t="s">
        <v>48</v>
      </c>
      <c r="F23" s="63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3">
      <c r="A24" s="62"/>
      <c r="B24" s="63"/>
      <c r="C24" s="63"/>
      <c r="D24" s="63"/>
      <c r="E24" s="62"/>
      <c r="F24" s="63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A25" s="1"/>
      <c r="B25" s="1"/>
      <c r="C25" s="1"/>
      <c r="D25" s="1"/>
      <c r="E25" s="2"/>
      <c r="F25" s="5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1"/>
      <c r="B26" s="1"/>
      <c r="C26" s="60" t="s">
        <v>53</v>
      </c>
      <c r="D26" s="60"/>
      <c r="E26" s="60"/>
      <c r="F26" s="5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5">
      <c r="A27" s="1"/>
      <c r="B27" s="1"/>
      <c r="C27" s="4"/>
      <c r="D27" s="4"/>
      <c r="E27" s="4"/>
      <c r="F27" s="5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5">
      <c r="A28" s="1"/>
      <c r="B28" s="1"/>
      <c r="C28" s="4"/>
      <c r="D28" s="4"/>
      <c r="E28" s="4"/>
      <c r="F28" s="5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1"/>
      <c r="B29" s="1"/>
      <c r="C29" s="4"/>
      <c r="D29" s="4"/>
      <c r="E29" s="4"/>
      <c r="F29" s="5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1"/>
      <c r="B30" s="1"/>
      <c r="C30" s="4"/>
      <c r="D30" s="4"/>
      <c r="E30" s="4"/>
      <c r="F30" s="5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1"/>
      <c r="B31" s="1"/>
      <c r="C31" s="61" t="s">
        <v>54</v>
      </c>
      <c r="D31" s="61"/>
      <c r="E31" s="61"/>
      <c r="F31" s="5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1"/>
      <c r="B32" s="1"/>
      <c r="C32" s="1"/>
      <c r="D32" s="1"/>
      <c r="E32" s="2"/>
      <c r="F32" s="5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5">
      <c r="A33" s="1"/>
      <c r="B33" s="1"/>
      <c r="C33" s="1"/>
      <c r="D33" s="1"/>
      <c r="E33" s="2"/>
      <c r="F33" s="5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5">
      <c r="A34" s="1"/>
      <c r="B34" s="1"/>
      <c r="C34" s="1"/>
      <c r="D34" s="1"/>
      <c r="E34" s="2"/>
      <c r="F34" s="5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5">
      <c r="A35" s="1"/>
      <c r="B35" s="1"/>
      <c r="C35" s="1"/>
      <c r="D35" s="1"/>
      <c r="E35" s="2"/>
      <c r="F35" s="5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5">
      <c r="A36" s="1"/>
      <c r="B36" s="1"/>
      <c r="C36" s="1"/>
      <c r="D36" s="1"/>
      <c r="E36" s="2"/>
      <c r="F36" s="5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5">
      <c r="A37" s="1"/>
      <c r="B37" s="1"/>
      <c r="C37" s="1"/>
      <c r="D37" s="1"/>
      <c r="E37" s="2"/>
      <c r="F37" s="5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5">
      <c r="A38" s="1"/>
      <c r="B38" s="1"/>
      <c r="C38" s="1"/>
      <c r="D38" s="1"/>
      <c r="E38" s="1"/>
      <c r="F38" s="1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5">
      <c r="A39" s="1"/>
      <c r="B39" s="1"/>
      <c r="C39" s="1"/>
      <c r="D39" s="1"/>
      <c r="E39" s="1"/>
      <c r="F39" s="1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5">
      <c r="A40" s="1"/>
      <c r="B40" s="1"/>
      <c r="C40" s="1"/>
      <c r="D40" s="1"/>
      <c r="E40" s="1"/>
      <c r="F40" s="1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5">
      <c r="A41" s="1"/>
      <c r="B41" s="1"/>
      <c r="C41" s="1"/>
      <c r="D41" s="1"/>
      <c r="E41" s="1"/>
      <c r="F41" s="1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1"/>
      <c r="B42" s="1"/>
      <c r="C42" s="1"/>
      <c r="D42" s="1"/>
      <c r="E42" s="1"/>
      <c r="F42" s="1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1"/>
      <c r="B43" s="1"/>
      <c r="C43" s="1"/>
      <c r="D43" s="1"/>
      <c r="E43" s="1"/>
      <c r="F43" s="1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5">
      <c r="A44" s="1"/>
      <c r="B44" s="1"/>
      <c r="C44" s="1"/>
      <c r="D44" s="1"/>
      <c r="E44" s="1"/>
      <c r="F44" s="1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5">
      <c r="A45" s="1"/>
      <c r="B45" s="1"/>
      <c r="C45" s="1"/>
      <c r="D45" s="1"/>
      <c r="E45" s="1"/>
      <c r="F45" s="1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1"/>
      <c r="B46" s="1"/>
      <c r="C46" s="1"/>
      <c r="D46" s="1"/>
      <c r="E46" s="1"/>
      <c r="F46" s="1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5">
      <c r="A47" s="1"/>
      <c r="B47" s="1"/>
      <c r="C47" s="1"/>
      <c r="D47" s="1"/>
      <c r="E47" s="1"/>
      <c r="F47" s="1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5">
      <c r="A48" s="1"/>
      <c r="B48" s="1"/>
      <c r="C48" s="1"/>
      <c r="D48" s="1"/>
      <c r="E48" s="1"/>
      <c r="F48" s="1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5">
      <c r="A49" s="1"/>
      <c r="B49" s="1"/>
      <c r="C49" s="1"/>
      <c r="D49" s="1"/>
      <c r="E49" s="1"/>
      <c r="F49" s="1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1"/>
      <c r="B50" s="1"/>
      <c r="C50" s="1"/>
      <c r="D50" s="1"/>
      <c r="E50" s="1"/>
      <c r="F50" s="1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1"/>
      <c r="B51" s="1"/>
      <c r="C51" s="1"/>
      <c r="D51" s="1"/>
      <c r="E51" s="1"/>
      <c r="F51" s="1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5">
      <c r="A52" s="1"/>
      <c r="B52" s="1"/>
      <c r="C52" s="1"/>
      <c r="D52" s="1"/>
      <c r="E52" s="1"/>
      <c r="F52" s="1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5">
      <c r="A53" s="1"/>
      <c r="B53" s="1"/>
      <c r="C53" s="1"/>
      <c r="D53" s="1"/>
      <c r="E53" s="1"/>
      <c r="F53" s="1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1"/>
      <c r="B54" s="1"/>
      <c r="C54" s="1"/>
      <c r="D54" s="1"/>
      <c r="E54" s="1"/>
      <c r="F54" s="1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5">
      <c r="A55" s="1"/>
      <c r="B55" s="1"/>
      <c r="C55" s="1"/>
      <c r="D55" s="1"/>
      <c r="E55" s="1"/>
      <c r="F55" s="1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5">
      <c r="A56" s="1"/>
      <c r="B56" s="1"/>
      <c r="C56" s="1"/>
      <c r="D56" s="1"/>
      <c r="E56" s="1"/>
      <c r="F56" s="1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1"/>
      <c r="B57" s="1"/>
      <c r="C57" s="1"/>
      <c r="D57" s="1"/>
      <c r="E57" s="1"/>
      <c r="F57" s="1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5">
      <c r="A58" s="1"/>
      <c r="B58" s="1"/>
      <c r="C58" s="1"/>
      <c r="D58" s="1"/>
      <c r="E58" s="1"/>
      <c r="F58" s="1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</sheetData>
  <mergeCells count="17">
    <mergeCell ref="C31:E31"/>
    <mergeCell ref="B14:C14"/>
    <mergeCell ref="B15:C15"/>
    <mergeCell ref="B16:C16"/>
    <mergeCell ref="A18:D18"/>
    <mergeCell ref="E18:F18"/>
    <mergeCell ref="A23:D23"/>
    <mergeCell ref="E23:F23"/>
    <mergeCell ref="A24:D24"/>
    <mergeCell ref="E24:F24"/>
    <mergeCell ref="C26:E26"/>
    <mergeCell ref="B13:C13"/>
    <mergeCell ref="A1:C1"/>
    <mergeCell ref="A2:C2"/>
    <mergeCell ref="A3:D3"/>
    <mergeCell ref="A4:F4"/>
    <mergeCell ref="A5:F5"/>
  </mergeCells>
  <pageMargins left="0.75" right="0.24" top="0.75" bottom="0.75" header="0.18" footer="0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42D0-7620-40BF-A10E-1CAA6B7EFFBA}">
  <dimension ref="A1:Z997"/>
  <sheetViews>
    <sheetView topLeftCell="A4" workbookViewId="0">
      <selection activeCell="D14" sqref="D14"/>
    </sheetView>
  </sheetViews>
  <sheetFormatPr defaultColWidth="12.625" defaultRowHeight="15" customHeight="1" x14ac:dyDescent="0.2"/>
  <cols>
    <col min="1" max="1" width="5.5" customWidth="1"/>
    <col min="2" max="2" width="22.5" customWidth="1"/>
    <col min="3" max="3" width="8.125" customWidth="1"/>
    <col min="4" max="4" width="8.375" customWidth="1"/>
    <col min="5" max="5" width="11.75" customWidth="1"/>
    <col min="6" max="6" width="23.875" customWidth="1"/>
    <col min="7" max="7" width="7.625" customWidth="1"/>
    <col min="8" max="8" width="7.625" hidden="1" customWidth="1"/>
    <col min="9" max="26" width="7.625" customWidth="1"/>
  </cols>
  <sheetData>
    <row r="1" spans="1:26" ht="15.75" x14ac:dyDescent="0.25">
      <c r="A1" s="81" t="s">
        <v>37</v>
      </c>
      <c r="B1" s="81"/>
      <c r="C1" s="81"/>
      <c r="D1" s="42"/>
      <c r="E1" s="2"/>
      <c r="F1" s="44" t="s">
        <v>36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x14ac:dyDescent="0.25">
      <c r="A2" s="60" t="s">
        <v>38</v>
      </c>
      <c r="B2" s="60"/>
      <c r="C2" s="60"/>
      <c r="E2" s="2"/>
      <c r="F2" s="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x14ac:dyDescent="0.25">
      <c r="A3" s="60"/>
      <c r="B3" s="63"/>
      <c r="C3" s="63"/>
      <c r="D3" s="63"/>
      <c r="E3" s="2"/>
      <c r="F3" s="5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9.5" x14ac:dyDescent="0.3">
      <c r="A4" s="68" t="s">
        <v>0</v>
      </c>
      <c r="B4" s="63"/>
      <c r="C4" s="63"/>
      <c r="D4" s="63"/>
      <c r="E4" s="63"/>
      <c r="F4" s="6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x14ac:dyDescent="0.25">
      <c r="A5" s="69">
        <f>'TP1'!A5</f>
        <v>46167</v>
      </c>
      <c r="B5" s="70"/>
      <c r="C5" s="70"/>
      <c r="D5" s="70"/>
      <c r="E5" s="70"/>
      <c r="F5" s="70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x14ac:dyDescent="0.25">
      <c r="A6" s="1"/>
      <c r="B6" s="1"/>
      <c r="C6" s="1"/>
      <c r="D6" s="6" t="s">
        <v>1</v>
      </c>
      <c r="E6" s="7" t="s">
        <v>68</v>
      </c>
      <c r="F6" s="5"/>
      <c r="G6" s="4"/>
      <c r="H6" s="31">
        <f>YC!E6+1</f>
        <v>76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x14ac:dyDescent="0.25">
      <c r="A7" s="1"/>
      <c r="B7" s="1"/>
      <c r="C7" s="1"/>
      <c r="D7" s="1"/>
      <c r="E7" s="2"/>
      <c r="F7" s="5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x14ac:dyDescent="0.25">
      <c r="A8" s="1"/>
      <c r="B8" s="8" t="s">
        <v>2</v>
      </c>
      <c r="C8" s="9" t="s">
        <v>25</v>
      </c>
      <c r="D8" s="4"/>
      <c r="E8" s="9"/>
      <c r="F8" s="10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6.5" x14ac:dyDescent="0.25">
      <c r="A9" s="1"/>
      <c r="B9" s="8" t="s">
        <v>3</v>
      </c>
      <c r="C9" s="9" t="s">
        <v>26</v>
      </c>
      <c r="D9" s="4"/>
      <c r="E9" s="9"/>
      <c r="F9" s="10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x14ac:dyDescent="0.25">
      <c r="A10" s="1"/>
      <c r="B10" s="8" t="s">
        <v>5</v>
      </c>
      <c r="C10" s="9" t="s">
        <v>6</v>
      </c>
      <c r="D10" s="4"/>
      <c r="E10" s="9"/>
      <c r="F10" s="10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6.5" x14ac:dyDescent="0.25">
      <c r="A11" s="1"/>
      <c r="B11" s="8" t="s">
        <v>7</v>
      </c>
      <c r="C11" s="9" t="s">
        <v>8</v>
      </c>
      <c r="D11" s="4"/>
      <c r="E11" s="9"/>
      <c r="F11" s="10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 thickBot="1" x14ac:dyDescent="0.3">
      <c r="A12" s="1"/>
      <c r="B12" s="11"/>
      <c r="C12" s="11"/>
      <c r="D12" s="12"/>
      <c r="E12" s="13"/>
      <c r="F12" s="1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1" customHeight="1" thickTop="1" x14ac:dyDescent="0.25">
      <c r="A13" s="34" t="s">
        <v>9</v>
      </c>
      <c r="B13" s="71" t="s">
        <v>10</v>
      </c>
      <c r="C13" s="72"/>
      <c r="D13" s="35" t="s">
        <v>11</v>
      </c>
      <c r="E13" s="36" t="s">
        <v>12</v>
      </c>
      <c r="F13" s="37" t="s">
        <v>13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1.5" customHeight="1" x14ac:dyDescent="0.25">
      <c r="A14" s="15">
        <v>1</v>
      </c>
      <c r="B14" s="84" t="s">
        <v>64</v>
      </c>
      <c r="C14" s="85"/>
      <c r="D14" s="16" t="s">
        <v>39</v>
      </c>
      <c r="E14" s="17">
        <v>1</v>
      </c>
      <c r="F14" s="58" t="s">
        <v>65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" customHeight="1" x14ac:dyDescent="0.25">
      <c r="A15" s="15"/>
      <c r="B15" s="89"/>
      <c r="C15" s="90"/>
      <c r="D15" s="16"/>
      <c r="E15" s="17"/>
      <c r="F15" s="56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6.5" x14ac:dyDescent="0.25">
      <c r="A16" s="25"/>
      <c r="B16" s="79"/>
      <c r="C16" s="80"/>
      <c r="D16" s="26"/>
      <c r="E16" s="27"/>
      <c r="F16" s="28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7.25" thickBot="1" x14ac:dyDescent="0.3">
      <c r="A17" s="38"/>
      <c r="B17" s="77" t="s">
        <v>14</v>
      </c>
      <c r="C17" s="78"/>
      <c r="D17" s="39"/>
      <c r="E17" s="46">
        <f>SUM(E14:E16)</f>
        <v>1</v>
      </c>
      <c r="F17" s="41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thickTop="1" x14ac:dyDescent="0.25">
      <c r="A18" s="1"/>
      <c r="B18" s="1"/>
      <c r="C18" s="1"/>
      <c r="D18" s="1"/>
      <c r="E18" s="29"/>
      <c r="F18" s="2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5">
      <c r="A19" s="60" t="s">
        <v>15</v>
      </c>
      <c r="B19" s="63"/>
      <c r="C19" s="63"/>
      <c r="D19" s="63"/>
      <c r="E19" s="60" t="s">
        <v>55</v>
      </c>
      <c r="F19" s="63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5">
      <c r="A20" s="1"/>
      <c r="B20" s="30"/>
      <c r="C20" s="30"/>
      <c r="D20" s="1"/>
      <c r="E20" s="2"/>
      <c r="F20" s="5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5">
      <c r="A21" s="1"/>
      <c r="B21" s="30"/>
      <c r="C21" s="30"/>
      <c r="D21" s="1"/>
      <c r="E21" s="2"/>
      <c r="F21" s="5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1"/>
      <c r="B22" s="30"/>
      <c r="C22" s="30"/>
      <c r="D22" s="1"/>
      <c r="E22" s="2"/>
      <c r="F22" s="5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1"/>
      <c r="B23" s="30"/>
      <c r="C23" s="30"/>
      <c r="D23" s="1"/>
      <c r="E23" s="2"/>
      <c r="F23" s="5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60" t="str">
        <f>C8</f>
        <v>Ngô Xuân Ngọc</v>
      </c>
      <c r="B24" s="60"/>
      <c r="C24" s="60"/>
      <c r="D24" s="60"/>
      <c r="E24" s="61" t="s">
        <v>48</v>
      </c>
      <c r="F24" s="63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3">
      <c r="A25" s="62"/>
      <c r="B25" s="63"/>
      <c r="C25" s="63"/>
      <c r="D25" s="63"/>
      <c r="E25" s="62"/>
      <c r="F25" s="63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1"/>
      <c r="B26" s="1"/>
      <c r="C26" s="1"/>
      <c r="D26" s="1"/>
      <c r="E26" s="2"/>
      <c r="F26" s="5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5">
      <c r="A27" s="1"/>
      <c r="B27" s="1"/>
      <c r="C27" s="60" t="s">
        <v>53</v>
      </c>
      <c r="D27" s="60"/>
      <c r="E27" s="60"/>
      <c r="F27" s="5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5">
      <c r="A28" s="1"/>
      <c r="B28" s="1"/>
      <c r="C28" s="4"/>
      <c r="D28" s="4"/>
      <c r="E28" s="4"/>
      <c r="F28" s="5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1"/>
      <c r="B29" s="1"/>
      <c r="C29" s="4"/>
      <c r="D29" s="4"/>
      <c r="E29" s="4"/>
      <c r="F29" s="5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1"/>
      <c r="B30" s="1"/>
      <c r="C30" s="4"/>
      <c r="D30" s="4"/>
      <c r="E30" s="4"/>
      <c r="F30" s="5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1"/>
      <c r="B31" s="1"/>
      <c r="C31" s="4"/>
      <c r="D31" s="4"/>
      <c r="E31" s="4"/>
      <c r="F31" s="5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1"/>
      <c r="B32" s="1"/>
      <c r="C32" s="61" t="s">
        <v>54</v>
      </c>
      <c r="D32" s="61"/>
      <c r="E32" s="61"/>
      <c r="F32" s="5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5">
      <c r="A33" s="1"/>
      <c r="B33" s="1"/>
      <c r="C33" s="1"/>
      <c r="D33" s="1"/>
      <c r="E33" s="2"/>
      <c r="F33" s="5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5">
      <c r="A34" s="1"/>
      <c r="B34" s="1"/>
      <c r="C34" s="1"/>
      <c r="D34" s="1"/>
      <c r="E34" s="2"/>
      <c r="F34" s="5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5">
      <c r="A35" s="1"/>
      <c r="B35" s="1"/>
      <c r="C35" s="1"/>
      <c r="D35" s="1"/>
      <c r="E35" s="2"/>
      <c r="F35" s="5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5">
      <c r="A36" s="1"/>
      <c r="B36" s="1"/>
      <c r="C36" s="1"/>
      <c r="D36" s="1"/>
      <c r="E36" s="2"/>
      <c r="F36" s="5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5">
      <c r="A37" s="1"/>
      <c r="B37" s="1"/>
      <c r="C37" s="1"/>
      <c r="D37" s="1"/>
      <c r="E37" s="2"/>
      <c r="F37" s="5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5">
      <c r="A38" s="1"/>
      <c r="B38" s="1"/>
      <c r="C38" s="1"/>
      <c r="D38" s="1"/>
      <c r="E38" s="2"/>
      <c r="F38" s="5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5">
      <c r="A39" s="1"/>
      <c r="B39" s="1"/>
      <c r="C39" s="1"/>
      <c r="D39" s="1"/>
      <c r="E39" s="1"/>
      <c r="F39" s="1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5">
      <c r="A40" s="1"/>
      <c r="B40" s="1"/>
      <c r="C40" s="1"/>
      <c r="D40" s="1"/>
      <c r="E40" s="1"/>
      <c r="F40" s="1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5">
      <c r="A41" s="1"/>
      <c r="B41" s="1"/>
      <c r="C41" s="1"/>
      <c r="D41" s="1"/>
      <c r="E41" s="1"/>
      <c r="F41" s="1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1"/>
      <c r="B42" s="1"/>
      <c r="C42" s="1"/>
      <c r="D42" s="1"/>
      <c r="E42" s="1"/>
      <c r="F42" s="1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1"/>
      <c r="B43" s="1"/>
      <c r="C43" s="1"/>
      <c r="D43" s="1"/>
      <c r="E43" s="1"/>
      <c r="F43" s="1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5">
      <c r="A44" s="1"/>
      <c r="B44" s="1"/>
      <c r="C44" s="1"/>
      <c r="D44" s="1"/>
      <c r="E44" s="1"/>
      <c r="F44" s="1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5">
      <c r="A45" s="1"/>
      <c r="B45" s="1"/>
      <c r="C45" s="1"/>
      <c r="D45" s="1"/>
      <c r="E45" s="1"/>
      <c r="F45" s="1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1"/>
      <c r="B46" s="1"/>
      <c r="C46" s="1"/>
      <c r="D46" s="1"/>
      <c r="E46" s="1"/>
      <c r="F46" s="1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5">
      <c r="A47" s="1"/>
      <c r="B47" s="1"/>
      <c r="C47" s="1"/>
      <c r="D47" s="1"/>
      <c r="E47" s="1"/>
      <c r="F47" s="1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5">
      <c r="A48" s="1"/>
      <c r="B48" s="1"/>
      <c r="C48" s="1"/>
      <c r="D48" s="1"/>
      <c r="E48" s="1"/>
      <c r="F48" s="1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5">
      <c r="A49" s="1"/>
      <c r="B49" s="1"/>
      <c r="C49" s="1"/>
      <c r="D49" s="1"/>
      <c r="E49" s="1"/>
      <c r="F49" s="1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1"/>
      <c r="B50" s="1"/>
      <c r="C50" s="1"/>
      <c r="D50" s="1"/>
      <c r="E50" s="1"/>
      <c r="F50" s="1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1"/>
      <c r="B51" s="1"/>
      <c r="C51" s="1"/>
      <c r="D51" s="1"/>
      <c r="E51" s="1"/>
      <c r="F51" s="1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5">
      <c r="A52" s="1"/>
      <c r="B52" s="1"/>
      <c r="C52" s="1"/>
      <c r="D52" s="1"/>
      <c r="E52" s="1"/>
      <c r="F52" s="1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5">
      <c r="A53" s="1"/>
      <c r="B53" s="1"/>
      <c r="C53" s="1"/>
      <c r="D53" s="1"/>
      <c r="E53" s="1"/>
      <c r="F53" s="1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1"/>
      <c r="B54" s="1"/>
      <c r="C54" s="1"/>
      <c r="D54" s="1"/>
      <c r="E54" s="1"/>
      <c r="F54" s="1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5">
      <c r="A55" s="1"/>
      <c r="B55" s="1"/>
      <c r="C55" s="1"/>
      <c r="D55" s="1"/>
      <c r="E55" s="1"/>
      <c r="F55" s="1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5">
      <c r="A56" s="1"/>
      <c r="B56" s="1"/>
      <c r="C56" s="1"/>
      <c r="D56" s="1"/>
      <c r="E56" s="1"/>
      <c r="F56" s="1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1"/>
      <c r="B57" s="1"/>
      <c r="C57" s="1"/>
      <c r="D57" s="1"/>
      <c r="E57" s="1"/>
      <c r="F57" s="1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5">
      <c r="A58" s="1"/>
      <c r="B58" s="1"/>
      <c r="C58" s="1"/>
      <c r="D58" s="1"/>
      <c r="E58" s="1"/>
      <c r="F58" s="1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5">
      <c r="A59" s="1"/>
      <c r="B59" s="1"/>
      <c r="C59" s="1"/>
      <c r="D59" s="1"/>
      <c r="E59" s="1"/>
      <c r="F59" s="1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</sheetData>
  <mergeCells count="18">
    <mergeCell ref="C32:E32"/>
    <mergeCell ref="B14:C14"/>
    <mergeCell ref="B15:C15"/>
    <mergeCell ref="B16:C16"/>
    <mergeCell ref="B17:C17"/>
    <mergeCell ref="A19:D19"/>
    <mergeCell ref="E19:F19"/>
    <mergeCell ref="A24:D24"/>
    <mergeCell ref="E24:F24"/>
    <mergeCell ref="A25:D25"/>
    <mergeCell ref="E25:F25"/>
    <mergeCell ref="C27:E27"/>
    <mergeCell ref="B13:C13"/>
    <mergeCell ref="A1:C1"/>
    <mergeCell ref="A2:C2"/>
    <mergeCell ref="A3:D3"/>
    <mergeCell ref="A4:F4"/>
    <mergeCell ref="A5:F5"/>
  </mergeCells>
  <pageMargins left="0.75" right="0.24" top="0.75" bottom="0.75" header="0.18" footer="0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CCF5-C47F-4999-9F14-4848770C0F5F}">
  <dimension ref="A1:Z997"/>
  <sheetViews>
    <sheetView topLeftCell="A4" workbookViewId="0">
      <selection activeCell="J15" sqref="J15"/>
    </sheetView>
  </sheetViews>
  <sheetFormatPr defaultColWidth="12.625" defaultRowHeight="15" customHeight="1" x14ac:dyDescent="0.2"/>
  <cols>
    <col min="1" max="1" width="5.5" customWidth="1"/>
    <col min="2" max="2" width="22.5" customWidth="1"/>
    <col min="3" max="3" width="8" customWidth="1"/>
    <col min="4" max="4" width="8.375" customWidth="1"/>
    <col min="5" max="5" width="11.75" customWidth="1"/>
    <col min="6" max="6" width="27.25" customWidth="1"/>
    <col min="7" max="7" width="7.625" customWidth="1"/>
    <col min="8" max="8" width="7.625" hidden="1" customWidth="1"/>
    <col min="9" max="26" width="7.625" customWidth="1"/>
  </cols>
  <sheetData>
    <row r="1" spans="1:26" ht="16.5" x14ac:dyDescent="0.25">
      <c r="A1" s="64" t="s">
        <v>37</v>
      </c>
      <c r="B1" s="64"/>
      <c r="C1" s="64"/>
      <c r="D1" s="42"/>
      <c r="E1" s="2"/>
      <c r="F1" s="44" t="s">
        <v>36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6.5" x14ac:dyDescent="0.25">
      <c r="A2" s="65" t="s">
        <v>38</v>
      </c>
      <c r="B2" s="65"/>
      <c r="C2" s="65"/>
      <c r="E2" s="2"/>
      <c r="F2" s="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x14ac:dyDescent="0.25">
      <c r="A3" s="60"/>
      <c r="B3" s="63"/>
      <c r="C3" s="63"/>
      <c r="D3" s="63"/>
      <c r="E3" s="2"/>
      <c r="F3" s="5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9.5" x14ac:dyDescent="0.3">
      <c r="A4" s="68" t="s">
        <v>0</v>
      </c>
      <c r="B4" s="63"/>
      <c r="C4" s="63"/>
      <c r="D4" s="63"/>
      <c r="E4" s="63"/>
      <c r="F4" s="6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x14ac:dyDescent="0.25">
      <c r="A5" s="69">
        <f>'TP1'!A5</f>
        <v>46167</v>
      </c>
      <c r="B5" s="70"/>
      <c r="C5" s="70"/>
      <c r="D5" s="70"/>
      <c r="E5" s="70"/>
      <c r="F5" s="70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x14ac:dyDescent="0.25">
      <c r="A6" s="1"/>
      <c r="B6" s="1"/>
      <c r="C6" s="1"/>
      <c r="D6" s="6" t="s">
        <v>1</v>
      </c>
      <c r="E6" s="7" t="s">
        <v>69</v>
      </c>
      <c r="F6" s="5"/>
      <c r="G6" s="4"/>
      <c r="H6" s="31">
        <f>ML!E6+1</f>
        <v>77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x14ac:dyDescent="0.25">
      <c r="A7" s="1"/>
      <c r="B7" s="1"/>
      <c r="C7" s="1"/>
      <c r="D7" s="1"/>
      <c r="E7" s="2"/>
      <c r="F7" s="5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x14ac:dyDescent="0.25">
      <c r="A8" s="1"/>
      <c r="B8" s="8" t="s">
        <v>2</v>
      </c>
      <c r="C8" s="9" t="s">
        <v>27</v>
      </c>
      <c r="D8" s="4"/>
      <c r="E8" s="9"/>
      <c r="F8" s="10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6.5" x14ac:dyDescent="0.25">
      <c r="A9" s="1"/>
      <c r="B9" s="8" t="s">
        <v>3</v>
      </c>
      <c r="C9" s="9" t="s">
        <v>28</v>
      </c>
      <c r="D9" s="4"/>
      <c r="E9" s="9"/>
      <c r="F9" s="10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x14ac:dyDescent="0.25">
      <c r="A10" s="1"/>
      <c r="B10" s="8" t="s">
        <v>5</v>
      </c>
      <c r="C10" s="9" t="s">
        <v>6</v>
      </c>
      <c r="D10" s="4"/>
      <c r="E10" s="9"/>
      <c r="F10" s="10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6.5" x14ac:dyDescent="0.25">
      <c r="A11" s="1"/>
      <c r="B11" s="8" t="s">
        <v>7</v>
      </c>
      <c r="C11" s="9" t="s">
        <v>8</v>
      </c>
      <c r="D11" s="4"/>
      <c r="E11" s="9"/>
      <c r="F11" s="10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 thickBot="1" x14ac:dyDescent="0.3">
      <c r="A12" s="1"/>
      <c r="B12" s="11"/>
      <c r="C12" s="11"/>
      <c r="D12" s="12"/>
      <c r="E12" s="13"/>
      <c r="F12" s="1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2.5" customHeight="1" thickTop="1" x14ac:dyDescent="0.25">
      <c r="A13" s="34" t="s">
        <v>9</v>
      </c>
      <c r="B13" s="71" t="s">
        <v>10</v>
      </c>
      <c r="C13" s="72"/>
      <c r="D13" s="35" t="s">
        <v>11</v>
      </c>
      <c r="E13" s="36" t="s">
        <v>12</v>
      </c>
      <c r="F13" s="37" t="s">
        <v>13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3" x14ac:dyDescent="0.25">
      <c r="A14" s="15">
        <v>1</v>
      </c>
      <c r="B14" s="84" t="s">
        <v>58</v>
      </c>
      <c r="C14" s="85"/>
      <c r="D14" s="16" t="s">
        <v>39</v>
      </c>
      <c r="E14" s="17">
        <v>1</v>
      </c>
      <c r="F14" s="59" t="s">
        <v>66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x14ac:dyDescent="0.25">
      <c r="A15" s="19"/>
      <c r="B15" s="73"/>
      <c r="C15" s="74"/>
      <c r="D15" s="16"/>
      <c r="E15" s="17"/>
      <c r="F15" s="51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6.5" x14ac:dyDescent="0.25">
      <c r="A16" s="25"/>
      <c r="B16" s="79"/>
      <c r="C16" s="80"/>
      <c r="D16" s="26"/>
      <c r="E16" s="27"/>
      <c r="F16" s="28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7.25" thickBot="1" x14ac:dyDescent="0.3">
      <c r="A17" s="38"/>
      <c r="B17" s="77" t="s">
        <v>14</v>
      </c>
      <c r="C17" s="78"/>
      <c r="D17" s="39"/>
      <c r="E17" s="46">
        <f>SUM(E14:E16)</f>
        <v>1</v>
      </c>
      <c r="F17" s="41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thickTop="1" x14ac:dyDescent="0.25">
      <c r="A18" s="1"/>
      <c r="B18" s="1"/>
      <c r="C18" s="1"/>
      <c r="D18" s="1"/>
      <c r="E18" s="29"/>
      <c r="F18" s="2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5">
      <c r="A19" s="60" t="s">
        <v>15</v>
      </c>
      <c r="B19" s="63"/>
      <c r="C19" s="63"/>
      <c r="D19" s="63"/>
      <c r="E19" s="60" t="s">
        <v>55</v>
      </c>
      <c r="F19" s="63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5">
      <c r="A20" s="1"/>
      <c r="B20" s="30"/>
      <c r="C20" s="30"/>
      <c r="D20" s="1"/>
      <c r="E20" s="2"/>
      <c r="F20" s="5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5">
      <c r="A21" s="1"/>
      <c r="B21" s="30"/>
      <c r="C21" s="30"/>
      <c r="D21" s="1"/>
      <c r="E21" s="2"/>
      <c r="F21" s="5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1"/>
      <c r="B22" s="30"/>
      <c r="C22" s="30"/>
      <c r="D22" s="1"/>
      <c r="E22" s="2"/>
      <c r="F22" s="5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1"/>
      <c r="B23" s="30"/>
      <c r="C23" s="30"/>
      <c r="D23" s="1"/>
      <c r="E23" s="2"/>
      <c r="F23" s="5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60" t="str">
        <f>C8</f>
        <v>Nguyễn Bá Bảo</v>
      </c>
      <c r="B24" s="60"/>
      <c r="C24" s="60"/>
      <c r="D24" s="60"/>
      <c r="E24" s="61" t="s">
        <v>48</v>
      </c>
      <c r="F24" s="63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3">
      <c r="A25" s="62"/>
      <c r="B25" s="63"/>
      <c r="C25" s="63"/>
      <c r="D25" s="63"/>
      <c r="E25" s="62"/>
      <c r="F25" s="63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1"/>
      <c r="B26" s="1"/>
      <c r="C26" s="1"/>
      <c r="D26" s="1"/>
      <c r="E26" s="2"/>
      <c r="F26" s="5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5">
      <c r="A27" s="1"/>
      <c r="B27" s="1"/>
      <c r="C27" s="60" t="s">
        <v>53</v>
      </c>
      <c r="D27" s="60"/>
      <c r="E27" s="60"/>
      <c r="F27" s="5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5">
      <c r="A28" s="1"/>
      <c r="B28" s="1"/>
      <c r="C28" s="4"/>
      <c r="D28" s="4"/>
      <c r="E28" s="4"/>
      <c r="F28" s="5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1"/>
      <c r="B29" s="1"/>
      <c r="C29" s="4"/>
      <c r="D29" s="4"/>
      <c r="E29" s="4"/>
      <c r="F29" s="5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1"/>
      <c r="B30" s="1"/>
      <c r="C30" s="4"/>
      <c r="D30" s="4"/>
      <c r="E30" s="4"/>
      <c r="F30" s="5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1"/>
      <c r="B31" s="1"/>
      <c r="C31" s="4"/>
      <c r="D31" s="4"/>
      <c r="E31" s="4"/>
      <c r="F31" s="5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1"/>
      <c r="B32" s="1"/>
      <c r="C32" s="61" t="s">
        <v>54</v>
      </c>
      <c r="D32" s="61"/>
      <c r="E32" s="61"/>
      <c r="F32" s="5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5">
      <c r="A33" s="1"/>
      <c r="B33" s="1"/>
      <c r="C33" s="1"/>
      <c r="D33" s="1"/>
      <c r="E33" s="2"/>
      <c r="F33" s="5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5">
      <c r="A34" s="1"/>
      <c r="B34" s="1"/>
      <c r="C34" s="1"/>
      <c r="D34" s="1"/>
      <c r="E34" s="2"/>
      <c r="F34" s="5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5">
      <c r="A35" s="1"/>
      <c r="B35" s="1"/>
      <c r="C35" s="1"/>
      <c r="D35" s="1"/>
      <c r="E35" s="2"/>
      <c r="F35" s="5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5">
      <c r="A36" s="1"/>
      <c r="B36" s="1"/>
      <c r="C36" s="1"/>
      <c r="D36" s="1"/>
      <c r="E36" s="2"/>
      <c r="F36" s="5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5">
      <c r="A37" s="1"/>
      <c r="B37" s="1"/>
      <c r="C37" s="1"/>
      <c r="D37" s="1"/>
      <c r="E37" s="2"/>
      <c r="F37" s="5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5">
      <c r="A38" s="1"/>
      <c r="B38" s="1"/>
      <c r="C38" s="1"/>
      <c r="D38" s="1"/>
      <c r="E38" s="2"/>
      <c r="F38" s="5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5">
      <c r="A39" s="1"/>
      <c r="B39" s="1"/>
      <c r="C39" s="1"/>
      <c r="D39" s="1"/>
      <c r="E39" s="1"/>
      <c r="F39" s="1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5">
      <c r="A40" s="1"/>
      <c r="B40" s="1"/>
      <c r="C40" s="1"/>
      <c r="D40" s="1"/>
      <c r="E40" s="1"/>
      <c r="F40" s="1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5">
      <c r="A41" s="1"/>
      <c r="B41" s="1"/>
      <c r="C41" s="1"/>
      <c r="D41" s="1"/>
      <c r="E41" s="1"/>
      <c r="F41" s="1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1"/>
      <c r="B42" s="1"/>
      <c r="C42" s="1"/>
      <c r="D42" s="1"/>
      <c r="E42" s="1"/>
      <c r="F42" s="1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1"/>
      <c r="B43" s="1"/>
      <c r="C43" s="1"/>
      <c r="D43" s="1"/>
      <c r="E43" s="1"/>
      <c r="F43" s="1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5">
      <c r="A44" s="1"/>
      <c r="B44" s="1"/>
      <c r="C44" s="1"/>
      <c r="D44" s="1"/>
      <c r="E44" s="1"/>
      <c r="F44" s="1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5">
      <c r="A45" s="1"/>
      <c r="B45" s="1"/>
      <c r="C45" s="1"/>
      <c r="D45" s="1"/>
      <c r="E45" s="1"/>
      <c r="F45" s="1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1"/>
      <c r="B46" s="1"/>
      <c r="C46" s="1"/>
      <c r="D46" s="1"/>
      <c r="E46" s="1"/>
      <c r="F46" s="1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5">
      <c r="A47" s="1"/>
      <c r="B47" s="1"/>
      <c r="C47" s="1"/>
      <c r="D47" s="1"/>
      <c r="E47" s="1"/>
      <c r="F47" s="1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5">
      <c r="A48" s="1"/>
      <c r="B48" s="1"/>
      <c r="C48" s="1"/>
      <c r="D48" s="1"/>
      <c r="E48" s="1"/>
      <c r="F48" s="1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5">
      <c r="A49" s="1"/>
      <c r="B49" s="1"/>
      <c r="C49" s="1"/>
      <c r="D49" s="1"/>
      <c r="E49" s="1"/>
      <c r="F49" s="1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1"/>
      <c r="B50" s="1"/>
      <c r="C50" s="1"/>
      <c r="D50" s="1"/>
      <c r="E50" s="1"/>
      <c r="F50" s="1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1"/>
      <c r="B51" s="1"/>
      <c r="C51" s="1"/>
      <c r="D51" s="1"/>
      <c r="E51" s="1"/>
      <c r="F51" s="1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5">
      <c r="A52" s="1"/>
      <c r="B52" s="1"/>
      <c r="C52" s="1"/>
      <c r="D52" s="1"/>
      <c r="E52" s="1"/>
      <c r="F52" s="1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5">
      <c r="A53" s="1"/>
      <c r="B53" s="1"/>
      <c r="C53" s="1"/>
      <c r="D53" s="1"/>
      <c r="E53" s="1"/>
      <c r="F53" s="1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1"/>
      <c r="B54" s="1"/>
      <c r="C54" s="1"/>
      <c r="D54" s="1"/>
      <c r="E54" s="1"/>
      <c r="F54" s="1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5">
      <c r="A55" s="1"/>
      <c r="B55" s="1"/>
      <c r="C55" s="1"/>
      <c r="D55" s="1"/>
      <c r="E55" s="1"/>
      <c r="F55" s="1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5">
      <c r="A56" s="1"/>
      <c r="B56" s="1"/>
      <c r="C56" s="1"/>
      <c r="D56" s="1"/>
      <c r="E56" s="1"/>
      <c r="F56" s="1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1"/>
      <c r="B57" s="1"/>
      <c r="C57" s="1"/>
      <c r="D57" s="1"/>
      <c r="E57" s="1"/>
      <c r="F57" s="1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5">
      <c r="A58" s="1"/>
      <c r="B58" s="1"/>
      <c r="C58" s="1"/>
      <c r="D58" s="1"/>
      <c r="E58" s="1"/>
      <c r="F58" s="1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5">
      <c r="A59" s="1"/>
      <c r="B59" s="1"/>
      <c r="C59" s="1"/>
      <c r="D59" s="1"/>
      <c r="E59" s="1"/>
      <c r="F59" s="1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</sheetData>
  <mergeCells count="18">
    <mergeCell ref="B14:C14"/>
    <mergeCell ref="B15:C15"/>
    <mergeCell ref="B16:C16"/>
    <mergeCell ref="B17:C17"/>
    <mergeCell ref="C32:E32"/>
    <mergeCell ref="E19:F19"/>
    <mergeCell ref="A24:D24"/>
    <mergeCell ref="E24:F24"/>
    <mergeCell ref="A25:D25"/>
    <mergeCell ref="E25:F25"/>
    <mergeCell ref="C27:E27"/>
    <mergeCell ref="A19:D19"/>
    <mergeCell ref="B13:C13"/>
    <mergeCell ref="A1:C1"/>
    <mergeCell ref="A2:C2"/>
    <mergeCell ref="A3:D3"/>
    <mergeCell ref="A4:F4"/>
    <mergeCell ref="A5:F5"/>
  </mergeCells>
  <pageMargins left="0.82" right="0.24" top="0.75" bottom="0.75" header="0" footer="0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00547-30FF-4A78-A08E-A176C86F5473}">
  <dimension ref="A1:Z923"/>
  <sheetViews>
    <sheetView tabSelected="1" topLeftCell="A19" workbookViewId="0">
      <selection activeCell="F8" sqref="F8"/>
    </sheetView>
  </sheetViews>
  <sheetFormatPr defaultColWidth="12.625" defaultRowHeight="15" customHeight="1" x14ac:dyDescent="0.2"/>
  <cols>
    <col min="1" max="1" width="5" customWidth="1"/>
    <col min="2" max="2" width="22.5" customWidth="1"/>
    <col min="3" max="3" width="7.875" customWidth="1"/>
    <col min="4" max="4" width="8.375" customWidth="1"/>
    <col min="5" max="5" width="14.25" bestFit="1" customWidth="1"/>
    <col min="6" max="6" width="22" customWidth="1"/>
    <col min="7" max="11" width="7.625" customWidth="1"/>
    <col min="12" max="12" width="12.125" bestFit="1" customWidth="1"/>
    <col min="13" max="26" width="7.625" customWidth="1"/>
  </cols>
  <sheetData>
    <row r="1" spans="1:26" ht="16.5" x14ac:dyDescent="0.25">
      <c r="A1" s="64" t="s">
        <v>37</v>
      </c>
      <c r="B1" s="64"/>
      <c r="C1" s="64"/>
      <c r="D1" s="42"/>
      <c r="E1" s="2"/>
      <c r="F1" s="44" t="s">
        <v>36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6.5" x14ac:dyDescent="0.25">
      <c r="A2" s="65" t="s">
        <v>38</v>
      </c>
      <c r="B2" s="65"/>
      <c r="C2" s="65"/>
      <c r="E2" s="2"/>
      <c r="F2" s="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0.5" customHeight="1" x14ac:dyDescent="0.25">
      <c r="A3" s="43"/>
      <c r="B3" s="43"/>
      <c r="C3" s="43"/>
      <c r="E3" s="2"/>
      <c r="F3" s="5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9.5" x14ac:dyDescent="0.3">
      <c r="A4" s="68" t="s">
        <v>0</v>
      </c>
      <c r="B4" s="63"/>
      <c r="C4" s="63"/>
      <c r="D4" s="63"/>
      <c r="E4" s="63"/>
      <c r="F4" s="6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x14ac:dyDescent="0.25">
      <c r="A5" s="69">
        <v>46167</v>
      </c>
      <c r="B5" s="70"/>
      <c r="C5" s="70"/>
      <c r="D5" s="70"/>
      <c r="E5" s="70"/>
      <c r="F5" s="70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x14ac:dyDescent="0.25">
      <c r="A6" s="1"/>
      <c r="B6" s="1"/>
      <c r="C6" s="1"/>
      <c r="D6" s="6" t="s">
        <v>1</v>
      </c>
      <c r="E6" s="7" t="s">
        <v>72</v>
      </c>
      <c r="F6" s="5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x14ac:dyDescent="0.25">
      <c r="A7" s="1"/>
      <c r="B7" s="1"/>
      <c r="C7" s="1"/>
      <c r="D7" s="1"/>
      <c r="E7" s="2"/>
      <c r="F7" s="5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x14ac:dyDescent="0.25">
      <c r="A8" s="1"/>
      <c r="B8" s="8" t="s">
        <v>2</v>
      </c>
      <c r="C8" s="9" t="s">
        <v>47</v>
      </c>
      <c r="D8" s="4"/>
      <c r="E8" s="9"/>
      <c r="F8" s="10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6.5" x14ac:dyDescent="0.25">
      <c r="A9" s="1"/>
      <c r="B9" s="8" t="s">
        <v>3</v>
      </c>
      <c r="C9" s="9" t="s">
        <v>4</v>
      </c>
      <c r="D9" s="4"/>
      <c r="E9" s="9"/>
      <c r="F9" s="10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x14ac:dyDescent="0.25">
      <c r="A10" s="1"/>
      <c r="B10" s="8" t="s">
        <v>5</v>
      </c>
      <c r="C10" s="9" t="s">
        <v>6</v>
      </c>
      <c r="D10" s="4"/>
      <c r="E10" s="9"/>
      <c r="F10" s="10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6.5" x14ac:dyDescent="0.25">
      <c r="A11" s="1"/>
      <c r="B11" s="8" t="s">
        <v>7</v>
      </c>
      <c r="C11" s="9" t="s">
        <v>8</v>
      </c>
      <c r="D11" s="4"/>
      <c r="E11" s="9"/>
      <c r="F11" s="10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 thickBot="1" x14ac:dyDescent="0.3">
      <c r="A12" s="1"/>
      <c r="B12" s="11"/>
      <c r="C12" s="11"/>
      <c r="D12" s="12"/>
      <c r="E12" s="13"/>
      <c r="F12" s="1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2.5" customHeight="1" thickTop="1" x14ac:dyDescent="0.25">
      <c r="A13" s="34" t="s">
        <v>9</v>
      </c>
      <c r="B13" s="71" t="s">
        <v>10</v>
      </c>
      <c r="C13" s="72"/>
      <c r="D13" s="35" t="s">
        <v>11</v>
      </c>
      <c r="E13" s="36" t="s">
        <v>12</v>
      </c>
      <c r="F13" s="37" t="s">
        <v>13</v>
      </c>
      <c r="G13" s="4"/>
      <c r="H13" s="4"/>
      <c r="I13" s="4"/>
      <c r="J13" s="4"/>
      <c r="K13" s="4"/>
      <c r="L13" s="50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x14ac:dyDescent="0.25">
      <c r="A14" s="15">
        <v>1</v>
      </c>
      <c r="B14" s="84" t="s">
        <v>52</v>
      </c>
      <c r="C14" s="85"/>
      <c r="D14" s="16" t="s">
        <v>39</v>
      </c>
      <c r="E14" s="17">
        <v>1</v>
      </c>
      <c r="F14" s="18" t="s">
        <v>71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x14ac:dyDescent="0.25">
      <c r="A15" s="19"/>
      <c r="B15" s="55"/>
      <c r="C15" s="54"/>
      <c r="D15" s="20"/>
      <c r="E15" s="17"/>
      <c r="F15" s="18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6.5" x14ac:dyDescent="0.25">
      <c r="A16" s="15"/>
      <c r="B16" s="66"/>
      <c r="C16" s="67"/>
      <c r="D16" s="20"/>
      <c r="E16" s="17"/>
      <c r="F16" s="18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x14ac:dyDescent="0.25">
      <c r="A17" s="15"/>
      <c r="B17" s="73"/>
      <c r="C17" s="74"/>
      <c r="D17" s="16"/>
      <c r="E17" s="17"/>
      <c r="F17" s="18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 x14ac:dyDescent="0.25">
      <c r="A18" s="25"/>
      <c r="B18" s="75"/>
      <c r="C18" s="76"/>
      <c r="D18" s="26"/>
      <c r="E18" s="45"/>
      <c r="F18" s="18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7.25" thickBot="1" x14ac:dyDescent="0.3">
      <c r="A19" s="38"/>
      <c r="B19" s="77" t="s">
        <v>14</v>
      </c>
      <c r="C19" s="78"/>
      <c r="D19" s="39"/>
      <c r="E19" s="40">
        <f>SUM(E14:E18)</f>
        <v>1</v>
      </c>
      <c r="F19" s="41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thickTop="1" x14ac:dyDescent="0.25">
      <c r="A20" s="1"/>
      <c r="B20" s="1"/>
      <c r="C20" s="1"/>
      <c r="D20" s="1"/>
      <c r="E20" s="29"/>
      <c r="F20" s="2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5">
      <c r="A21" s="60" t="s">
        <v>15</v>
      </c>
      <c r="B21" s="63"/>
      <c r="C21" s="63"/>
      <c r="D21" s="63"/>
      <c r="E21" s="60" t="s">
        <v>55</v>
      </c>
      <c r="F21" s="63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1"/>
      <c r="B22" s="30"/>
      <c r="C22" s="30"/>
      <c r="D22" s="1"/>
      <c r="E22" s="2"/>
      <c r="F22" s="5"/>
      <c r="G22" s="4"/>
      <c r="H22" s="4"/>
      <c r="I22" s="4" t="s">
        <v>16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1"/>
      <c r="B23" s="30"/>
      <c r="C23" s="30"/>
      <c r="D23" s="1"/>
      <c r="E23" s="2"/>
      <c r="F23" s="5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1"/>
      <c r="B24" s="30"/>
      <c r="C24" s="30"/>
      <c r="D24" s="1"/>
      <c r="E24" s="2"/>
      <c r="F24" s="5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A25" s="1"/>
      <c r="B25" s="30"/>
      <c r="C25" s="30"/>
      <c r="D25" s="1"/>
      <c r="E25" s="2"/>
      <c r="F25" s="5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60" t="str">
        <f>C8</f>
        <v>Nguyễn Việt Hồng</v>
      </c>
      <c r="B26" s="60"/>
      <c r="C26" s="60"/>
      <c r="D26" s="60"/>
      <c r="E26" s="61" t="s">
        <v>48</v>
      </c>
      <c r="F26" s="63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3">
      <c r="A27" s="62"/>
      <c r="B27" s="63"/>
      <c r="C27" s="63"/>
      <c r="D27" s="63"/>
      <c r="E27" s="62"/>
      <c r="F27" s="63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4"/>
      <c r="B29" s="4"/>
      <c r="C29" s="60" t="s">
        <v>53</v>
      </c>
      <c r="D29" s="60"/>
      <c r="E29" s="60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5">
      <c r="A34" s="4"/>
      <c r="B34" s="4"/>
      <c r="C34" s="61" t="s">
        <v>54</v>
      </c>
      <c r="D34" s="61"/>
      <c r="E34" s="61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/>
    <row r="153" spans="1:26" ht="15.75" customHeight="1" x14ac:dyDescent="0.2"/>
    <row r="154" spans="1:26" ht="15.75" customHeight="1" x14ac:dyDescent="0.2"/>
    <row r="155" spans="1:26" ht="15.75" customHeight="1" x14ac:dyDescent="0.2"/>
    <row r="156" spans="1:26" ht="15.75" customHeight="1" x14ac:dyDescent="0.2"/>
    <row r="157" spans="1:26" ht="15.75" customHeight="1" x14ac:dyDescent="0.2"/>
    <row r="158" spans="1:26" ht="15.75" customHeight="1" x14ac:dyDescent="0.2"/>
    <row r="159" spans="1:26" ht="15.75" customHeight="1" x14ac:dyDescent="0.2"/>
    <row r="160" spans="1:26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</sheetData>
  <mergeCells count="18">
    <mergeCell ref="A26:D26"/>
    <mergeCell ref="E26:F26"/>
    <mergeCell ref="A27:D27"/>
    <mergeCell ref="E27:F27"/>
    <mergeCell ref="C29:E29"/>
    <mergeCell ref="C34:E34"/>
    <mergeCell ref="B16:C16"/>
    <mergeCell ref="B17:C17"/>
    <mergeCell ref="B18:C18"/>
    <mergeCell ref="B19:C19"/>
    <mergeCell ref="A21:D21"/>
    <mergeCell ref="E21:F21"/>
    <mergeCell ref="A1:C1"/>
    <mergeCell ref="A2:C2"/>
    <mergeCell ref="A4:F4"/>
    <mergeCell ref="A5:F5"/>
    <mergeCell ref="B13:C13"/>
    <mergeCell ref="B14:C14"/>
  </mergeCells>
  <pageMargins left="0.95" right="0.24" top="0.75" bottom="0.75" header="0" footer="0"/>
  <pageSetup paperSize="9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TP1</vt:lpstr>
      <vt:lpstr>TP2</vt:lpstr>
      <vt:lpstr>MS</vt:lpstr>
      <vt:lpstr>MC</vt:lpstr>
      <vt:lpstr>TC</vt:lpstr>
      <vt:lpstr>YC</vt:lpstr>
      <vt:lpstr>ML</vt:lpstr>
      <vt:lpstr>BY</vt:lpstr>
      <vt:lpstr>PY</vt:lpstr>
      <vt:lpstr>SM</vt:lpstr>
      <vt:lpstr>SC</vt:lpstr>
      <vt:lpstr>QN</vt:lpstr>
      <vt:lpstr>YC (BL)</vt:lpstr>
      <vt:lpstr>ML (BL)</vt:lpstr>
      <vt:lpstr>ML (TỔNG)</vt:lpstr>
      <vt:lpstr>BY (TỔNG)</vt:lpstr>
      <vt:lpstr>TP1 (BL)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HANH</dc:creator>
  <cp:lastModifiedBy>Trung Nguyen</cp:lastModifiedBy>
  <cp:lastPrinted>2026-05-27T06:53:52Z</cp:lastPrinted>
  <dcterms:created xsi:type="dcterms:W3CDTF">2021-12-09T02:39:48Z</dcterms:created>
  <dcterms:modified xsi:type="dcterms:W3CDTF">2026-05-27T06:54:04Z</dcterms:modified>
</cp:coreProperties>
</file>