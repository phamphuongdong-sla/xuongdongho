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rdong/Downloads/QuanLyKho/Phieu linh vat tu 2026/"/>
    </mc:Choice>
  </mc:AlternateContent>
  <xr:revisionPtr revIDLastSave="0" documentId="13_ncr:1_{A716215F-4DAE-3944-A78E-D2663B6844F6}" xr6:coauthVersionLast="47" xr6:coauthVersionMax="47" xr10:uidLastSave="{00000000-0000-0000-0000-000000000000}"/>
  <bookViews>
    <workbookView xWindow="240" yWindow="660" windowWidth="27660" windowHeight="15420" activeTab="1" xr2:uid="{00000000-000D-0000-FFFF-FFFF00000000}"/>
  </bookViews>
  <sheets>
    <sheet name="Kế Hoạch 15.270" sheetId="4" r:id="rId1"/>
    <sheet name="Kế Hoạch 9.060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N6" i="5"/>
  <c r="N7" i="5"/>
  <c r="N8" i="5"/>
  <c r="N9" i="5"/>
  <c r="N10" i="5"/>
  <c r="N11" i="5"/>
  <c r="N12" i="5"/>
  <c r="N16" i="5" s="1"/>
  <c r="N13" i="5"/>
  <c r="N14" i="5"/>
  <c r="N15" i="5"/>
  <c r="N4" i="5"/>
  <c r="J26" i="5"/>
  <c r="I19" i="5" l="1"/>
  <c r="I21" i="5" l="1"/>
  <c r="I28" i="5" l="1"/>
  <c r="H24" i="5" l="1"/>
  <c r="H19" i="5" l="1"/>
  <c r="H21" i="5" l="1"/>
  <c r="H28" i="5" l="1"/>
  <c r="H14" i="5" l="1"/>
  <c r="H15" i="5" l="1"/>
  <c r="H4" i="5" l="1"/>
  <c r="H11" i="5" l="1"/>
  <c r="H13" i="5" l="1"/>
  <c r="F19" i="5" l="1"/>
  <c r="F20" i="5" l="1"/>
  <c r="F29" i="5" l="1"/>
  <c r="E5" i="5" l="1"/>
  <c r="F24" i="5" l="1"/>
  <c r="F22" i="5" l="1"/>
  <c r="F27" i="5" l="1"/>
  <c r="G9" i="5" l="1"/>
  <c r="G8" i="5"/>
  <c r="G6" i="5"/>
  <c r="G12" i="5" l="1"/>
  <c r="G11" i="5" l="1"/>
  <c r="G4" i="5"/>
  <c r="E28" i="5" l="1"/>
  <c r="E20" i="5" l="1"/>
  <c r="E26" i="5" l="1"/>
  <c r="E24" i="4" l="1"/>
  <c r="E24" i="5"/>
  <c r="F13" i="5" l="1"/>
  <c r="E20" i="4"/>
  <c r="E4" i="4"/>
  <c r="E21" i="5"/>
  <c r="E19" i="5"/>
  <c r="E27" i="5"/>
  <c r="E21" i="4" l="1"/>
  <c r="E5" i="4" l="1"/>
  <c r="E19" i="4"/>
  <c r="V8" i="5" l="1"/>
  <c r="V9" i="5"/>
  <c r="V11" i="5"/>
  <c r="V12" i="5"/>
  <c r="U16" i="5"/>
  <c r="T5" i="5"/>
  <c r="T6" i="5"/>
  <c r="V6" i="5" s="1"/>
  <c r="T7" i="5"/>
  <c r="V7" i="5" s="1"/>
  <c r="T8" i="5"/>
  <c r="T9" i="5"/>
  <c r="T10" i="5"/>
  <c r="V10" i="5" s="1"/>
  <c r="T11" i="5"/>
  <c r="T12" i="5"/>
  <c r="T13" i="5"/>
  <c r="V13" i="5" s="1"/>
  <c r="T14" i="5"/>
  <c r="V14" i="5" s="1"/>
  <c r="T15" i="5"/>
  <c r="V15" i="5" s="1"/>
  <c r="T4" i="5"/>
  <c r="V4" i="5" s="1"/>
  <c r="S16" i="5"/>
  <c r="M31" i="5"/>
  <c r="L31" i="5"/>
  <c r="K31" i="5"/>
  <c r="J31" i="5"/>
  <c r="I31" i="5"/>
  <c r="H31" i="5"/>
  <c r="G31" i="5"/>
  <c r="F31" i="5"/>
  <c r="N30" i="5"/>
  <c r="E29" i="5"/>
  <c r="E31" i="5" s="1"/>
  <c r="D29" i="5"/>
  <c r="N28" i="5"/>
  <c r="D28" i="5"/>
  <c r="N27" i="5"/>
  <c r="D27" i="5"/>
  <c r="C26" i="5"/>
  <c r="B26" i="5"/>
  <c r="N25" i="5"/>
  <c r="C24" i="5"/>
  <c r="C31" i="5" s="1"/>
  <c r="B24" i="5"/>
  <c r="N23" i="5"/>
  <c r="C23" i="5"/>
  <c r="E22" i="5"/>
  <c r="D22" i="5"/>
  <c r="C22" i="5"/>
  <c r="D21" i="5"/>
  <c r="C21" i="5"/>
  <c r="B21" i="5"/>
  <c r="D20" i="5"/>
  <c r="C20" i="5"/>
  <c r="B20" i="5"/>
  <c r="N20" i="5" s="1"/>
  <c r="D19" i="5"/>
  <c r="C19" i="5"/>
  <c r="B19" i="5"/>
  <c r="N19" i="5" s="1"/>
  <c r="P16" i="5"/>
  <c r="O16" i="5"/>
  <c r="M16" i="5"/>
  <c r="L16" i="5"/>
  <c r="K16" i="5"/>
  <c r="J16" i="5"/>
  <c r="I16" i="5"/>
  <c r="H16" i="5"/>
  <c r="G16" i="5"/>
  <c r="C16" i="5"/>
  <c r="B16" i="5"/>
  <c r="E16" i="5"/>
  <c r="D14" i="5"/>
  <c r="D13" i="5"/>
  <c r="D12" i="5"/>
  <c r="D11" i="5"/>
  <c r="D9" i="5"/>
  <c r="D8" i="5"/>
  <c r="D7" i="5"/>
  <c r="D6" i="5"/>
  <c r="D5" i="5"/>
  <c r="F16" i="5"/>
  <c r="D4" i="5"/>
  <c r="B31" i="5" l="1"/>
  <c r="N21" i="5"/>
  <c r="D31" i="5"/>
  <c r="N22" i="5"/>
  <c r="N29" i="5"/>
  <c r="N26" i="5"/>
  <c r="O26" i="5" s="1"/>
  <c r="O23" i="5"/>
  <c r="O22" i="5"/>
  <c r="O25" i="5"/>
  <c r="T16" i="5"/>
  <c r="V5" i="5"/>
  <c r="V16" i="5" s="1"/>
  <c r="O28" i="5"/>
  <c r="Q13" i="5"/>
  <c r="O21" i="5"/>
  <c r="O20" i="5"/>
  <c r="O29" i="5"/>
  <c r="Q14" i="5"/>
  <c r="Q11" i="5"/>
  <c r="Q9" i="5"/>
  <c r="O27" i="5"/>
  <c r="Q12" i="5"/>
  <c r="O19" i="5"/>
  <c r="Q4" i="5"/>
  <c r="Q5" i="5"/>
  <c r="Q6" i="5"/>
  <c r="Q7" i="5"/>
  <c r="Q8" i="5"/>
  <c r="N24" i="5"/>
  <c r="N31" i="5" s="1"/>
  <c r="D16" i="5"/>
  <c r="Q10" i="5"/>
  <c r="O24" i="5" l="1"/>
  <c r="Q16" i="5"/>
  <c r="Q15" i="5"/>
  <c r="O30" i="5"/>
  <c r="E29" i="4"/>
  <c r="O31" i="5" l="1"/>
  <c r="E26" i="4"/>
  <c r="E28" i="4" l="1"/>
  <c r="E12" i="4" l="1"/>
  <c r="E15" i="4" l="1"/>
  <c r="E6" i="4"/>
  <c r="E7" i="4" l="1"/>
  <c r="E22" i="4"/>
  <c r="E11" i="4" l="1"/>
  <c r="E9" i="4"/>
  <c r="E14" i="4"/>
  <c r="E10" i="4"/>
  <c r="E8" i="4"/>
  <c r="D27" i="4" l="1"/>
  <c r="D28" i="4" l="1"/>
  <c r="D29" i="4" l="1"/>
  <c r="D22" i="4" l="1"/>
  <c r="D21" i="4" l="1"/>
  <c r="D20" i="4" l="1"/>
  <c r="D19" i="4" l="1"/>
  <c r="D12" i="4" l="1"/>
  <c r="D13" i="4" l="1"/>
  <c r="D14" i="4"/>
  <c r="D6" i="4" l="1"/>
  <c r="D8" i="4" l="1"/>
  <c r="D5" i="4"/>
  <c r="D9" i="4"/>
  <c r="C24" i="4"/>
  <c r="D4" i="4" l="1"/>
  <c r="C26" i="4" l="1"/>
  <c r="D7" i="4"/>
  <c r="D11" i="4"/>
  <c r="C19" i="4" l="1"/>
  <c r="C21" i="4" l="1"/>
  <c r="C20" i="4" l="1"/>
  <c r="C23" i="4" l="1"/>
  <c r="C22" i="4" l="1"/>
  <c r="B26" i="4" l="1"/>
  <c r="B19" i="4" l="1"/>
  <c r="B21" i="4" l="1"/>
  <c r="B24" i="4"/>
  <c r="B20" i="4" l="1"/>
  <c r="N12" i="4" l="1"/>
  <c r="N9" i="4"/>
  <c r="N7" i="4"/>
  <c r="N5" i="4"/>
  <c r="N6" i="4"/>
  <c r="N8" i="4"/>
  <c r="N10" i="4"/>
  <c r="N11" i="4"/>
  <c r="N13" i="4"/>
  <c r="N14" i="4"/>
  <c r="N15" i="4"/>
  <c r="N4" i="4"/>
  <c r="N19" i="4" l="1"/>
  <c r="Q4" i="4" l="1"/>
  <c r="Q5" i="4"/>
  <c r="Q6" i="4"/>
  <c r="Q7" i="4"/>
  <c r="Q8" i="4"/>
  <c r="Q9" i="4"/>
  <c r="Q10" i="4"/>
  <c r="Q11" i="4"/>
  <c r="Q12" i="4"/>
  <c r="Q13" i="4"/>
  <c r="Q14" i="4"/>
  <c r="Q15" i="4"/>
  <c r="P16" i="4" l="1"/>
  <c r="O16" i="4" l="1"/>
  <c r="E31" i="4"/>
  <c r="D31" i="4"/>
  <c r="C31" i="4"/>
  <c r="B31" i="4"/>
  <c r="L31" i="4"/>
  <c r="J31" i="4"/>
  <c r="N29" i="4"/>
  <c r="M31" i="4"/>
  <c r="K31" i="4"/>
  <c r="I31" i="4"/>
  <c r="F31" i="4"/>
  <c r="N27" i="4"/>
  <c r="N26" i="4"/>
  <c r="N25" i="4"/>
  <c r="N24" i="4"/>
  <c r="N23" i="4"/>
  <c r="N22" i="4"/>
  <c r="N21" i="4"/>
  <c r="G31" i="4"/>
  <c r="N20" i="4"/>
  <c r="C16" i="4"/>
  <c r="B16" i="4"/>
  <c r="F16" i="4"/>
  <c r="M16" i="4"/>
  <c r="G16" i="4"/>
  <c r="L16" i="4"/>
  <c r="J16" i="4"/>
  <c r="H16" i="4"/>
  <c r="D16" i="4"/>
  <c r="K16" i="4"/>
  <c r="E16" i="4"/>
  <c r="O22" i="4" l="1"/>
  <c r="O23" i="4"/>
  <c r="O27" i="4"/>
  <c r="O21" i="4"/>
  <c r="O25" i="4"/>
  <c r="O20" i="4"/>
  <c r="O19" i="4"/>
  <c r="O24" i="4"/>
  <c r="O26" i="4"/>
  <c r="N30" i="4"/>
  <c r="O30" i="4" s="1"/>
  <c r="H31" i="4"/>
  <c r="I16" i="4"/>
  <c r="N28" i="4"/>
  <c r="O28" i="4" s="1"/>
  <c r="O29" i="4" l="1"/>
  <c r="O31" i="4" s="1"/>
  <c r="N16" i="4"/>
  <c r="Q16" i="4" s="1"/>
  <c r="N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2/12/25</t>
        </r>
      </text>
    </comment>
    <comment ref="C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
</t>
        </r>
      </text>
    </comment>
    <comment ref="D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24/1/26</t>
        </r>
      </text>
    </comment>
    <comment ref="E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17/3/26 = 260 cái
Xuất bổ sung ĐH mới =100 cái 13/4/26
Xuất 20/4/26 = 50 cái</t>
        </r>
      </text>
    </comment>
    <comment ref="B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2/12/25
</t>
        </r>
      </text>
    </comment>
    <comment ref="C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
</t>
        </r>
      </text>
    </comment>
    <comment ref="D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26/2/26
</t>
        </r>
      </text>
    </comment>
    <comment ref="E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26/3/26
Xuất bổ sung ĐH mới 60 cái 10/4/26
Xuất bù 10 cái đủ KH T5</t>
        </r>
      </text>
    </comment>
    <comment ref="B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2/12/25
</t>
        </r>
      </text>
    </comment>
    <comment ref="C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6/1/2026
</t>
        </r>
      </text>
    </comment>
    <comment ref="D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27/1/26
Xuất 25/2/26</t>
        </r>
      </text>
    </comment>
    <comment ref="E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27/3/26
Xuất 3/4/26
Xuất bổ sung ĐH mới 70 cái 13//4/26
</t>
        </r>
      </text>
    </comment>
    <comment ref="B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8/12/25
gửi xe trả GCN T12</t>
        </r>
      </text>
    </comment>
    <comment ref="C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 gửi xe sếp</t>
        </r>
      </text>
    </comment>
    <comment ref="D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6/2/26 BHKH T3
Xuất 23/2/26 BHKH T3</t>
        </r>
      </text>
    </comment>
    <comment ref="E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23/3/26 gửi xe
Xuất 30/3/26 gửi xe
Xuất bổ sung ĐH mới 60 cái 10/4/26
</t>
        </r>
      </text>
    </comment>
    <comment ref="B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8/12/25
gửi xe
</t>
        </r>
      </text>
    </comment>
    <comment ref="C8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8/1/26
</t>
        </r>
      </text>
    </comment>
    <comment ref="D8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11/2/26 gửi xe
Xuất 26/2/26 gửi xe
</t>
        </r>
      </text>
    </comment>
    <comment ref="E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31/3/26
Xuất bổ sung ĐH mới 20 cái 9/4/26
</t>
        </r>
      </text>
    </comment>
    <comment ref="B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3/12/25
Gửi xe</t>
        </r>
      </text>
    </comment>
    <comment ref="C9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29/12/25 gửi xe</t>
        </r>
      </text>
    </comment>
    <comment ref="D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11/2/26 gửi xe
Xuất 26/2/26 gửi xe
</t>
        </r>
      </text>
    </comment>
    <comment ref="E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27/3/26
Xuất bổ sung ĐH mới 30 cái 10/4/26 gửi xe
</t>
        </r>
      </text>
    </comment>
    <comment ref="B1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3/12/25
Gửi xe</t>
        </r>
      </text>
    </comment>
    <comment ref="C10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29/12/25 gửi xe
</t>
        </r>
      </text>
    </comment>
    <comment ref="D1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11/2/26 gửi xe
</t>
        </r>
      </text>
    </comment>
    <comment ref="E1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2/4/26
Xuất bổ sung ĐH mới 10 cái 10/4/26 gửi xe
</t>
        </r>
      </text>
    </comment>
    <comment ref="B11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
</t>
        </r>
      </text>
    </comment>
    <comment ref="C11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5/1/26
</t>
        </r>
      </text>
    </comment>
    <comment ref="D1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30/1/26 BHKH T3
Xuất 23/2/26 BHKH T3
</t>
        </r>
      </text>
    </comment>
    <comment ref="E1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24/3/26
Xuất 30/3/26
Xuất bổ sung ĐH mới 40 cái 10/4/26
</t>
        </r>
      </text>
    </comment>
    <comment ref="B12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</t>
        </r>
      </text>
    </comment>
    <comment ref="C1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6/1/2026
Gửi xe
</t>
        </r>
      </text>
    </comment>
    <comment ref="D1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4/3/26
</t>
        </r>
      </text>
    </comment>
    <comment ref="E1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6/4/26
Xuất bổ sung ĐH mới 20 cái 13/4/26
</t>
        </r>
      </text>
    </comment>
    <comment ref="B1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8/12/25
</t>
        </r>
      </text>
    </comment>
    <comment ref="C1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5/1/26
</t>
        </r>
      </text>
    </comment>
    <comment ref="D13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27/2/26
</t>
        </r>
      </text>
    </comment>
    <comment ref="E1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6/4/26
Xuất bổ sung 30 cái ĐH mới 9/4/26
Xuất bù 10 cái đủ KH T5
</t>
        </r>
      </text>
    </comment>
    <comment ref="B1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</t>
        </r>
      </text>
    </comment>
    <comment ref="C14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 gửi xe nước
</t>
        </r>
      </text>
    </comment>
    <comment ref="D14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27/1/26 Gửi xe nước
Xuất 3/3/26 gửi xe nước
</t>
        </r>
      </text>
    </comment>
    <comment ref="E14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25/3/26
Xuất 2/4/26 gửi xe nước
Xuất bổ sung ĐH mới 10 cái 10/4/26
</t>
        </r>
      </text>
    </comment>
    <comment ref="B15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
</t>
        </r>
      </text>
    </comment>
    <comment ref="C15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5/1/26
</t>
        </r>
      </text>
    </comment>
    <comment ref="D15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26/1/26
</t>
        </r>
      </text>
    </comment>
    <comment ref="E1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9/3/26
Xuất bổ sung ĐH mới 20 cái 13/4/26
</t>
        </r>
      </text>
    </comment>
    <comment ref="B19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8/12/25
Trả 15/12/25
Trả 22/12/25
Trả 29/12/25</t>
        </r>
      </text>
    </comment>
    <comment ref="C1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12/1/26
Trả 19/1/26
Trả 26/1/26
Trả 28/1/26
</t>
        </r>
      </text>
    </comment>
    <comment ref="D19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9/2/26
Trả 24/2/26
Trả 2/3/26
Trả 9/3/26
Trả 10/3/26
</t>
        </r>
      </text>
    </comment>
    <comment ref="E1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23/3/26
Trả 30/3/26
Trả 6/4/26
Trả 13/4/26
Trả 20/4/26
Trả 21/4/26
</t>
        </r>
      </text>
    </comment>
    <comment ref="B2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10/12/25
Trả 19/12/25</t>
        </r>
      </text>
    </comment>
    <comment ref="C20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12/1/26
Trả 23/1/26
</t>
        </r>
      </text>
    </comment>
    <comment ref="D20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11/3/26
Trả 12/3/26
</t>
        </r>
      </text>
    </comment>
    <comment ref="E20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10/4/26
Trả 21/4/26
Trả 22/4/26
</t>
        </r>
      </text>
    </comment>
    <comment ref="B21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11/12/25 gửi nước lọc
17/12/25
</t>
        </r>
      </text>
    </comment>
    <comment ref="C2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16/1/26
Trả 23/1/26</t>
        </r>
      </text>
    </comment>
    <comment ref="D21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13/3/26
Trả 19/3/26
</t>
        </r>
      </text>
    </comment>
    <comment ref="E21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13/4/26 = 80
Trả 17/4/26 = 80
Trả 22/4 = 50
</t>
        </r>
      </text>
    </comment>
    <comment ref="B2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22/12/25
</t>
        </r>
      </text>
    </comment>
    <comment ref="C2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19/1/26
</t>
        </r>
      </text>
    </comment>
    <comment ref="D22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10/3/26 gửi xe
</t>
        </r>
      </text>
    </comment>
    <comment ref="E2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10/4/26
</t>
        </r>
      </text>
    </comment>
    <comment ref="B23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12/12/25
gửi xe
</t>
        </r>
      </text>
    </comment>
    <comment ref="C23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16/1/26
</t>
        </r>
      </text>
    </comment>
    <comment ref="D2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10/3/26
</t>
        </r>
      </text>
    </comment>
    <comment ref="E23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15/4/26
</t>
        </r>
      </text>
    </comment>
    <comment ref="B24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19/12/25
Trả 25/12/25
</t>
        </r>
      </text>
    </comment>
    <comment ref="C2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11/2/26 gửi xe
Trả 26/2/26 gửi xe</t>
        </r>
      </text>
    </comment>
    <comment ref="D24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16/3/26
</t>
        </r>
      </text>
    </comment>
    <comment ref="E2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16/4/26 gửi xe
Trả 22/4/26 gửi xe
</t>
        </r>
      </text>
    </comment>
    <comment ref="B2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12/12/25 gửi xe A Dũng</t>
        </r>
      </text>
    </comment>
    <comment ref="C25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16/1/26 BHKH T2-26
</t>
        </r>
      </text>
    </comment>
    <comment ref="D25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11/3/2 gửi xe
</t>
        </r>
      </text>
    </comment>
    <comment ref="B2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25/12/25
Trả 12/1/26</t>
        </r>
      </text>
    </comment>
    <comment ref="C26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23/1/26
Trả 12/2/26</t>
        </r>
      </text>
    </comment>
    <comment ref="D26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13/3/26
</t>
        </r>
      </text>
    </comment>
    <comment ref="E26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13/4/26 gửi xe
Trả 17/4/26
</t>
        </r>
      </text>
    </comment>
    <comment ref="B27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29/12/25
</t>
        </r>
      </text>
    </comment>
    <comment ref="C27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19/1/26
Gửi xe Tuấn</t>
        </r>
      </text>
    </comment>
    <comment ref="D27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25/3/26
</t>
        </r>
      </text>
    </comment>
    <comment ref="E27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22/4/26
</t>
        </r>
      </text>
    </comment>
    <comment ref="B28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19/12/25
</t>
        </r>
      </text>
    </comment>
    <comment ref="C2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23/1/26
</t>
        </r>
      </text>
    </comment>
    <comment ref="D28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24/3/26
</t>
        </r>
      </text>
    </comment>
    <comment ref="E28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9/4/26
Trả 16/4/26
</t>
        </r>
      </text>
    </comment>
    <comment ref="B2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16/12/25
</t>
        </r>
      </text>
    </comment>
    <comment ref="C29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15/126
</t>
        </r>
      </text>
    </comment>
    <comment ref="D29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23/3/26
</t>
        </r>
      </text>
    </comment>
    <comment ref="E29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13/4/26 gửi xe nước
Trả 17/4/26 gửi xe Tuấn</t>
        </r>
      </text>
    </comment>
    <comment ref="B3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12/12/25
</t>
        </r>
      </text>
    </comment>
    <comment ref="C3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15/1/26 </t>
        </r>
      </text>
    </comment>
    <comment ref="D3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27/2/26
</t>
        </r>
      </text>
    </comment>
    <comment ref="E3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16/4/26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2/12/25</t>
        </r>
      </text>
    </comment>
    <comment ref="C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
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24/1/26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17/3/26
Xuất bổ sung ĐH mới 100 cái 13/4/26
</t>
        </r>
      </text>
    </comment>
    <comment ref="F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20/4/26
</t>
        </r>
      </text>
    </comment>
    <comment ref="G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20/4/26 = 10
Xuất 28/4/26 = 190
</t>
        </r>
      </text>
    </comment>
    <comment ref="H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26/5/26
Xuất 15/6/26</t>
        </r>
      </text>
    </comment>
    <comment ref="I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27/7/26
</t>
        </r>
      </text>
    </comment>
    <comment ref="J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31/8/26
</t>
        </r>
      </text>
    </comment>
    <comment ref="B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2/12/25
</t>
        </r>
      </text>
    </comment>
    <comment ref="C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
</t>
        </r>
      </text>
    </comment>
    <comment ref="D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26/2/26
</t>
        </r>
      </text>
    </comment>
    <comment ref="E5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26/3/26
Xuất bổ sung ĐH mới 60 cái 10/4/26
</t>
        </r>
      </text>
    </comment>
    <comment ref="F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thêm đủ T5
</t>
        </r>
      </text>
    </comment>
    <comment ref="H5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2/7/26
</t>
        </r>
      </text>
    </comment>
    <comment ref="I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3/8/26
</t>
        </r>
      </text>
    </comment>
    <comment ref="J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3/9/26
Châu lấy
</t>
        </r>
      </text>
    </comment>
    <comment ref="B6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2/12/25
</t>
        </r>
      </text>
    </comment>
    <comment ref="C6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6/1/2026
</t>
        </r>
      </text>
    </comment>
    <comment ref="D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27/1/26
Xuất 25/2/26</t>
        </r>
      </text>
    </comment>
    <comment ref="E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27/3/26
Xuất 3/4/26
Xuất bổ sung ĐH mới 70 cái 13//4/26
</t>
        </r>
      </text>
    </comment>
    <comment ref="G6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tháng 4 =10
Xuất 4/5 = 90
</t>
        </r>
      </text>
    </comment>
    <comment ref="H6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18/6/26</t>
        </r>
      </text>
    </comment>
    <comment ref="I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22/7/26</t>
        </r>
      </text>
    </comment>
    <comment ref="J6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4/9/26
</t>
        </r>
      </text>
    </comment>
    <comment ref="B7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8/12/25
gửi xe trả GCN T12</t>
        </r>
      </text>
    </comment>
    <comment ref="C7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 gửi xe sếp</t>
        </r>
      </text>
    </comment>
    <comment ref="D7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6/2/26 BHKH T3
Xuất 23/2/26 BHKH T3</t>
        </r>
      </text>
    </comment>
    <comment ref="E7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23/3/26 gửi xe
Xuất 30/3/26 gửi xe
Xuất bổ sung ĐH mới 60 cái 10/4/26
</t>
        </r>
      </text>
    </comment>
    <comment ref="G7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12/5/26 gửi xe
</t>
        </r>
      </text>
    </comment>
    <comment ref="H7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15/6/26 gửi xe
</t>
        </r>
      </text>
    </comment>
    <comment ref="I7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26/7/26
</t>
        </r>
      </text>
    </comment>
    <comment ref="J7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25/8/26
</t>
        </r>
      </text>
    </comment>
    <comment ref="B8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8/12/25
gửi xe
</t>
        </r>
      </text>
    </comment>
    <comment ref="C8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8/1/26
</t>
        </r>
      </text>
    </comment>
    <comment ref="D8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11/2/26 gửi xe
Xuất 26/2/26 gửi xe
</t>
        </r>
      </text>
    </comment>
    <comment ref="E8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31/3/26
Xuất bổ sung ĐH mới 20 cái 9/4/26
</t>
        </r>
      </text>
    </comment>
    <comment ref="G8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tháng 4 =10
Xuất 28/4 =20
</t>
        </r>
      </text>
    </comment>
    <comment ref="H8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29/6 gửi xe</t>
        </r>
      </text>
    </comment>
    <comment ref="I8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27/7/26
</t>
        </r>
      </text>
    </comment>
    <comment ref="J8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28/8/26
Trả GCN Tháng 9</t>
        </r>
      </text>
    </comment>
    <comment ref="B9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3/12/25
Gửi xe</t>
        </r>
      </text>
    </comment>
    <comment ref="C9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29/12/25 gửi xe</t>
        </r>
      </text>
    </comment>
    <comment ref="D9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11/2/26 gửi xe
Xuất 26/2/26 gửi xe
</t>
        </r>
      </text>
    </comment>
    <comment ref="E9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27/3/26
Xuất bổ sung ĐH mới 30 cái 10/4/26 gửi xe
</t>
        </r>
      </text>
    </comment>
    <comment ref="G9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tháng 4 = 10
Xuất 4/5 = 40 gửi xe
</t>
        </r>
      </text>
    </comment>
    <comment ref="H9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10/6 gửi xe
</t>
        </r>
      </text>
    </comment>
    <comment ref="I9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27/7/26
</t>
        </r>
      </text>
    </comment>
    <comment ref="J9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20/6/26
</t>
        </r>
      </text>
    </comment>
    <comment ref="B10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3/12/25
Gửi xe</t>
        </r>
      </text>
    </comment>
    <comment ref="C10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29/12/25 gửi xe
</t>
        </r>
      </text>
    </comment>
    <comment ref="D10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11/2/26 gửi xe
</t>
        </r>
      </text>
    </comment>
    <comment ref="E10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2/4/26
Xuất bổ sung ĐH mới 10 cái 10/4/26 gửi xe
</t>
        </r>
      </text>
    </comment>
    <comment ref="G10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4/5/26 gửi xe
</t>
        </r>
      </text>
    </comment>
    <comment ref="H10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10/6 gửi xe
</t>
        </r>
      </text>
    </comment>
    <comment ref="I10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29/7/26
</t>
        </r>
      </text>
    </comment>
    <comment ref="J10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20/6/26
</t>
        </r>
      </text>
    </comment>
    <comment ref="B11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
</t>
        </r>
      </text>
    </comment>
    <comment ref="C11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5/1/26
</t>
        </r>
      </text>
    </comment>
    <comment ref="D11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30/1/26 BHKH T3
Xuất 23/2/26 BHKH T3
</t>
        </r>
      </text>
    </comment>
    <comment ref="E11" authorId="0" shapeId="0" xr:uid="{00000000-0006-0000-0100-00003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24/3/26
Xuất 30/3/26
Xuất bổ sung ĐH mới 40 cái 10/4/26
</t>
        </r>
      </text>
    </comment>
    <comment ref="G11" authorId="0" shapeId="0" xr:uid="{00000000-0006-0000-0100-00003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tháng 4
Xuất 28/4/26 = 30
</t>
        </r>
      </text>
    </comment>
    <comment ref="H11" authorId="0" shapeId="0" xr:uid="{00000000-0006-0000-0100-00003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1/6
Xuất 12/6
</t>
        </r>
      </text>
    </comment>
    <comment ref="I11" authorId="0" shapeId="0" xr:uid="{00000000-0006-0000-0100-00004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31/7/26
Đạt lấy
</t>
        </r>
      </text>
    </comment>
    <comment ref="J11" authorId="0" shapeId="0" xr:uid="{00000000-0006-0000-0100-00004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21/8/2026
</t>
        </r>
      </text>
    </comment>
    <comment ref="B12" authorId="0" shapeId="0" xr:uid="{00000000-0006-0000-0100-00004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</t>
        </r>
      </text>
    </comment>
    <comment ref="C12" authorId="0" shapeId="0" xr:uid="{00000000-0006-0000-0100-00004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6/1/2026
Gửi xe
</t>
        </r>
      </text>
    </comment>
    <comment ref="D12" authorId="0" shapeId="0" xr:uid="{00000000-0006-0000-0100-00004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4/3/26
</t>
        </r>
      </text>
    </comment>
    <comment ref="E12" authorId="0" shapeId="0" xr:uid="{00000000-0006-0000-0100-00004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6/4/26
Xuất bổ sung ĐH mới 20 cái 13/4/26
</t>
        </r>
      </text>
    </comment>
    <comment ref="G12" authorId="0" shapeId="0" xr:uid="{00000000-0006-0000-0100-00004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tháng 4
Xuất 28/4/26 = 10
</t>
        </r>
      </text>
    </comment>
    <comment ref="H12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15/6/26
</t>
        </r>
      </text>
    </comment>
    <comment ref="I12" authorId="0" shapeId="0" xr:uid="{00000000-0006-0000-0100-00004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27/7/26
</t>
        </r>
      </text>
    </comment>
    <comment ref="J12" authorId="0" shapeId="0" xr:uid="{00000000-0006-0000-0100-00004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3/9/26
Gửi xe
</t>
        </r>
      </text>
    </comment>
    <comment ref="B13" authorId="0" shapeId="0" xr:uid="{00000000-0006-0000-0100-00004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8/12/25
</t>
        </r>
      </text>
    </comment>
    <comment ref="C13" authorId="0" shapeId="0" xr:uid="{00000000-0006-0000-0100-00004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5/1/26
</t>
        </r>
      </text>
    </comment>
    <comment ref="D13" authorId="0" shapeId="0" xr:uid="{00000000-0006-0000-0100-00004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28/1/26
Xuất 27/2/26
</t>
        </r>
      </text>
    </comment>
    <comment ref="E13" authorId="0" shapeId="0" xr:uid="{00000000-0006-0000-0100-00004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6/4/26
Xuất bổ sung 30 cái ĐH mới 9/4/26
</t>
        </r>
      </text>
    </comment>
    <comment ref="G13" authorId="0" shapeId="0" xr:uid="{00000000-0006-0000-0100-00004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29/4
</t>
        </r>
      </text>
    </comment>
    <comment ref="H13" authorId="0" shapeId="0" xr:uid="{00000000-0006-0000-0100-00004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25/5
Xuất 11/6
</t>
        </r>
      </text>
    </comment>
    <comment ref="I13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29/7/26
</t>
        </r>
      </text>
    </comment>
    <comment ref="J13" authorId="0" shapeId="0" xr:uid="{00000000-0006-0000-0100-00005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24/8/26
</t>
        </r>
      </text>
    </comment>
    <comment ref="B14" authorId="0" shapeId="0" xr:uid="{00000000-0006-0000-0100-00005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</t>
        </r>
      </text>
    </comment>
    <comment ref="C14" authorId="0" shapeId="0" xr:uid="{00000000-0006-0000-0100-00005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30/12/25 gửi xe nước
</t>
        </r>
      </text>
    </comment>
    <comment ref="D14" authorId="0" shapeId="0" xr:uid="{00000000-0006-0000-0100-00005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27/1/26 Gửi xe nước
Xuất 3/3/26 gửi xe nước
</t>
        </r>
      </text>
    </comment>
    <comment ref="E14" authorId="0" shapeId="0" xr:uid="{00000000-0006-0000-0100-00005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25/3/26
Xuất 2/4/26 gửi xe nước
Xuất bổ sung ĐH mới 10 cái 10/4/26
</t>
        </r>
      </text>
    </comment>
    <comment ref="G14" authorId="0" shapeId="0" xr:uid="{00000000-0006-0000-0100-00005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5/5 gửi xe nước 
</t>
        </r>
      </text>
    </comment>
    <comment ref="H14" authorId="0" shapeId="0" xr:uid="{00000000-0006-0000-0100-00005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25/5
Xuất 1/7
</t>
        </r>
      </text>
    </comment>
    <comment ref="I14" authorId="0" shapeId="0" xr:uid="{00000000-0006-0000-0100-00005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29/7/26
</t>
        </r>
      </text>
    </comment>
    <comment ref="J14" authorId="0" shapeId="0" xr:uid="{00000000-0006-0000-0100-00005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8/9/26
A Việt lấy
</t>
        </r>
      </text>
    </comment>
    <comment ref="B15" authorId="0" shapeId="0" xr:uid="{00000000-0006-0000-0100-00005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5/12/25
</t>
        </r>
      </text>
    </comment>
    <comment ref="C15" authorId="0" shapeId="0" xr:uid="{00000000-0006-0000-0100-00005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5/1/26
</t>
        </r>
      </text>
    </comment>
    <comment ref="D15" authorId="0" shapeId="0" xr:uid="{00000000-0006-0000-0100-00005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26/1/26
</t>
        </r>
      </text>
    </comment>
    <comment ref="E15" authorId="0" shapeId="0" xr:uid="{00000000-0006-0000-0100-00005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9/3/26
Xuất bổ sung ĐH mới 20 cái 13/4/26
</t>
        </r>
      </text>
    </comment>
    <comment ref="G15" authorId="0" shapeId="0" xr:uid="{00000000-0006-0000-0100-00005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28/4/26
</t>
        </r>
      </text>
    </comment>
    <comment ref="H15" authorId="0" shapeId="0" xr:uid="{00000000-0006-0000-0100-00005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25/5
Xuất 19/6
</t>
        </r>
      </text>
    </comment>
    <comment ref="I15" authorId="0" shapeId="0" xr:uid="{00000000-0006-0000-0100-00006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31/7/26
</t>
        </r>
      </text>
    </comment>
    <comment ref="J15" authorId="0" shapeId="0" xr:uid="{00000000-0006-0000-0100-00006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3/9/26
</t>
        </r>
      </text>
    </comment>
    <comment ref="B19" authorId="0" shapeId="0" xr:uid="{00000000-0006-0000-0100-00006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8/12/25
Trả 15/12/25
Trả 22/12/25
Trả 29/12/25</t>
        </r>
      </text>
    </comment>
    <comment ref="C19" authorId="0" shapeId="0" xr:uid="{00000000-0006-0000-0100-00006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12/1/26
Trả 19/1/26
Trả 26/1/26
Trả 28/1/26
</t>
        </r>
      </text>
    </comment>
    <comment ref="D19" authorId="0" shapeId="0" xr:uid="{00000000-0006-0000-0100-00006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9/2/26
Trả 24/2/26
Trả 2/3/26
Trả 9/3/26
Trả 10/3/26
</t>
        </r>
      </text>
    </comment>
    <comment ref="E19" authorId="0" shapeId="0" xr:uid="{00000000-0006-0000-0100-00006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23/3/26
Trả 30/3/26
Trả 6/4/26
Trả 13/4/26
Trả 20/4/26
</t>
        </r>
      </text>
    </comment>
    <comment ref="F19" authorId="0" shapeId="0" xr:uid="{00000000-0006-0000-0100-00006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28/4/26
Trả 5/5/26
Trả 11/5/26
Trả 18/5/26
Trả 25/5/26
Trả 26/5/26
</t>
        </r>
      </text>
    </comment>
    <comment ref="H19" authorId="0" shapeId="0" xr:uid="{00000000-0006-0000-0100-00006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29/6/26
Trả 10/726
Trả 13/7/26
Trả 20/7/26</t>
        </r>
      </text>
    </comment>
    <comment ref="I19" authorId="0" shapeId="0" xr:uid="{00000000-0006-0000-0100-00006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3/8/26
Trả 11/8/26
Trả 18/6/2026
Trả 1/9/26
</t>
        </r>
      </text>
    </comment>
    <comment ref="B20" authorId="0" shapeId="0" xr:uid="{00000000-0006-0000-0100-00006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10/12/25
Trả 19/12/25</t>
        </r>
      </text>
    </comment>
    <comment ref="C20" authorId="0" shapeId="0" xr:uid="{00000000-0006-0000-0100-00006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12/1/26
Trả 23/1/26
</t>
        </r>
      </text>
    </comment>
    <comment ref="D20" authorId="0" shapeId="0" xr:uid="{00000000-0006-0000-0100-00006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11/3/26
Trả 12/3/26
</t>
        </r>
      </text>
    </comment>
    <comment ref="E20" authorId="0" shapeId="0" xr:uid="{00000000-0006-0000-0100-00006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10/4/26
Trả 21/4/26
Trả 22/4/26
Trả 23/4/26
</t>
        </r>
      </text>
    </comment>
    <comment ref="F20" authorId="0" shapeId="0" xr:uid="{00000000-0006-0000-0100-00006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18/5/26
</t>
        </r>
      </text>
    </comment>
    <comment ref="G20" authorId="0" shapeId="0" xr:uid="{00000000-0006-0000-0100-00006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16/6/26
</t>
        </r>
      </text>
    </comment>
    <comment ref="H20" authorId="0" shapeId="0" xr:uid="{00000000-0006-0000-0100-00006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13/7/26
</t>
        </r>
      </text>
    </comment>
    <comment ref="I20" authorId="0" shapeId="0" xr:uid="{00000000-0006-0000-0100-00007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13/8/2026
</t>
        </r>
      </text>
    </comment>
    <comment ref="B21" authorId="0" shapeId="0" xr:uid="{00000000-0006-0000-0100-00007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11/12/25 gửi nước lọc
17/12/25
</t>
        </r>
      </text>
    </comment>
    <comment ref="C21" authorId="0" shapeId="0" xr:uid="{00000000-0006-0000-0100-00007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16/1/26
Trả 23/1/26</t>
        </r>
      </text>
    </comment>
    <comment ref="D21" authorId="0" shapeId="0" xr:uid="{00000000-0006-0000-0100-00007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13/3/26
Trả 19/3/26
</t>
        </r>
      </text>
    </comment>
    <comment ref="E21" authorId="0" shapeId="0" xr:uid="{00000000-0006-0000-0100-00007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13/4/26
Trả 17/4/26
Trả 22/4/26
</t>
        </r>
      </text>
    </comment>
    <comment ref="G21" authorId="0" shapeId="0" xr:uid="{00000000-0006-0000-0100-00007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18/6/26</t>
        </r>
      </text>
    </comment>
    <comment ref="H21" authorId="0" shapeId="0" xr:uid="{00000000-0006-0000-0100-00007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15/7/26
</t>
        </r>
      </text>
    </comment>
    <comment ref="I21" authorId="0" shapeId="0" xr:uid="{00000000-0006-0000-0100-00007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10/8/26
Trả 19/8/2026
</t>
        </r>
      </text>
    </comment>
    <comment ref="B22" authorId="0" shapeId="0" xr:uid="{00000000-0006-0000-0100-00007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22/12/25
</t>
        </r>
      </text>
    </comment>
    <comment ref="C22" authorId="0" shapeId="0" xr:uid="{00000000-0006-0000-0100-00007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19/1/26
</t>
        </r>
      </text>
    </comment>
    <comment ref="D22" authorId="0" shapeId="0" xr:uid="{00000000-0006-0000-0100-00007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10/3/26 gửi xe
</t>
        </r>
      </text>
    </comment>
    <comment ref="E22" authorId="0" shapeId="0" xr:uid="{00000000-0006-0000-0100-00007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10/4/26
</t>
        </r>
      </text>
    </comment>
    <comment ref="F22" authorId="0" shapeId="0" xr:uid="{00000000-0006-0000-0100-00007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Gửi xe 12/5/26
</t>
        </r>
      </text>
    </comment>
    <comment ref="G22" authorId="0" shapeId="0" xr:uid="{00000000-0006-0000-0100-00007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15/6/26 gửi xe</t>
        </r>
      </text>
    </comment>
    <comment ref="H22" authorId="0" shapeId="0" xr:uid="{00000000-0006-0000-0100-00007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23/7/26
26 cái Hoàng trang
44 cái Itron</t>
        </r>
      </text>
    </comment>
    <comment ref="I22" authorId="0" shapeId="0" xr:uid="{00000000-0006-0000-0100-00007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20/8/2026
</t>
        </r>
      </text>
    </comment>
    <comment ref="B23" authorId="0" shapeId="0" xr:uid="{00000000-0006-0000-0100-00008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12/12/25
gửi xe
</t>
        </r>
      </text>
    </comment>
    <comment ref="C23" authorId="0" shapeId="0" xr:uid="{00000000-0006-0000-0100-00008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16/1/26
</t>
        </r>
      </text>
    </comment>
    <comment ref="D23" authorId="0" shapeId="0" xr:uid="{00000000-0006-0000-0100-00008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10/3/26
</t>
        </r>
      </text>
    </comment>
    <comment ref="E23" authorId="0" shapeId="0" xr:uid="{00000000-0006-0000-0100-00008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15/4/26
</t>
        </r>
      </text>
    </comment>
    <comment ref="G23" authorId="0" shapeId="0" xr:uid="{00000000-0006-0000-0100-00008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9/6
</t>
        </r>
      </text>
    </comment>
    <comment ref="H23" authorId="0" shapeId="0" xr:uid="{00000000-0006-0000-0100-00008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13/7/26
gửi xe
</t>
        </r>
      </text>
    </comment>
    <comment ref="I23" authorId="0" shapeId="0" xr:uid="{00000000-0006-0000-0100-00008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12/8/26 gửi xe
</t>
        </r>
      </text>
    </comment>
    <comment ref="J23" authorId="0" shapeId="0" xr:uid="{00000000-0006-0000-0100-00008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11/9/26
</t>
        </r>
      </text>
    </comment>
    <comment ref="B24" authorId="0" shapeId="0" xr:uid="{00000000-0006-0000-0100-00008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19/12/25
Trả 25/12/25
</t>
        </r>
      </text>
    </comment>
    <comment ref="C24" authorId="0" shapeId="0" xr:uid="{00000000-0006-0000-0100-00008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11/2/26 gửi xe
Trả 26/2/26 gửi xe</t>
        </r>
      </text>
    </comment>
    <comment ref="D24" authorId="0" shapeId="0" xr:uid="{00000000-0006-0000-0100-00008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16/3/26
</t>
        </r>
      </text>
    </comment>
    <comment ref="E24" authorId="0" shapeId="0" xr:uid="{00000000-0006-0000-0100-00008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16/4/26 gửi xe
Trả 22/4/26 gửi xe</t>
        </r>
      </text>
    </comment>
    <comment ref="F24" authorId="0" shapeId="0" xr:uid="{00000000-0006-0000-0100-00008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13/5/26 gửi xe
</t>
        </r>
      </text>
    </comment>
    <comment ref="H24" authorId="0" shapeId="0" xr:uid="{00000000-0006-0000-0100-00008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27/7/26
</t>
        </r>
      </text>
    </comment>
    <comment ref="I24" authorId="0" shapeId="0" xr:uid="{00000000-0006-0000-0100-00008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12/8/26
Gửi xe</t>
        </r>
      </text>
    </comment>
    <comment ref="B25" authorId="0" shapeId="0" xr:uid="{00000000-0006-0000-0100-00008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12/12/25 gửi xe A Dũng</t>
        </r>
      </text>
    </comment>
    <comment ref="C25" authorId="0" shapeId="0" xr:uid="{00000000-0006-0000-0100-00009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16/1/26 BHKH T2-26
</t>
        </r>
      </text>
    </comment>
    <comment ref="D25" authorId="0" shapeId="0" xr:uid="{00000000-0006-0000-0100-00009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11/3/2 gửi xe
</t>
        </r>
      </text>
    </comment>
    <comment ref="E25" authorId="0" shapeId="0" xr:uid="{00000000-0006-0000-0100-00009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23/4/26 gửi xe An</t>
        </r>
      </text>
    </comment>
    <comment ref="G25" authorId="0" shapeId="0" xr:uid="{00000000-0006-0000-0100-00009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10/6 gửi xe
</t>
        </r>
      </text>
    </comment>
    <comment ref="H25" authorId="0" shapeId="0" xr:uid="{00000000-0006-0000-0100-00009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15/7/26 gửi xe A Dũng
</t>
        </r>
      </text>
    </comment>
    <comment ref="I25" authorId="0" shapeId="0" xr:uid="{00000000-0006-0000-0100-00009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12/8/26
Gửi xe
</t>
        </r>
      </text>
    </comment>
    <comment ref="B26" authorId="0" shapeId="0" xr:uid="{00000000-0006-0000-0100-00009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25/12/25
Trả 12/1/26</t>
        </r>
      </text>
    </comment>
    <comment ref="C26" authorId="0" shapeId="0" xr:uid="{00000000-0006-0000-0100-00009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23/1/26
Trả 12/2/26</t>
        </r>
      </text>
    </comment>
    <comment ref="D26" authorId="0" shapeId="0" xr:uid="{00000000-0006-0000-0100-00009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13/3/26
</t>
        </r>
      </text>
    </comment>
    <comment ref="E26" authorId="0" shapeId="0" xr:uid="{00000000-0006-0000-0100-00009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13/4/26 gửi xe
Trả 17/4/26
Trả 23/4/26
</t>
        </r>
      </text>
    </comment>
    <comment ref="F26" authorId="0" shapeId="0" xr:uid="{00000000-0006-0000-0100-00009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15/5/26
</t>
        </r>
      </text>
    </comment>
    <comment ref="H26" authorId="0" shapeId="0" xr:uid="{00000000-0006-0000-0100-00009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17/7/26
</t>
        </r>
      </text>
    </comment>
    <comment ref="I26" authorId="0" shapeId="0" xr:uid="{00000000-0006-0000-0100-00009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7/8/26
</t>
        </r>
      </text>
    </comment>
    <comment ref="J26" authorId="0" shapeId="0" xr:uid="{00000000-0006-0000-0100-00009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14/9/26</t>
        </r>
      </text>
    </comment>
    <comment ref="B27" authorId="0" shapeId="0" xr:uid="{00000000-0006-0000-0100-00009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29/12/25
</t>
        </r>
      </text>
    </comment>
    <comment ref="C27" authorId="0" shapeId="0" xr:uid="{00000000-0006-0000-0100-00009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19/1/26
Gửi xe Tuấn</t>
        </r>
      </text>
    </comment>
    <comment ref="D27" authorId="0" shapeId="0" xr:uid="{00000000-0006-0000-0100-0000A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25/3/26
</t>
        </r>
      </text>
    </comment>
    <comment ref="F27" authorId="0" shapeId="0" xr:uid="{00000000-0006-0000-0100-0000A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8/5/2026
</t>
        </r>
      </text>
    </comment>
    <comment ref="H27" authorId="0" shapeId="0" xr:uid="{00000000-0006-0000-0100-0000A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17/7/26
gửi xe </t>
        </r>
      </text>
    </comment>
    <comment ref="I27" authorId="0" shapeId="0" xr:uid="{00000000-0006-0000-0100-0000A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14/8/26
</t>
        </r>
      </text>
    </comment>
    <comment ref="J27" authorId="0" shapeId="0" xr:uid="{00000000-0006-0000-0100-0000A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11/9/26
</t>
        </r>
      </text>
    </comment>
    <comment ref="B28" authorId="0" shapeId="0" xr:uid="{00000000-0006-0000-0100-0000A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19/12/25
</t>
        </r>
      </text>
    </comment>
    <comment ref="C28" authorId="0" shapeId="0" xr:uid="{00000000-0006-0000-0100-0000A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23/1/26
</t>
        </r>
      </text>
    </comment>
    <comment ref="D28" authorId="0" shapeId="0" xr:uid="{00000000-0006-0000-0100-0000A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24/3/26
</t>
        </r>
      </text>
    </comment>
    <comment ref="E28" authorId="0" shapeId="0" xr:uid="{00000000-0006-0000-0100-0000A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9/4/26
Trả 16/4/26
Trả 24/4/26
</t>
        </r>
      </text>
    </comment>
    <comment ref="F28" authorId="0" shapeId="0" xr:uid="{00000000-0006-0000-0100-0000A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15/5/26 chị gái
</t>
        </r>
      </text>
    </comment>
    <comment ref="H28" authorId="0" shapeId="0" xr:uid="{00000000-0006-0000-0100-0000A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14/7/26
Trả 21/7/26
</t>
        </r>
      </text>
    </comment>
    <comment ref="I28" authorId="0" shapeId="0" xr:uid="{00000000-0006-0000-0100-0000A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24/8/26
Trả 26/8/26
</t>
        </r>
      </text>
    </comment>
    <comment ref="B29" authorId="0" shapeId="0" xr:uid="{00000000-0006-0000-0100-0000A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16/12/25
</t>
        </r>
      </text>
    </comment>
    <comment ref="C29" authorId="0" shapeId="0" xr:uid="{00000000-0006-0000-0100-0000A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15/126
</t>
        </r>
      </text>
    </comment>
    <comment ref="D29" authorId="0" shapeId="0" xr:uid="{00000000-0006-0000-0100-0000A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23/3/26
</t>
        </r>
      </text>
    </comment>
    <comment ref="E29" authorId="0" shapeId="0" xr:uid="{00000000-0006-0000-0100-0000A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13/4/26 gửi xe nước
Trả 17/4/26 gửi xe Tuấn</t>
        </r>
      </text>
    </comment>
    <comment ref="F29" authorId="0" shapeId="0" xr:uid="{00000000-0006-0000-0100-0000B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14/5/26 gửi xe
</t>
        </r>
      </text>
    </comment>
    <comment ref="H29" authorId="0" shapeId="0" xr:uid="{00000000-0006-0000-0100-0000B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ngày 14/7/26 gửi xe nước</t>
        </r>
      </text>
    </comment>
    <comment ref="I29" authorId="0" shapeId="0" xr:uid="{00000000-0006-0000-0100-0000B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27/8/26
</t>
        </r>
      </text>
    </comment>
    <comment ref="B30" authorId="0" shapeId="0" xr:uid="{00000000-0006-0000-0100-0000B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12/12/25
</t>
        </r>
      </text>
    </comment>
    <comment ref="C30" authorId="0" shapeId="0" xr:uid="{00000000-0006-0000-0100-0000B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15/1/26 </t>
        </r>
      </text>
    </comment>
    <comment ref="D30" authorId="0" shapeId="0" xr:uid="{00000000-0006-0000-0100-0000B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27/2/26
</t>
        </r>
      </text>
    </comment>
    <comment ref="E30" authorId="0" shapeId="0" xr:uid="{00000000-0006-0000-0100-0000B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16/4/26
</t>
        </r>
      </text>
    </comment>
    <comment ref="F30" authorId="0" shapeId="0" xr:uid="{00000000-0006-0000-0100-0000B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ngày 14/5/26
</t>
        </r>
      </text>
    </comment>
    <comment ref="H30" authorId="0" shapeId="0" xr:uid="{00000000-0006-0000-0100-0000B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16/7/26
</t>
        </r>
      </text>
    </comment>
    <comment ref="I30" authorId="0" shapeId="0" xr:uid="{00000000-0006-0000-0100-0000B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Trả 25/8/26
</t>
        </r>
      </text>
    </comment>
  </commentList>
</comments>
</file>

<file path=xl/sharedStrings.xml><?xml version="1.0" encoding="utf-8"?>
<sst xmlns="http://schemas.openxmlformats.org/spreadsheetml/2006/main" count="128" uniqueCount="43">
  <si>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</si>
  <si>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</si>
  <si>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</si>
  <si>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</si>
  <si>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</si>
  <si>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</si>
  <si>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</si>
  <si>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</si>
  <si>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</si>
  <si>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</si>
  <si>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</si>
  <si>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</si>
  <si>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XNCN TP1</t>
  </si>
  <si>
    <t>XNCN TP2</t>
  </si>
  <si>
    <t>CNCN MỘC CHÂU</t>
  </si>
  <si>
    <t>CNCN YÊN CHÂU</t>
  </si>
  <si>
    <t>CNCN PHÙ YÊN</t>
  </si>
  <si>
    <t>CNCN BẮC YÊN</t>
  </si>
  <si>
    <t>CNCN SÔNG MÃ</t>
  </si>
  <si>
    <t>CNCN SỐP CỘP</t>
  </si>
  <si>
    <t>CNCN THUẬN CHÂU</t>
  </si>
  <si>
    <t>CNCN MƯỜNG LA</t>
  </si>
  <si>
    <t>CNCN QUỲNH NHAI</t>
  </si>
  <si>
    <t>XNCN MAI SƠN</t>
  </si>
  <si>
    <t>TRẢ ĐH BẢO HÀNH</t>
  </si>
  <si>
    <t>TÊN ĐƠN VỊ</t>
  </si>
  <si>
    <t>Chưa trả</t>
  </si>
  <si>
    <t>GHI CHÚ :</t>
  </si>
  <si>
    <t>Kế hoạch năm</t>
  </si>
  <si>
    <t>Chưa Thay</t>
  </si>
  <si>
    <t>Tổng trả</t>
  </si>
  <si>
    <t>Tổng xuất</t>
  </si>
  <si>
    <t>Kế hoạch xuất tháng</t>
  </si>
  <si>
    <t>Tồn năm 2025</t>
  </si>
  <si>
    <t>Đã thanh toán với bên TTĐL ( SẢN LƯỢNG T1,T2 GCNKĐ T11,T12 Năm 2025)</t>
  </si>
  <si>
    <r>
      <t xml:space="preserve">XUẤT ĐH BẢO HÀNH KẾ HOẠCH </t>
    </r>
    <r>
      <rPr>
        <b/>
        <sz val="12"/>
        <color rgb="FFFF0000"/>
        <rFont val="Calibri"/>
        <family val="2"/>
        <scheme val="minor"/>
      </rPr>
      <t xml:space="preserve">11.040 cái, </t>
    </r>
    <r>
      <rPr>
        <b/>
        <sz val="12"/>
        <color rgb="FF0070C0"/>
        <rFont val="Calibri"/>
        <family val="2"/>
        <scheme val="minor"/>
      </rPr>
      <t xml:space="preserve">920 cái / tháng ( </t>
    </r>
    <r>
      <rPr>
        <b/>
        <i/>
        <sz val="12"/>
        <color rgb="FFFF0000"/>
        <rFont val="Calibri"/>
        <family val="2"/>
        <scheme val="minor"/>
      </rPr>
      <t>Tăng 1.390 cái / tháng bắt đầu từ Tháng 4/2026</t>
    </r>
    <r>
      <rPr>
        <b/>
        <sz val="12"/>
        <color rgb="FF0070C0"/>
        <rFont val="Calibri"/>
        <family val="2"/>
        <scheme val="minor"/>
      </rPr>
      <t>)</t>
    </r>
  </si>
  <si>
    <r>
      <t xml:space="preserve">BẢNG THEO DÕI XUẤT TRẢ ĐH BẢO HÀNH CÁC ĐƠN VỊ NĂM 2026 KH ( </t>
    </r>
    <r>
      <rPr>
        <b/>
        <sz val="14"/>
        <color rgb="FFFF0000"/>
        <rFont val="Calibri"/>
        <family val="2"/>
        <scheme val="minor"/>
      </rPr>
      <t>15.270 cái</t>
    </r>
    <r>
      <rPr>
        <b/>
        <sz val="14"/>
        <rFont val="Calibri"/>
        <family val="2"/>
        <charset val="163"/>
        <scheme val="minor"/>
      </rPr>
      <t xml:space="preserve"> )</t>
    </r>
  </si>
  <si>
    <r>
      <t>BẢNG THEO DÕI XUẤT TRẢ ĐH BẢO HÀNH CÁC ĐƠN VỊ NĂM 2026 KH ( 9.060</t>
    </r>
    <r>
      <rPr>
        <b/>
        <sz val="14"/>
        <color rgb="FFFF0000"/>
        <rFont val="Calibri"/>
        <family val="2"/>
        <scheme val="minor"/>
      </rPr>
      <t xml:space="preserve"> cái</t>
    </r>
    <r>
      <rPr>
        <b/>
        <sz val="14"/>
        <rFont val="Calibri"/>
        <family val="2"/>
        <charset val="163"/>
        <scheme val="minor"/>
      </rPr>
      <t xml:space="preserve"> )</t>
    </r>
  </si>
  <si>
    <t>Xuất T4</t>
  </si>
  <si>
    <t>Còn lại</t>
  </si>
  <si>
    <t>Làm xuất T6</t>
  </si>
  <si>
    <t>Sản lượng T6</t>
  </si>
  <si>
    <r>
      <t>XUẤT ĐH BẢO HÀNH KẾ HOẠCH 9.060 cái / năm</t>
    </r>
    <r>
      <rPr>
        <b/>
        <sz val="12"/>
        <color rgb="FF0070C0"/>
        <rFont val="Calibri"/>
        <family val="2"/>
        <scheme val="minor"/>
      </rPr>
      <t xml:space="preserve"> ( 700</t>
    </r>
    <r>
      <rPr>
        <b/>
        <i/>
        <sz val="12"/>
        <color rgb="FFFF0000"/>
        <rFont val="Calibri"/>
        <family val="2"/>
        <scheme val="minor"/>
      </rPr>
      <t xml:space="preserve"> cái / tháng, bắt đầu từ Tháng 4/2026</t>
    </r>
    <r>
      <rPr>
        <b/>
        <sz val="12"/>
        <color rgb="FF0070C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</si>
</sst>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63"/>
      <scheme val="minor"/>
    </font>
    <font>
      <b/>
      <sz val="14"/>
      <name val="Calibri"/>
      <family val="2"/>
      <charset val="163"/>
      <scheme val="minor"/>
    </font>
    <font>
      <b/>
      <sz val="12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charset val="163"/>
      <scheme val="minor"/>
    </font>
    <font>
      <b/>
      <sz val="12"/>
      <color rgb="FF0070C0"/>
      <name val="Calibri"/>
      <family val="2"/>
      <charset val="163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00B050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2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charset val="163"/>
      <scheme val="minor"/>
    </font>
    <font>
      <b/>
      <sz val="12"/>
      <color rgb="FF00206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9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5" fillId="0" borderId="4" xfId="0" applyFont="1" applyBorder="1"/>
    <xf numFmtId="0" fontId="15" fillId="0" borderId="2" xfId="0" applyFont="1" applyBorder="1"/>
    <xf numFmtId="0" fontId="15" fillId="0" borderId="3" xfId="0" applyFont="1" applyBorder="1"/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1" fillId="0" borderId="0" xfId="0" applyFont="1"/>
    <xf numFmtId="0" fontId="7" fillId="0" borderId="0" xfId="0" applyFont="1"/>
    <xf numFmtId="0" fontId="12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2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17" fillId="0" borderId="0" xfId="0" applyNumberFormat="1" applyFont="1" applyAlignment="1">
      <alignment horizontal="center"/>
    </xf>
    <xf numFmtId="3" fontId="26" fillId="0" borderId="6" xfId="0" applyNumberFormat="1" applyFont="1" applyBorder="1" applyAlignment="1">
      <alignment horizontal="center"/>
    </xf>
    <xf numFmtId="3" fontId="26" fillId="0" borderId="2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8" fillId="0" borderId="4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8" fillId="2" borderId="4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15" fillId="2" borderId="2" xfId="0" applyFont="1" applyFill="1" applyBorder="1"/>
    <xf numFmtId="0" fontId="15" fillId="2" borderId="3" xfId="0" applyFont="1" applyFill="1" applyBorder="1"/>
    <xf numFmtId="0" fontId="8" fillId="2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6.5" customWidth="1"/>
    <col min="2" max="4" width="8.5" customWidth="1"/>
    <col min="5" max="8" width="8.5" style="33" customWidth="1"/>
    <col min="9" max="13" width="8.5" customWidth="1"/>
    <col min="14" max="14" width="10.5" customWidth="1"/>
    <col min="15" max="16" width="8.83203125" customWidth="1"/>
    <col min="17" max="17" width="10" customWidth="1"/>
    <col min="18" max="18" width="12.5" customWidth="1"/>
  </cols>
  <sheetData>
    <row r="1" spans="1:21" ht="19" x14ac:dyDescent="0.25">
      <c r="A1" s="89" t="s">
        <v>36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21" ht="16" x14ac:dyDescent="0.2">
      <c r="A2" s="90" t="s">
        <v>35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1:21" ht="48" customHeight="1" x14ac:dyDescent="0.2">
      <c r="A3" s="15" t="s">
        <v>25</v>
      </c>
      <c r="B3" s="15" t="s">
        <v>0</v>
      </c>
      <c r="C3" s="15" t="s">
        <v>1</v>
      </c>
      <c r="D3" s="15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15" t="s">
        <v>7</v>
      </c>
      <c r="J3" s="36" t="s">
        <v>8</v>
      </c>
      <c r="K3" s="36" t="s">
        <v>9</v>
      </c>
      <c r="L3" s="36" t="s">
        <v>10</v>
      </c>
      <c r="M3" s="36" t="s">
        <v>11</v>
      </c>
      <c r="N3" s="15" t="s">
        <v>31</v>
      </c>
      <c r="O3" s="7" t="s">
        <v>32</v>
      </c>
      <c r="P3" s="11" t="s">
        <v>28</v>
      </c>
      <c r="Q3" s="14" t="s">
        <v>29</v>
      </c>
      <c r="R3" s="35" t="s">
        <v>33</v>
      </c>
      <c r="S3" s="5"/>
    </row>
    <row r="4" spans="1:21" ht="15.75" customHeight="1" x14ac:dyDescent="0.2">
      <c r="A4" s="16" t="s">
        <v>12</v>
      </c>
      <c r="B4" s="6">
        <v>260</v>
      </c>
      <c r="C4" s="6">
        <v>260</v>
      </c>
      <c r="D4" s="6">
        <f>100+60+100</f>
        <v>260</v>
      </c>
      <c r="E4" s="48">
        <f>260+100</f>
        <v>360</v>
      </c>
      <c r="F4" s="48"/>
      <c r="G4" s="48">
        <v>50</v>
      </c>
      <c r="H4" s="48"/>
      <c r="I4" s="22"/>
      <c r="J4" s="51"/>
      <c r="K4" s="51"/>
      <c r="L4" s="51"/>
      <c r="M4" s="51"/>
      <c r="N4" s="6">
        <f>B4+C4+D4+E4+F4+G4+H4+I4+J4+K4+L4+M4</f>
        <v>1190</v>
      </c>
      <c r="O4" s="44">
        <v>360</v>
      </c>
      <c r="P4" s="8">
        <v>4020</v>
      </c>
      <c r="Q4" s="19">
        <f>P4-N4</f>
        <v>2830</v>
      </c>
      <c r="R4" s="42"/>
    </row>
    <row r="5" spans="1:21" ht="15.75" customHeight="1" x14ac:dyDescent="0.2">
      <c r="A5" s="17" t="s">
        <v>13</v>
      </c>
      <c r="B5" s="3">
        <v>110</v>
      </c>
      <c r="C5" s="3">
        <v>110</v>
      </c>
      <c r="D5" s="3">
        <f>50+60</f>
        <v>110</v>
      </c>
      <c r="E5" s="22">
        <f>110+60</f>
        <v>170</v>
      </c>
      <c r="F5" s="22"/>
      <c r="G5" s="22"/>
      <c r="H5" s="22"/>
      <c r="I5" s="22"/>
      <c r="J5" s="47"/>
      <c r="K5" s="47"/>
      <c r="L5" s="47"/>
      <c r="M5" s="47"/>
      <c r="N5" s="6">
        <f t="shared" ref="N5:N15" si="0">B5+C5+D5+E5+F5+G5+H5+I5+J5+K5+L5+M5</f>
        <v>500</v>
      </c>
      <c r="O5" s="45">
        <v>170</v>
      </c>
      <c r="P5" s="9">
        <v>1860</v>
      </c>
      <c r="Q5" s="19">
        <f t="shared" ref="Q5:Q15" si="1">P5-N5</f>
        <v>1360</v>
      </c>
      <c r="R5" s="43"/>
      <c r="S5" s="34"/>
      <c r="T5" s="34"/>
      <c r="U5" s="34"/>
    </row>
    <row r="6" spans="1:21" ht="15.75" customHeight="1" x14ac:dyDescent="0.2">
      <c r="A6" s="17" t="s">
        <v>23</v>
      </c>
      <c r="B6" s="3">
        <v>140</v>
      </c>
      <c r="C6" s="3">
        <v>140</v>
      </c>
      <c r="D6" s="3">
        <f>40+100</f>
        <v>140</v>
      </c>
      <c r="E6" s="47">
        <f>20+120+70</f>
        <v>210</v>
      </c>
      <c r="F6" s="47"/>
      <c r="G6" s="22"/>
      <c r="H6" s="47"/>
      <c r="I6" s="22"/>
      <c r="J6" s="47"/>
      <c r="K6" s="47"/>
      <c r="L6" s="47"/>
      <c r="M6" s="47"/>
      <c r="N6" s="6">
        <f t="shared" si="0"/>
        <v>630</v>
      </c>
      <c r="O6" s="45">
        <v>210</v>
      </c>
      <c r="P6" s="9">
        <v>2310</v>
      </c>
      <c r="Q6" s="19">
        <f t="shared" si="1"/>
        <v>1680</v>
      </c>
      <c r="R6" s="42"/>
    </row>
    <row r="7" spans="1:21" ht="15.75" customHeight="1" x14ac:dyDescent="0.2">
      <c r="A7" s="17" t="s">
        <v>14</v>
      </c>
      <c r="B7" s="3">
        <v>80</v>
      </c>
      <c r="C7" s="3">
        <v>80</v>
      </c>
      <c r="D7" s="3">
        <f>30+50</f>
        <v>80</v>
      </c>
      <c r="E7" s="22">
        <f>10+70+60</f>
        <v>140</v>
      </c>
      <c r="F7" s="22"/>
      <c r="G7" s="22"/>
      <c r="H7" s="22"/>
      <c r="I7" s="22"/>
      <c r="J7" s="47"/>
      <c r="K7" s="47"/>
      <c r="L7" s="47"/>
      <c r="M7" s="47"/>
      <c r="N7" s="6">
        <f>B7+C7+D7+E7+F7+G7+H7+I7+J7+K7+L7+M7+R7</f>
        <v>383</v>
      </c>
      <c r="O7" s="45">
        <v>140</v>
      </c>
      <c r="P7" s="9">
        <v>1500</v>
      </c>
      <c r="Q7" s="19">
        <f t="shared" si="1"/>
        <v>1117</v>
      </c>
      <c r="R7" s="25">
        <v>3</v>
      </c>
    </row>
    <row r="8" spans="1:21" ht="15.75" customHeight="1" x14ac:dyDescent="0.2">
      <c r="A8" s="17" t="s">
        <v>15</v>
      </c>
      <c r="B8" s="3">
        <v>50</v>
      </c>
      <c r="C8" s="3">
        <v>50</v>
      </c>
      <c r="D8" s="3">
        <f>10+40</f>
        <v>50</v>
      </c>
      <c r="E8" s="22">
        <f>50+20</f>
        <v>70</v>
      </c>
      <c r="F8" s="22"/>
      <c r="G8" s="22"/>
      <c r="H8" s="22"/>
      <c r="I8" s="22"/>
      <c r="J8" s="47"/>
      <c r="K8" s="47"/>
      <c r="L8" s="47"/>
      <c r="M8" s="47"/>
      <c r="N8" s="6">
        <f t="shared" si="0"/>
        <v>220</v>
      </c>
      <c r="O8" s="45">
        <v>70</v>
      </c>
      <c r="P8" s="9">
        <v>780</v>
      </c>
      <c r="Q8" s="19">
        <f t="shared" si="1"/>
        <v>560</v>
      </c>
      <c r="R8" s="43"/>
      <c r="S8" s="5"/>
    </row>
    <row r="9" spans="1:21" ht="15.75" customHeight="1" x14ac:dyDescent="0.2">
      <c r="A9" s="17" t="s">
        <v>16</v>
      </c>
      <c r="B9" s="3">
        <v>80</v>
      </c>
      <c r="C9" s="3">
        <v>80</v>
      </c>
      <c r="D9" s="3">
        <f>30+50</f>
        <v>80</v>
      </c>
      <c r="E9" s="22">
        <f>80+30</f>
        <v>110</v>
      </c>
      <c r="F9" s="22"/>
      <c r="G9" s="22"/>
      <c r="H9" s="22"/>
      <c r="I9" s="22"/>
      <c r="J9" s="47"/>
      <c r="K9" s="47"/>
      <c r="L9" s="47"/>
      <c r="M9" s="47"/>
      <c r="N9" s="6">
        <f>B9+C9+D9+E9+F9+G9+H9+I9+J9+K9+L9+M9+R9</f>
        <v>353</v>
      </c>
      <c r="O9" s="45">
        <v>110</v>
      </c>
      <c r="P9" s="9">
        <v>1230</v>
      </c>
      <c r="Q9" s="19">
        <f t="shared" si="1"/>
        <v>877</v>
      </c>
      <c r="R9" s="25">
        <v>3</v>
      </c>
    </row>
    <row r="10" spans="1:21" ht="15.75" customHeight="1" x14ac:dyDescent="0.2">
      <c r="A10" s="17" t="s">
        <v>17</v>
      </c>
      <c r="B10" s="3">
        <v>10</v>
      </c>
      <c r="C10" s="3">
        <v>10</v>
      </c>
      <c r="D10" s="3">
        <v>10</v>
      </c>
      <c r="E10" s="22">
        <f>10+10</f>
        <v>20</v>
      </c>
      <c r="F10" s="22"/>
      <c r="G10" s="22"/>
      <c r="H10" s="22"/>
      <c r="I10" s="22"/>
      <c r="J10" s="47"/>
      <c r="K10" s="47"/>
      <c r="L10" s="47"/>
      <c r="M10" s="47"/>
      <c r="N10" s="6">
        <f t="shared" si="0"/>
        <v>50</v>
      </c>
      <c r="O10" s="45">
        <v>20</v>
      </c>
      <c r="P10" s="9">
        <v>210</v>
      </c>
      <c r="Q10" s="19">
        <f t="shared" si="1"/>
        <v>160</v>
      </c>
      <c r="R10" s="42"/>
    </row>
    <row r="11" spans="1:21" ht="15.75" customHeight="1" x14ac:dyDescent="0.2">
      <c r="A11" s="17" t="s">
        <v>18</v>
      </c>
      <c r="B11" s="3">
        <v>50</v>
      </c>
      <c r="C11" s="3">
        <v>50</v>
      </c>
      <c r="D11" s="3">
        <f>20+30</f>
        <v>50</v>
      </c>
      <c r="E11" s="22">
        <f>10+40+40</f>
        <v>90</v>
      </c>
      <c r="F11" s="22"/>
      <c r="G11" s="22"/>
      <c r="H11" s="22"/>
      <c r="I11" s="22"/>
      <c r="J11" s="47"/>
      <c r="K11" s="47"/>
      <c r="L11" s="47"/>
      <c r="M11" s="47"/>
      <c r="N11" s="6">
        <f t="shared" si="0"/>
        <v>240</v>
      </c>
      <c r="O11" s="45">
        <v>90</v>
      </c>
      <c r="P11" s="9">
        <v>960</v>
      </c>
      <c r="Q11" s="19">
        <f t="shared" si="1"/>
        <v>720</v>
      </c>
      <c r="R11" s="42"/>
    </row>
    <row r="12" spans="1:21" ht="15.75" customHeight="1" x14ac:dyDescent="0.2">
      <c r="A12" s="17" t="s">
        <v>19</v>
      </c>
      <c r="B12" s="3">
        <v>30</v>
      </c>
      <c r="C12" s="3">
        <v>30</v>
      </c>
      <c r="D12" s="3">
        <f>10+20</f>
        <v>30</v>
      </c>
      <c r="E12" s="22">
        <f>30+20</f>
        <v>50</v>
      </c>
      <c r="F12" s="22"/>
      <c r="G12" s="22"/>
      <c r="H12" s="22"/>
      <c r="I12" s="22"/>
      <c r="J12" s="47"/>
      <c r="K12" s="47"/>
      <c r="L12" s="47"/>
      <c r="M12" s="47"/>
      <c r="N12" s="6">
        <f>B12+C12+D12+E12+F12+G12+H12+I12+J12+K12+L12+M12+R12</f>
        <v>143</v>
      </c>
      <c r="O12" s="45">
        <v>50</v>
      </c>
      <c r="P12" s="9">
        <v>540</v>
      </c>
      <c r="Q12" s="19">
        <f t="shared" si="1"/>
        <v>397</v>
      </c>
      <c r="R12" s="25">
        <v>3</v>
      </c>
    </row>
    <row r="13" spans="1:21" ht="15.75" customHeight="1" x14ac:dyDescent="0.2">
      <c r="A13" s="17" t="s">
        <v>20</v>
      </c>
      <c r="B13" s="3">
        <v>60</v>
      </c>
      <c r="C13" s="3">
        <v>60</v>
      </c>
      <c r="D13" s="3">
        <f>20+40</f>
        <v>60</v>
      </c>
      <c r="E13" s="22">
        <v>90</v>
      </c>
      <c r="F13" s="22"/>
      <c r="G13" s="22">
        <v>10</v>
      </c>
      <c r="H13" s="22"/>
      <c r="I13" s="22"/>
      <c r="J13" s="47"/>
      <c r="K13" s="47"/>
      <c r="L13" s="47"/>
      <c r="M13" s="47"/>
      <c r="N13" s="6">
        <f t="shared" si="0"/>
        <v>280</v>
      </c>
      <c r="O13" s="45">
        <v>90</v>
      </c>
      <c r="P13" s="9">
        <v>990</v>
      </c>
      <c r="Q13" s="19">
        <f t="shared" si="1"/>
        <v>710</v>
      </c>
      <c r="R13" s="42"/>
    </row>
    <row r="14" spans="1:21" ht="15.75" customHeight="1" x14ac:dyDescent="0.2">
      <c r="A14" s="17" t="s">
        <v>21</v>
      </c>
      <c r="B14" s="3">
        <v>30</v>
      </c>
      <c r="C14" s="3">
        <v>30</v>
      </c>
      <c r="D14" s="3">
        <f>10+20</f>
        <v>30</v>
      </c>
      <c r="E14" s="22">
        <f>10+20+10</f>
        <v>40</v>
      </c>
      <c r="F14" s="22"/>
      <c r="G14" s="22"/>
      <c r="H14" s="22"/>
      <c r="I14" s="22"/>
      <c r="J14" s="47"/>
      <c r="K14" s="47"/>
      <c r="L14" s="47"/>
      <c r="M14" s="47"/>
      <c r="N14" s="6">
        <f t="shared" si="0"/>
        <v>130</v>
      </c>
      <c r="O14" s="45">
        <v>40</v>
      </c>
      <c r="P14" s="9">
        <v>450</v>
      </c>
      <c r="Q14" s="19">
        <f t="shared" si="1"/>
        <v>320</v>
      </c>
      <c r="R14" s="42"/>
    </row>
    <row r="15" spans="1:21" ht="15.75" customHeight="1" x14ac:dyDescent="0.2">
      <c r="A15" s="18" t="s">
        <v>22</v>
      </c>
      <c r="B15" s="4">
        <v>20</v>
      </c>
      <c r="C15" s="4">
        <v>20</v>
      </c>
      <c r="D15" s="4">
        <v>20</v>
      </c>
      <c r="E15" s="23">
        <f>20+20</f>
        <v>40</v>
      </c>
      <c r="F15" s="23"/>
      <c r="G15" s="23"/>
      <c r="H15" s="23"/>
      <c r="I15" s="23"/>
      <c r="J15" s="52"/>
      <c r="K15" s="52"/>
      <c r="L15" s="52"/>
      <c r="M15" s="52"/>
      <c r="N15" s="4">
        <f t="shared" si="0"/>
        <v>100</v>
      </c>
      <c r="O15" s="46">
        <v>40</v>
      </c>
      <c r="P15" s="10">
        <v>420</v>
      </c>
      <c r="Q15" s="20">
        <f t="shared" si="1"/>
        <v>320</v>
      </c>
      <c r="R15" s="42"/>
    </row>
    <row r="16" spans="1:21" ht="15.75" customHeight="1" x14ac:dyDescent="0.25">
      <c r="B16" s="1">
        <f>B15+B14+B13+B12+B11+B10+B9+B8+B7+B6+B5+B4</f>
        <v>920</v>
      </c>
      <c r="C16" s="1">
        <f t="shared" ref="C16:N16" si="2">C15+C14+C13+C12+C11+C10+C9+C8+C7+C6+C5+C4</f>
        <v>920</v>
      </c>
      <c r="D16" s="1">
        <f t="shared" si="2"/>
        <v>920</v>
      </c>
      <c r="E16" s="49">
        <f t="shared" si="2"/>
        <v>1390</v>
      </c>
      <c r="F16" s="41">
        <f t="shared" si="2"/>
        <v>0</v>
      </c>
      <c r="G16" s="41">
        <f>G15+G14+G13+G12+G11+G10+G9+G8+G7+G6+G5+G4</f>
        <v>60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>L15+L14+L13+L12+L11+L10+L9+L8+L7+L6+L5+L4</f>
        <v>0</v>
      </c>
      <c r="M16" s="41">
        <f t="shared" si="2"/>
        <v>0</v>
      </c>
      <c r="N16" s="26">
        <f t="shared" si="2"/>
        <v>4219</v>
      </c>
      <c r="O16" s="50">
        <f>SUM(O4:O15)</f>
        <v>1390</v>
      </c>
      <c r="P16" s="13">
        <f>P4+P5+P6+P7+P8+P9+P10+P11+P12+P13+P14+P15</f>
        <v>15270</v>
      </c>
      <c r="Q16" s="12">
        <f>P16-N16</f>
        <v>11051</v>
      </c>
      <c r="R16" s="5"/>
      <c r="S16" s="5"/>
    </row>
    <row r="17" spans="1:18" ht="15.75" customHeight="1" x14ac:dyDescent="0.2">
      <c r="A17" s="91" t="s">
        <v>24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</row>
    <row r="18" spans="1:18" ht="15.75" customHeight="1" x14ac:dyDescent="0.2">
      <c r="A18" s="15" t="s">
        <v>25</v>
      </c>
      <c r="B18" s="15" t="s">
        <v>0</v>
      </c>
      <c r="C18" s="15" t="s">
        <v>1</v>
      </c>
      <c r="D18" s="15" t="s">
        <v>2</v>
      </c>
      <c r="E18" s="29" t="s">
        <v>3</v>
      </c>
      <c r="F18" s="29" t="s">
        <v>4</v>
      </c>
      <c r="G18" s="29" t="s">
        <v>5</v>
      </c>
      <c r="H18" s="29" t="s">
        <v>6</v>
      </c>
      <c r="I18" s="15" t="s">
        <v>7</v>
      </c>
      <c r="J18" s="15" t="s">
        <v>8</v>
      </c>
      <c r="K18" s="15" t="s">
        <v>9</v>
      </c>
      <c r="L18" s="15" t="s">
        <v>10</v>
      </c>
      <c r="M18" s="15" t="s">
        <v>11</v>
      </c>
      <c r="N18" s="15" t="s">
        <v>30</v>
      </c>
      <c r="O18" s="15" t="s">
        <v>26</v>
      </c>
    </row>
    <row r="19" spans="1:18" ht="15.75" customHeight="1" x14ac:dyDescent="0.2">
      <c r="A19" s="16" t="s">
        <v>12</v>
      </c>
      <c r="B19" s="6">
        <f>24+80+72+72+12</f>
        <v>260</v>
      </c>
      <c r="C19" s="6">
        <f>77+92+40+51</f>
        <v>260</v>
      </c>
      <c r="D19" s="6">
        <f>94+49+63+48+6</f>
        <v>260</v>
      </c>
      <c r="E19" s="30">
        <f>32+64+40+67+151+6</f>
        <v>360</v>
      </c>
      <c r="F19" s="30"/>
      <c r="G19" s="30"/>
      <c r="H19" s="30"/>
      <c r="I19" s="6"/>
      <c r="J19" s="37"/>
      <c r="K19" s="37"/>
      <c r="L19" s="37"/>
      <c r="M19" s="37"/>
      <c r="N19" s="6">
        <f>SUM(B19:M19)</f>
        <v>1140</v>
      </c>
      <c r="O19" s="21">
        <f t="shared" ref="O19:O30" si="3">N4-N19</f>
        <v>50</v>
      </c>
    </row>
    <row r="20" spans="1:18" ht="15.75" customHeight="1" x14ac:dyDescent="0.2">
      <c r="A20" s="17" t="s">
        <v>13</v>
      </c>
      <c r="B20" s="3">
        <f>50+60</f>
        <v>110</v>
      </c>
      <c r="C20" s="3">
        <f>38+72</f>
        <v>110</v>
      </c>
      <c r="D20" s="3">
        <f>100+10</f>
        <v>110</v>
      </c>
      <c r="E20" s="31">
        <f>60+60+40</f>
        <v>160</v>
      </c>
      <c r="F20" s="31"/>
      <c r="G20" s="31"/>
      <c r="H20" s="31"/>
      <c r="I20" s="3"/>
      <c r="J20" s="38"/>
      <c r="K20" s="38"/>
      <c r="L20" s="38"/>
      <c r="M20" s="38"/>
      <c r="N20" s="6">
        <f t="shared" ref="N20:N30" si="4">SUM(B20:M20)</f>
        <v>490</v>
      </c>
      <c r="O20" s="22">
        <f t="shared" si="3"/>
        <v>10</v>
      </c>
      <c r="P20" s="27"/>
      <c r="Q20" s="5"/>
      <c r="R20" s="5"/>
    </row>
    <row r="21" spans="1:18" ht="15.75" customHeight="1" x14ac:dyDescent="0.2">
      <c r="A21" s="17" t="s">
        <v>23</v>
      </c>
      <c r="B21" s="3">
        <f>100+29+11</f>
        <v>140</v>
      </c>
      <c r="C21" s="3">
        <f>60+70+9</f>
        <v>139</v>
      </c>
      <c r="D21" s="3">
        <f>57+83</f>
        <v>140</v>
      </c>
      <c r="E21" s="31">
        <f xml:space="preserve"> 80+80+50</f>
        <v>210</v>
      </c>
      <c r="F21" s="31"/>
      <c r="G21" s="31"/>
      <c r="H21" s="31"/>
      <c r="I21" s="3"/>
      <c r="J21" s="38"/>
      <c r="K21" s="38"/>
      <c r="L21" s="38"/>
      <c r="M21" s="38"/>
      <c r="N21" s="6">
        <f t="shared" si="4"/>
        <v>629</v>
      </c>
      <c r="O21" s="22">
        <f t="shared" si="3"/>
        <v>1</v>
      </c>
    </row>
    <row r="22" spans="1:18" ht="15.75" customHeight="1" x14ac:dyDescent="0.2">
      <c r="A22" s="17" t="s">
        <v>14</v>
      </c>
      <c r="B22" s="3">
        <v>82</v>
      </c>
      <c r="C22" s="3">
        <f>80</f>
        <v>80</v>
      </c>
      <c r="D22" s="3">
        <f>80</f>
        <v>80</v>
      </c>
      <c r="E22" s="31">
        <f>79</f>
        <v>79</v>
      </c>
      <c r="F22" s="31"/>
      <c r="G22" s="31"/>
      <c r="H22" s="31"/>
      <c r="I22" s="3"/>
      <c r="J22" s="38"/>
      <c r="K22" s="38"/>
      <c r="L22" s="38"/>
      <c r="M22" s="38"/>
      <c r="N22" s="6">
        <f t="shared" si="4"/>
        <v>321</v>
      </c>
      <c r="O22" s="22">
        <f t="shared" si="3"/>
        <v>62</v>
      </c>
    </row>
    <row r="23" spans="1:18" ht="15.75" customHeight="1" x14ac:dyDescent="0.2">
      <c r="A23" s="17" t="s">
        <v>15</v>
      </c>
      <c r="B23" s="3">
        <v>50</v>
      </c>
      <c r="C23" s="3">
        <f>50</f>
        <v>50</v>
      </c>
      <c r="D23" s="3">
        <v>50</v>
      </c>
      <c r="E23" s="31">
        <v>70</v>
      </c>
      <c r="F23" s="31"/>
      <c r="G23" s="31"/>
      <c r="H23" s="31"/>
      <c r="I23" s="3"/>
      <c r="J23" s="38"/>
      <c r="K23" s="38"/>
      <c r="L23" s="38"/>
      <c r="M23" s="38"/>
      <c r="N23" s="6">
        <f t="shared" si="4"/>
        <v>220</v>
      </c>
      <c r="O23" s="22">
        <f t="shared" si="3"/>
        <v>0</v>
      </c>
      <c r="P23" s="28"/>
    </row>
    <row r="24" spans="1:18" ht="15.75" customHeight="1" x14ac:dyDescent="0.2">
      <c r="A24" s="17" t="s">
        <v>16</v>
      </c>
      <c r="B24" s="3">
        <f>50+32</f>
        <v>82</v>
      </c>
      <c r="C24" s="3">
        <f>58+3</f>
        <v>61</v>
      </c>
      <c r="D24" s="3">
        <v>99</v>
      </c>
      <c r="E24" s="31">
        <f>85+23</f>
        <v>108</v>
      </c>
      <c r="F24" s="31"/>
      <c r="G24" s="31"/>
      <c r="H24" s="31"/>
      <c r="I24" s="3"/>
      <c r="J24" s="38"/>
      <c r="K24" s="38"/>
      <c r="L24" s="38"/>
      <c r="M24" s="38"/>
      <c r="N24" s="6">
        <f t="shared" si="4"/>
        <v>350</v>
      </c>
      <c r="O24" s="22">
        <f t="shared" si="3"/>
        <v>3</v>
      </c>
    </row>
    <row r="25" spans="1:18" ht="15.75" customHeight="1" x14ac:dyDescent="0.2">
      <c r="A25" s="17" t="s">
        <v>17</v>
      </c>
      <c r="B25" s="3">
        <v>10</v>
      </c>
      <c r="C25" s="3">
        <v>10</v>
      </c>
      <c r="D25" s="3">
        <v>10</v>
      </c>
      <c r="E25" s="31"/>
      <c r="F25" s="31"/>
      <c r="G25" s="31"/>
      <c r="H25" s="31"/>
      <c r="I25" s="3"/>
      <c r="J25" s="38"/>
      <c r="K25" s="38"/>
      <c r="L25" s="38"/>
      <c r="M25" s="38"/>
      <c r="N25" s="6">
        <f t="shared" si="4"/>
        <v>30</v>
      </c>
      <c r="O25" s="22">
        <f t="shared" si="3"/>
        <v>20</v>
      </c>
    </row>
    <row r="26" spans="1:18" ht="15.75" customHeight="1" x14ac:dyDescent="0.2">
      <c r="A26" s="17" t="s">
        <v>18</v>
      </c>
      <c r="B26" s="3">
        <f>24+26</f>
        <v>50</v>
      </c>
      <c r="C26" s="3">
        <f>40+10</f>
        <v>50</v>
      </c>
      <c r="D26" s="3">
        <v>50</v>
      </c>
      <c r="E26" s="31">
        <f>55+25</f>
        <v>80</v>
      </c>
      <c r="F26" s="31"/>
      <c r="G26" s="31"/>
      <c r="H26" s="31"/>
      <c r="I26" s="3"/>
      <c r="J26" s="38"/>
      <c r="K26" s="38"/>
      <c r="L26" s="38"/>
      <c r="M26" s="38"/>
      <c r="N26" s="6">
        <f t="shared" si="4"/>
        <v>230</v>
      </c>
      <c r="O26" s="22">
        <f t="shared" si="3"/>
        <v>10</v>
      </c>
    </row>
    <row r="27" spans="1:18" ht="15.75" customHeight="1" x14ac:dyDescent="0.2">
      <c r="A27" s="17" t="s">
        <v>19</v>
      </c>
      <c r="B27" s="3">
        <v>30</v>
      </c>
      <c r="C27" s="3">
        <v>32</v>
      </c>
      <c r="D27" s="3">
        <f>27</f>
        <v>27</v>
      </c>
      <c r="E27" s="31">
        <v>52</v>
      </c>
      <c r="F27" s="31"/>
      <c r="G27" s="31"/>
      <c r="H27" s="31"/>
      <c r="I27" s="3"/>
      <c r="J27" s="38"/>
      <c r="K27" s="38"/>
      <c r="L27" s="38"/>
      <c r="M27" s="38"/>
      <c r="N27" s="6">
        <f t="shared" si="4"/>
        <v>141</v>
      </c>
      <c r="O27" s="22">
        <f t="shared" si="3"/>
        <v>2</v>
      </c>
      <c r="P27" s="28"/>
    </row>
    <row r="28" spans="1:18" ht="15.75" customHeight="1" x14ac:dyDescent="0.2">
      <c r="A28" s="17" t="s">
        <v>20</v>
      </c>
      <c r="B28" s="3">
        <v>60</v>
      </c>
      <c r="C28" s="3">
        <v>60</v>
      </c>
      <c r="D28" s="3">
        <f>60</f>
        <v>60</v>
      </c>
      <c r="E28" s="31">
        <f>16+74</f>
        <v>90</v>
      </c>
      <c r="F28" s="31"/>
      <c r="G28" s="31"/>
      <c r="H28" s="31"/>
      <c r="I28" s="3"/>
      <c r="J28" s="38"/>
      <c r="K28" s="38"/>
      <c r="L28" s="38"/>
      <c r="M28" s="38"/>
      <c r="N28" s="6">
        <f t="shared" si="4"/>
        <v>270</v>
      </c>
      <c r="O28" s="22">
        <f t="shared" si="3"/>
        <v>10</v>
      </c>
      <c r="P28" s="34"/>
    </row>
    <row r="29" spans="1:18" ht="15.75" customHeight="1" x14ac:dyDescent="0.2">
      <c r="A29" s="17" t="s">
        <v>21</v>
      </c>
      <c r="B29" s="3">
        <v>30</v>
      </c>
      <c r="C29" s="3">
        <v>30</v>
      </c>
      <c r="D29" s="3">
        <f>30</f>
        <v>30</v>
      </c>
      <c r="E29" s="31">
        <f>30+10</f>
        <v>40</v>
      </c>
      <c r="F29" s="31"/>
      <c r="G29" s="31"/>
      <c r="H29" s="31"/>
      <c r="I29" s="3"/>
      <c r="J29" s="38"/>
      <c r="K29" s="38"/>
      <c r="L29" s="38"/>
      <c r="M29" s="38"/>
      <c r="N29" s="6">
        <f t="shared" si="4"/>
        <v>130</v>
      </c>
      <c r="O29" s="22">
        <f t="shared" si="3"/>
        <v>0</v>
      </c>
    </row>
    <row r="30" spans="1:18" ht="15.75" customHeight="1" x14ac:dyDescent="0.2">
      <c r="A30" s="18" t="s">
        <v>22</v>
      </c>
      <c r="B30" s="4">
        <v>20</v>
      </c>
      <c r="C30" s="4">
        <v>20</v>
      </c>
      <c r="D30" s="4">
        <v>20</v>
      </c>
      <c r="E30" s="32">
        <v>40</v>
      </c>
      <c r="F30" s="32"/>
      <c r="G30" s="32"/>
      <c r="H30" s="32"/>
      <c r="I30" s="4"/>
      <c r="J30" s="39"/>
      <c r="K30" s="39"/>
      <c r="L30" s="39"/>
      <c r="M30" s="39"/>
      <c r="N30" s="4">
        <f t="shared" si="4"/>
        <v>100</v>
      </c>
      <c r="O30" s="23">
        <f t="shared" si="3"/>
        <v>0</v>
      </c>
    </row>
    <row r="31" spans="1:18" ht="21" x14ac:dyDescent="0.25">
      <c r="B31" s="25">
        <f t="shared" ref="B31:N31" si="5">B30+B29+B28+B27+B26+B25+B24+B23+B22+B21+B20+B19</f>
        <v>924</v>
      </c>
      <c r="C31" s="25">
        <f t="shared" si="5"/>
        <v>902</v>
      </c>
      <c r="D31" s="25">
        <f t="shared" si="5"/>
        <v>936</v>
      </c>
      <c r="E31" s="25">
        <f t="shared" si="5"/>
        <v>1289</v>
      </c>
      <c r="F31" s="25">
        <f t="shared" si="5"/>
        <v>0</v>
      </c>
      <c r="G31" s="25">
        <f t="shared" si="5"/>
        <v>0</v>
      </c>
      <c r="H31" s="25">
        <f t="shared" si="5"/>
        <v>0</v>
      </c>
      <c r="I31" s="25">
        <f t="shared" si="5"/>
        <v>0</v>
      </c>
      <c r="J31" s="25">
        <f t="shared" si="5"/>
        <v>0</v>
      </c>
      <c r="K31" s="25">
        <f t="shared" si="5"/>
        <v>0</v>
      </c>
      <c r="L31" s="25">
        <f t="shared" si="5"/>
        <v>0</v>
      </c>
      <c r="M31" s="25">
        <f t="shared" si="5"/>
        <v>0</v>
      </c>
      <c r="N31" s="40">
        <f t="shared" si="5"/>
        <v>4051</v>
      </c>
      <c r="O31" s="41">
        <f>O19+O20+O21+O22+O23+O24+O25+O26+O27+O28+O29+O30</f>
        <v>168</v>
      </c>
      <c r="P31" s="24"/>
    </row>
    <row r="33" spans="1:15" ht="16" x14ac:dyDescent="0.2">
      <c r="A33" s="2" t="s">
        <v>27</v>
      </c>
    </row>
    <row r="34" spans="1:15" ht="21" customHeight="1" x14ac:dyDescent="0.2">
      <c r="A34" s="92" t="s">
        <v>34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</row>
    <row r="35" spans="1:15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</row>
    <row r="36" spans="1:15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</row>
    <row r="37" spans="1:15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</row>
    <row r="38" spans="1:15" x14ac:dyDescent="0.2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</row>
    <row r="39" spans="1:15" x14ac:dyDescent="0.2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</row>
    <row r="40" spans="1:15" x14ac:dyDescent="0.2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</row>
    <row r="41" spans="1:15" x14ac:dyDescent="0.2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</row>
    <row r="42" spans="1:15" x14ac:dyDescent="0.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</row>
    <row r="43" spans="1:15" x14ac:dyDescent="0.2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</row>
    <row r="44" spans="1:15" x14ac:dyDescent="0.2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</row>
    <row r="45" spans="1:15" x14ac:dyDescent="0.2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</row>
    <row r="46" spans="1:15" x14ac:dyDescent="0.2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</row>
    <row r="47" spans="1:15" x14ac:dyDescent="0.2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48" spans="1:15" x14ac:dyDescent="0.2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</row>
  </sheetData>
  <mergeCells count="18">
    <mergeCell ref="A37:O37"/>
    <mergeCell ref="A36:O36"/>
    <mergeCell ref="A34:O34"/>
    <mergeCell ref="A1:Q1"/>
    <mergeCell ref="A2:Q2"/>
    <mergeCell ref="A17:O17"/>
    <mergeCell ref="A35:O35"/>
    <mergeCell ref="A38:O38"/>
    <mergeCell ref="A39:O39"/>
    <mergeCell ref="A40:O40"/>
    <mergeCell ref="A41:O41"/>
    <mergeCell ref="A42:O42"/>
    <mergeCell ref="A46:O46"/>
    <mergeCell ref="A47:O47"/>
    <mergeCell ref="A48:O48"/>
    <mergeCell ref="A43:O43"/>
    <mergeCell ref="A44:O44"/>
    <mergeCell ref="A45:O45"/>
  </mergeCells>
  <pageMargins left="0.24" right="0.16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8"/>
  <sheetViews>
    <sheetView tabSelected="1" workbookViewId="0">
      <selection activeCell="T22" sqref="T22"/>
    </sheetView>
  </sheetViews>
  <sheetFormatPr baseColWidth="10" defaultColWidth="8.83203125" defaultRowHeight="15" x14ac:dyDescent="0.2"/>
  <cols>
    <col min="1" max="1" width="16.5" customWidth="1"/>
    <col min="2" max="4" width="8.5" customWidth="1"/>
    <col min="5" max="8" width="8.5" style="33" customWidth="1"/>
    <col min="9" max="13" width="8.5" customWidth="1"/>
    <col min="14" max="14" width="10.5" customWidth="1"/>
    <col min="15" max="16" width="8.83203125" customWidth="1"/>
    <col min="17" max="17" width="10" customWidth="1"/>
    <col min="18" max="18" width="5.5" customWidth="1"/>
    <col min="19" max="21" width="7.5" customWidth="1"/>
  </cols>
  <sheetData>
    <row r="1" spans="1:23" ht="19" x14ac:dyDescent="0.25">
      <c r="A1" s="89" t="s">
        <v>37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23" ht="16" x14ac:dyDescent="0.2">
      <c r="A2" s="90" t="s">
        <v>42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1:23" ht="48" customHeight="1" x14ac:dyDescent="0.2">
      <c r="A3" s="15" t="s">
        <v>25</v>
      </c>
      <c r="B3" s="15" t="s">
        <v>0</v>
      </c>
      <c r="C3" s="15" t="s">
        <v>1</v>
      </c>
      <c r="D3" s="15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15" t="s">
        <v>7</v>
      </c>
      <c r="J3" s="36" t="s">
        <v>8</v>
      </c>
      <c r="K3" s="36" t="s">
        <v>9</v>
      </c>
      <c r="L3" s="36" t="s">
        <v>10</v>
      </c>
      <c r="M3" s="36" t="s">
        <v>11</v>
      </c>
      <c r="N3" s="15" t="s">
        <v>31</v>
      </c>
      <c r="O3" s="7" t="s">
        <v>32</v>
      </c>
      <c r="P3" s="11" t="s">
        <v>28</v>
      </c>
      <c r="Q3" s="14" t="s">
        <v>29</v>
      </c>
      <c r="R3" s="35" t="s">
        <v>33</v>
      </c>
      <c r="S3" s="79" t="s">
        <v>38</v>
      </c>
      <c r="T3" s="7" t="s">
        <v>39</v>
      </c>
      <c r="U3" s="80" t="s">
        <v>40</v>
      </c>
      <c r="V3" s="7" t="s">
        <v>41</v>
      </c>
      <c r="W3" s="83"/>
    </row>
    <row r="4" spans="1:23" ht="15.75" customHeight="1" x14ac:dyDescent="0.2">
      <c r="A4" s="16" t="s">
        <v>12</v>
      </c>
      <c r="B4" s="6">
        <v>260</v>
      </c>
      <c r="C4" s="6">
        <v>260</v>
      </c>
      <c r="D4" s="6">
        <f>100+60+100</f>
        <v>260</v>
      </c>
      <c r="E4" s="48">
        <v>200</v>
      </c>
      <c r="F4" s="48">
        <v>200</v>
      </c>
      <c r="G4" s="48">
        <f>10+190</f>
        <v>200</v>
      </c>
      <c r="H4" s="48">
        <f>10+190</f>
        <v>200</v>
      </c>
      <c r="I4" s="22">
        <v>200</v>
      </c>
      <c r="J4" s="51">
        <v>200</v>
      </c>
      <c r="K4" s="51"/>
      <c r="L4" s="51"/>
      <c r="M4" s="51"/>
      <c r="N4" s="56">
        <f>B4+C4+D4+E4+F4+G4+H4+I4+J4+K4+L4+M4</f>
        <v>1980</v>
      </c>
      <c r="O4" s="58">
        <v>200</v>
      </c>
      <c r="P4" s="53">
        <v>2580</v>
      </c>
      <c r="Q4" s="61">
        <f>P4-N4</f>
        <v>600</v>
      </c>
      <c r="R4" s="42"/>
      <c r="S4" s="63">
        <v>410</v>
      </c>
      <c r="T4" s="63">
        <f>S4-F4-E4</f>
        <v>10</v>
      </c>
      <c r="U4" s="63">
        <v>190</v>
      </c>
      <c r="V4" s="63">
        <f>U4+T4</f>
        <v>200</v>
      </c>
      <c r="W4" s="81"/>
    </row>
    <row r="5" spans="1:23" ht="15.75" customHeight="1" x14ac:dyDescent="0.2">
      <c r="A5" s="17" t="s">
        <v>13</v>
      </c>
      <c r="B5" s="3">
        <v>110</v>
      </c>
      <c r="C5" s="3">
        <v>110</v>
      </c>
      <c r="D5" s="3">
        <f>50+60</f>
        <v>110</v>
      </c>
      <c r="E5" s="22">
        <f>170</f>
        <v>170</v>
      </c>
      <c r="F5" s="22">
        <v>10</v>
      </c>
      <c r="G5" s="22">
        <v>90</v>
      </c>
      <c r="H5" s="22">
        <v>90</v>
      </c>
      <c r="I5" s="22">
        <v>90</v>
      </c>
      <c r="J5" s="47">
        <v>90</v>
      </c>
      <c r="K5" s="47"/>
      <c r="L5" s="47"/>
      <c r="M5" s="47"/>
      <c r="N5" s="56">
        <f t="shared" ref="N5:N15" si="0">B5+C5+D5+E5+F5+G5+H5+I5+J5+K5+L5+M5</f>
        <v>870</v>
      </c>
      <c r="O5" s="59">
        <v>90</v>
      </c>
      <c r="P5" s="54">
        <v>1140</v>
      </c>
      <c r="Q5" s="61">
        <f t="shared" ref="Q5:Q15" si="1">P5-N5</f>
        <v>270</v>
      </c>
      <c r="R5" s="43"/>
      <c r="S5" s="64">
        <v>170</v>
      </c>
      <c r="T5" s="65">
        <f t="shared" ref="T5:T15" si="2">S5-F5-E5</f>
        <v>-10</v>
      </c>
      <c r="U5" s="64">
        <v>100</v>
      </c>
      <c r="V5" s="63">
        <f t="shared" ref="V5:V15" si="3">U5+T5</f>
        <v>90</v>
      </c>
      <c r="W5" s="81"/>
    </row>
    <row r="6" spans="1:23" ht="15.75" customHeight="1" x14ac:dyDescent="0.2">
      <c r="A6" s="17" t="s">
        <v>23</v>
      </c>
      <c r="B6" s="3">
        <v>140</v>
      </c>
      <c r="C6" s="3">
        <v>140</v>
      </c>
      <c r="D6" s="3">
        <f>40+100</f>
        <v>140</v>
      </c>
      <c r="E6" s="47">
        <v>100</v>
      </c>
      <c r="F6" s="47">
        <v>100</v>
      </c>
      <c r="G6" s="22">
        <f>10+90</f>
        <v>100</v>
      </c>
      <c r="H6" s="47">
        <v>100</v>
      </c>
      <c r="I6" s="22">
        <v>100</v>
      </c>
      <c r="J6" s="47">
        <v>100</v>
      </c>
      <c r="K6" s="47"/>
      <c r="L6" s="47"/>
      <c r="M6" s="47"/>
      <c r="N6" s="56">
        <f t="shared" si="0"/>
        <v>1020</v>
      </c>
      <c r="O6" s="59">
        <v>100</v>
      </c>
      <c r="P6" s="54">
        <v>1320</v>
      </c>
      <c r="Q6" s="61">
        <f t="shared" si="1"/>
        <v>300</v>
      </c>
      <c r="R6" s="42"/>
      <c r="S6" s="63">
        <v>210</v>
      </c>
      <c r="T6" s="63">
        <f t="shared" si="2"/>
        <v>10</v>
      </c>
      <c r="U6" s="63">
        <v>90</v>
      </c>
      <c r="V6" s="63">
        <f t="shared" si="3"/>
        <v>100</v>
      </c>
      <c r="W6" s="81"/>
    </row>
    <row r="7" spans="1:23" ht="15.75" customHeight="1" x14ac:dyDescent="0.2">
      <c r="A7" s="85" t="s">
        <v>14</v>
      </c>
      <c r="B7" s="69">
        <v>80</v>
      </c>
      <c r="C7" s="69">
        <v>80</v>
      </c>
      <c r="D7" s="69">
        <f>30+50</f>
        <v>80</v>
      </c>
      <c r="E7" s="47">
        <v>70</v>
      </c>
      <c r="F7" s="47">
        <v>70</v>
      </c>
      <c r="G7" s="47">
        <v>70</v>
      </c>
      <c r="H7" s="47">
        <v>70</v>
      </c>
      <c r="I7" s="47">
        <v>70</v>
      </c>
      <c r="J7" s="47">
        <v>70</v>
      </c>
      <c r="K7" s="47"/>
      <c r="L7" s="47"/>
      <c r="M7" s="47"/>
      <c r="N7" s="56">
        <f t="shared" si="0"/>
        <v>660</v>
      </c>
      <c r="O7" s="70">
        <v>70</v>
      </c>
      <c r="P7" s="71">
        <v>870</v>
      </c>
      <c r="Q7" s="72">
        <f t="shared" si="1"/>
        <v>210</v>
      </c>
      <c r="R7" s="73">
        <v>3</v>
      </c>
      <c r="S7" s="82">
        <v>140</v>
      </c>
      <c r="T7" s="87">
        <f t="shared" si="2"/>
        <v>0</v>
      </c>
      <c r="U7" s="63">
        <v>70</v>
      </c>
      <c r="V7" s="63">
        <f t="shared" si="3"/>
        <v>70</v>
      </c>
      <c r="W7" s="81"/>
    </row>
    <row r="8" spans="1:23" ht="15.75" customHeight="1" x14ac:dyDescent="0.2">
      <c r="A8" s="85" t="s">
        <v>15</v>
      </c>
      <c r="B8" s="3">
        <v>50</v>
      </c>
      <c r="C8" s="3">
        <v>50</v>
      </c>
      <c r="D8" s="3">
        <f>10+40</f>
        <v>50</v>
      </c>
      <c r="E8" s="22">
        <v>30</v>
      </c>
      <c r="F8" s="22">
        <v>30</v>
      </c>
      <c r="G8" s="22">
        <f>10+20</f>
        <v>30</v>
      </c>
      <c r="H8" s="22">
        <v>30</v>
      </c>
      <c r="I8" s="22">
        <v>30</v>
      </c>
      <c r="J8" s="47">
        <v>30</v>
      </c>
      <c r="K8" s="47"/>
      <c r="L8" s="47"/>
      <c r="M8" s="47"/>
      <c r="N8" s="56">
        <f t="shared" si="0"/>
        <v>330</v>
      </c>
      <c r="O8" s="59">
        <v>30</v>
      </c>
      <c r="P8" s="54">
        <v>420</v>
      </c>
      <c r="Q8" s="61">
        <f t="shared" si="1"/>
        <v>90</v>
      </c>
      <c r="R8" s="43"/>
      <c r="S8" s="66">
        <v>70</v>
      </c>
      <c r="T8" s="63">
        <f t="shared" si="2"/>
        <v>10</v>
      </c>
      <c r="U8" s="63">
        <v>20</v>
      </c>
      <c r="V8" s="63">
        <f t="shared" si="3"/>
        <v>30</v>
      </c>
      <c r="W8" s="81"/>
    </row>
    <row r="9" spans="1:23" ht="15.75" customHeight="1" x14ac:dyDescent="0.2">
      <c r="A9" s="85" t="s">
        <v>16</v>
      </c>
      <c r="B9" s="3">
        <v>80</v>
      </c>
      <c r="C9" s="3">
        <v>80</v>
      </c>
      <c r="D9" s="3">
        <f>30+50</f>
        <v>80</v>
      </c>
      <c r="E9" s="22">
        <v>50</v>
      </c>
      <c r="F9" s="22">
        <v>50</v>
      </c>
      <c r="G9" s="22">
        <f>10+40</f>
        <v>50</v>
      </c>
      <c r="H9" s="22">
        <v>50</v>
      </c>
      <c r="I9" s="22">
        <v>50</v>
      </c>
      <c r="J9" s="47">
        <v>50</v>
      </c>
      <c r="K9" s="47"/>
      <c r="L9" s="47"/>
      <c r="M9" s="47"/>
      <c r="N9" s="56">
        <f t="shared" si="0"/>
        <v>540</v>
      </c>
      <c r="O9" s="59">
        <v>50</v>
      </c>
      <c r="P9" s="54">
        <v>690</v>
      </c>
      <c r="Q9" s="61">
        <f t="shared" si="1"/>
        <v>150</v>
      </c>
      <c r="R9" s="25">
        <v>3</v>
      </c>
      <c r="S9" s="63">
        <v>110</v>
      </c>
      <c r="T9" s="63">
        <f t="shared" si="2"/>
        <v>10</v>
      </c>
      <c r="U9" s="63">
        <v>40</v>
      </c>
      <c r="V9" s="63">
        <f t="shared" si="3"/>
        <v>50</v>
      </c>
      <c r="W9" s="84"/>
    </row>
    <row r="10" spans="1:23" ht="15.75" customHeight="1" x14ac:dyDescent="0.2">
      <c r="A10" s="85" t="s">
        <v>17</v>
      </c>
      <c r="B10" s="69">
        <v>10</v>
      </c>
      <c r="C10" s="69">
        <v>10</v>
      </c>
      <c r="D10" s="69">
        <v>10</v>
      </c>
      <c r="E10" s="47">
        <v>10</v>
      </c>
      <c r="F10" s="47">
        <v>10</v>
      </c>
      <c r="G10" s="47">
        <v>10</v>
      </c>
      <c r="H10" s="47">
        <v>10</v>
      </c>
      <c r="I10" s="47">
        <v>10</v>
      </c>
      <c r="J10" s="47">
        <v>10</v>
      </c>
      <c r="K10" s="47"/>
      <c r="L10" s="47"/>
      <c r="M10" s="47"/>
      <c r="N10" s="56">
        <f t="shared" si="0"/>
        <v>90</v>
      </c>
      <c r="O10" s="70">
        <v>10</v>
      </c>
      <c r="P10" s="71">
        <v>120</v>
      </c>
      <c r="Q10" s="72">
        <f t="shared" si="1"/>
        <v>30</v>
      </c>
      <c r="R10" s="74"/>
      <c r="S10" s="82">
        <v>20</v>
      </c>
      <c r="T10" s="87">
        <f t="shared" si="2"/>
        <v>0</v>
      </c>
      <c r="U10" s="63">
        <v>10</v>
      </c>
      <c r="V10" s="63">
        <f t="shared" si="3"/>
        <v>10</v>
      </c>
      <c r="W10" s="81"/>
    </row>
    <row r="11" spans="1:23" ht="15.75" customHeight="1" x14ac:dyDescent="0.2">
      <c r="A11" s="85" t="s">
        <v>18</v>
      </c>
      <c r="B11" s="3">
        <v>50</v>
      </c>
      <c r="C11" s="3">
        <v>50</v>
      </c>
      <c r="D11" s="3">
        <f>20+30</f>
        <v>50</v>
      </c>
      <c r="E11" s="22">
        <v>40</v>
      </c>
      <c r="F11" s="22">
        <v>40</v>
      </c>
      <c r="G11" s="22">
        <f>10+30</f>
        <v>40</v>
      </c>
      <c r="H11" s="22">
        <f>10+30</f>
        <v>40</v>
      </c>
      <c r="I11" s="22">
        <v>40</v>
      </c>
      <c r="J11" s="47">
        <v>40</v>
      </c>
      <c r="K11" s="47"/>
      <c r="L11" s="47"/>
      <c r="M11" s="47"/>
      <c r="N11" s="56">
        <f t="shared" si="0"/>
        <v>390</v>
      </c>
      <c r="O11" s="59">
        <v>40</v>
      </c>
      <c r="P11" s="54">
        <v>510</v>
      </c>
      <c r="Q11" s="61">
        <f t="shared" si="1"/>
        <v>120</v>
      </c>
      <c r="R11" s="42"/>
      <c r="S11" s="63">
        <v>90</v>
      </c>
      <c r="T11" s="63">
        <f t="shared" si="2"/>
        <v>10</v>
      </c>
      <c r="U11" s="63">
        <v>30</v>
      </c>
      <c r="V11" s="63">
        <f t="shared" si="3"/>
        <v>40</v>
      </c>
      <c r="W11" s="81"/>
    </row>
    <row r="12" spans="1:23" ht="15.75" customHeight="1" x14ac:dyDescent="0.2">
      <c r="A12" s="85" t="s">
        <v>19</v>
      </c>
      <c r="B12" s="3">
        <v>30</v>
      </c>
      <c r="C12" s="3">
        <v>30</v>
      </c>
      <c r="D12" s="3">
        <f>10+20</f>
        <v>30</v>
      </c>
      <c r="E12" s="22">
        <v>20</v>
      </c>
      <c r="F12" s="22">
        <v>20</v>
      </c>
      <c r="G12" s="22">
        <f>10+10</f>
        <v>20</v>
      </c>
      <c r="H12" s="22">
        <v>20</v>
      </c>
      <c r="I12" s="22">
        <v>20</v>
      </c>
      <c r="J12" s="47">
        <v>20</v>
      </c>
      <c r="K12" s="47"/>
      <c r="L12" s="47"/>
      <c r="M12" s="47"/>
      <c r="N12" s="56">
        <f t="shared" si="0"/>
        <v>210</v>
      </c>
      <c r="O12" s="59">
        <v>20</v>
      </c>
      <c r="P12" s="54">
        <v>270</v>
      </c>
      <c r="Q12" s="61">
        <f t="shared" si="1"/>
        <v>60</v>
      </c>
      <c r="R12" s="25">
        <v>3</v>
      </c>
      <c r="S12" s="63">
        <v>50</v>
      </c>
      <c r="T12" s="63">
        <f t="shared" si="2"/>
        <v>10</v>
      </c>
      <c r="U12" s="63">
        <v>10</v>
      </c>
      <c r="V12" s="63">
        <f t="shared" si="3"/>
        <v>20</v>
      </c>
      <c r="W12" s="84"/>
    </row>
    <row r="13" spans="1:23" ht="15.75" customHeight="1" x14ac:dyDescent="0.2">
      <c r="A13" s="85" t="s">
        <v>20</v>
      </c>
      <c r="B13" s="3">
        <v>60</v>
      </c>
      <c r="C13" s="3">
        <v>60</v>
      </c>
      <c r="D13" s="3">
        <f>20+40</f>
        <v>60</v>
      </c>
      <c r="E13" s="22">
        <v>50</v>
      </c>
      <c r="F13" s="22">
        <f>40+10</f>
        <v>50</v>
      </c>
      <c r="G13" s="22">
        <v>50</v>
      </c>
      <c r="H13" s="22">
        <f>10+40</f>
        <v>50</v>
      </c>
      <c r="I13" s="22">
        <v>50</v>
      </c>
      <c r="J13" s="47">
        <v>50</v>
      </c>
      <c r="K13" s="47"/>
      <c r="L13" s="47"/>
      <c r="M13" s="47"/>
      <c r="N13" s="56">
        <f t="shared" si="0"/>
        <v>480</v>
      </c>
      <c r="O13" s="59">
        <v>50</v>
      </c>
      <c r="P13" s="54">
        <v>630</v>
      </c>
      <c r="Q13" s="61">
        <f t="shared" si="1"/>
        <v>150</v>
      </c>
      <c r="R13" s="42"/>
      <c r="S13" s="63">
        <v>100</v>
      </c>
      <c r="T13" s="65">
        <f t="shared" si="2"/>
        <v>0</v>
      </c>
      <c r="U13" s="63">
        <v>50</v>
      </c>
      <c r="V13" s="63">
        <f t="shared" si="3"/>
        <v>50</v>
      </c>
      <c r="W13" s="81"/>
    </row>
    <row r="14" spans="1:23" ht="15.75" customHeight="1" x14ac:dyDescent="0.2">
      <c r="A14" s="85" t="s">
        <v>21</v>
      </c>
      <c r="B14" s="69">
        <v>30</v>
      </c>
      <c r="C14" s="69">
        <v>30</v>
      </c>
      <c r="D14" s="69">
        <f>10+20</f>
        <v>30</v>
      </c>
      <c r="E14" s="47">
        <v>20</v>
      </c>
      <c r="F14" s="47">
        <v>20</v>
      </c>
      <c r="G14" s="47">
        <v>20</v>
      </c>
      <c r="H14" s="47">
        <f>10+10</f>
        <v>20</v>
      </c>
      <c r="I14" s="47">
        <v>20</v>
      </c>
      <c r="J14" s="47">
        <v>20</v>
      </c>
      <c r="K14" s="47"/>
      <c r="L14" s="47"/>
      <c r="M14" s="47"/>
      <c r="N14" s="56">
        <f t="shared" si="0"/>
        <v>210</v>
      </c>
      <c r="O14" s="70">
        <v>20</v>
      </c>
      <c r="P14" s="71">
        <v>270</v>
      </c>
      <c r="Q14" s="72">
        <f t="shared" si="1"/>
        <v>60</v>
      </c>
      <c r="R14" s="74"/>
      <c r="S14" s="82">
        <v>40</v>
      </c>
      <c r="T14" s="87">
        <f t="shared" si="2"/>
        <v>0</v>
      </c>
      <c r="U14" s="63">
        <v>20</v>
      </c>
      <c r="V14" s="63">
        <f t="shared" si="3"/>
        <v>20</v>
      </c>
      <c r="W14" s="81"/>
    </row>
    <row r="15" spans="1:23" ht="15.75" customHeight="1" x14ac:dyDescent="0.2">
      <c r="A15" s="86" t="s">
        <v>22</v>
      </c>
      <c r="B15" s="75">
        <v>20</v>
      </c>
      <c r="C15" s="75">
        <v>20</v>
      </c>
      <c r="D15" s="75">
        <v>20</v>
      </c>
      <c r="E15" s="52">
        <v>20</v>
      </c>
      <c r="F15" s="52">
        <v>20</v>
      </c>
      <c r="G15" s="52">
        <v>20</v>
      </c>
      <c r="H15" s="52">
        <f>10+10</f>
        <v>20</v>
      </c>
      <c r="I15" s="52">
        <v>20</v>
      </c>
      <c r="J15" s="52">
        <v>20</v>
      </c>
      <c r="K15" s="52"/>
      <c r="L15" s="52"/>
      <c r="M15" s="52"/>
      <c r="N15" s="56">
        <f t="shared" si="0"/>
        <v>180</v>
      </c>
      <c r="O15" s="76">
        <v>20</v>
      </c>
      <c r="P15" s="77">
        <v>240</v>
      </c>
      <c r="Q15" s="78">
        <f t="shared" si="1"/>
        <v>60</v>
      </c>
      <c r="R15" s="74"/>
      <c r="S15" s="82">
        <v>40</v>
      </c>
      <c r="T15" s="87">
        <f t="shared" si="2"/>
        <v>0</v>
      </c>
      <c r="U15" s="63">
        <v>20</v>
      </c>
      <c r="V15" s="63">
        <f t="shared" si="3"/>
        <v>20</v>
      </c>
      <c r="W15" s="81"/>
    </row>
    <row r="16" spans="1:23" ht="15.75" customHeight="1" x14ac:dyDescent="0.25">
      <c r="B16" s="1">
        <f>B15+B14+B13+B12+B11+B10+B9+B8+B7+B6+B5+B4</f>
        <v>920</v>
      </c>
      <c r="C16" s="1">
        <f t="shared" ref="C16:N16" si="4">C15+C14+C13+C12+C11+C10+C9+C8+C7+C6+C5+C4</f>
        <v>920</v>
      </c>
      <c r="D16" s="1">
        <f t="shared" si="4"/>
        <v>920</v>
      </c>
      <c r="E16" s="49">
        <f t="shared" si="4"/>
        <v>780</v>
      </c>
      <c r="F16" s="41">
        <f t="shared" si="4"/>
        <v>620</v>
      </c>
      <c r="G16" s="41">
        <f>G15+G14+G13+G12+G11+G10+G9+G8+G7+G6+G5+G4</f>
        <v>700</v>
      </c>
      <c r="H16" s="41">
        <f t="shared" si="4"/>
        <v>700</v>
      </c>
      <c r="I16" s="41">
        <f t="shared" si="4"/>
        <v>700</v>
      </c>
      <c r="J16" s="41">
        <f t="shared" si="4"/>
        <v>700</v>
      </c>
      <c r="K16" s="41">
        <f t="shared" si="4"/>
        <v>0</v>
      </c>
      <c r="L16" s="41">
        <f>L15+L14+L13+L12+L11+L10+L9+L8+L7+L6+L5+L4</f>
        <v>0</v>
      </c>
      <c r="M16" s="41">
        <f t="shared" si="4"/>
        <v>0</v>
      </c>
      <c r="N16" s="57">
        <f>N15+N14+N13+N12+N11+N10+N9+N8+N7+N6+N5+N4</f>
        <v>6960</v>
      </c>
      <c r="O16" s="60">
        <f>SUM(O4:O15)</f>
        <v>700</v>
      </c>
      <c r="P16" s="55">
        <f>P4+P5+P6+P7+P8+P9+P10+P11+P12+P13+P14+P15</f>
        <v>9060</v>
      </c>
      <c r="Q16" s="62">
        <f>P16-N16</f>
        <v>2100</v>
      </c>
      <c r="R16" s="5"/>
      <c r="S16" s="68">
        <f>SUM(S4:S15)</f>
        <v>1450</v>
      </c>
      <c r="T16" s="63">
        <f>SUM(T4:T15)</f>
        <v>50</v>
      </c>
      <c r="U16" s="67">
        <f>SUM(U4:U15)</f>
        <v>650</v>
      </c>
      <c r="V16" s="88">
        <f>SUM(V4:V15)</f>
        <v>700</v>
      </c>
      <c r="W16" s="28"/>
    </row>
    <row r="17" spans="1:24" ht="15.75" customHeight="1" x14ac:dyDescent="0.2">
      <c r="A17" s="91" t="s">
        <v>24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</row>
    <row r="18" spans="1:24" ht="15.75" customHeight="1" x14ac:dyDescent="0.2">
      <c r="A18" s="15" t="s">
        <v>25</v>
      </c>
      <c r="B18" s="15" t="s">
        <v>0</v>
      </c>
      <c r="C18" s="15" t="s">
        <v>1</v>
      </c>
      <c r="D18" s="15" t="s">
        <v>2</v>
      </c>
      <c r="E18" s="29" t="s">
        <v>3</v>
      </c>
      <c r="F18" s="29" t="s">
        <v>4</v>
      </c>
      <c r="G18" s="29" t="s">
        <v>5</v>
      </c>
      <c r="H18" s="29" t="s">
        <v>6</v>
      </c>
      <c r="I18" s="15" t="s">
        <v>7</v>
      </c>
      <c r="J18" s="15" t="s">
        <v>8</v>
      </c>
      <c r="K18" s="15" t="s">
        <v>9</v>
      </c>
      <c r="L18" s="15" t="s">
        <v>10</v>
      </c>
      <c r="M18" s="15" t="s">
        <v>11</v>
      </c>
      <c r="N18" s="15" t="s">
        <v>30</v>
      </c>
      <c r="O18" s="15" t="s">
        <v>26</v>
      </c>
      <c r="S18" s="5"/>
      <c r="T18" s="5"/>
      <c r="U18" s="5"/>
      <c r="V18" s="5"/>
    </row>
    <row r="19" spans="1:24" ht="15.75" customHeight="1" x14ac:dyDescent="0.2">
      <c r="A19" s="16" t="s">
        <v>12</v>
      </c>
      <c r="B19" s="6">
        <f>24+80+72+72+12</f>
        <v>260</v>
      </c>
      <c r="C19" s="6">
        <f>77+92+40+51</f>
        <v>260</v>
      </c>
      <c r="D19" s="6">
        <f>94+49+63+48+6</f>
        <v>260</v>
      </c>
      <c r="E19" s="30">
        <f>32+64+40+67+151+6</f>
        <v>360</v>
      </c>
      <c r="F19" s="30">
        <f>50+34+42+70+38+6</f>
        <v>240</v>
      </c>
      <c r="G19" s="30"/>
      <c r="H19" s="30">
        <f>38+30+74+45+13</f>
        <v>200</v>
      </c>
      <c r="I19" s="6">
        <f>37+41+53+69</f>
        <v>200</v>
      </c>
      <c r="J19" s="37"/>
      <c r="K19" s="37"/>
      <c r="L19" s="37"/>
      <c r="M19" s="37"/>
      <c r="N19" s="6">
        <f>SUM(B19:M19)</f>
        <v>1780</v>
      </c>
      <c r="O19" s="21">
        <f t="shared" ref="O19:O30" si="5">N4-N19</f>
        <v>200</v>
      </c>
      <c r="Q19" s="5"/>
      <c r="R19" s="5"/>
      <c r="S19" s="5"/>
      <c r="T19" s="5"/>
      <c r="U19" s="5"/>
      <c r="V19" s="5"/>
      <c r="W19" s="5"/>
      <c r="X19" s="5"/>
    </row>
    <row r="20" spans="1:24" ht="15.75" customHeight="1" x14ac:dyDescent="0.2">
      <c r="A20" s="17" t="s">
        <v>13</v>
      </c>
      <c r="B20" s="3">
        <f>50+60</f>
        <v>110</v>
      </c>
      <c r="C20" s="3">
        <f>38+72</f>
        <v>110</v>
      </c>
      <c r="D20" s="3">
        <f>100+10</f>
        <v>110</v>
      </c>
      <c r="E20" s="31">
        <f>60+60+40+10</f>
        <v>170</v>
      </c>
      <c r="F20" s="31">
        <f>10</f>
        <v>10</v>
      </c>
      <c r="G20" s="31">
        <v>90</v>
      </c>
      <c r="H20" s="31">
        <v>90</v>
      </c>
      <c r="I20" s="3">
        <v>90</v>
      </c>
      <c r="J20" s="38"/>
      <c r="K20" s="38"/>
      <c r="L20" s="38"/>
      <c r="M20" s="38"/>
      <c r="N20" s="6">
        <f t="shared" ref="N20:N30" si="6">SUM(B20:M20)</f>
        <v>780</v>
      </c>
      <c r="O20" s="22">
        <f t="shared" si="5"/>
        <v>90</v>
      </c>
      <c r="P20" s="27"/>
      <c r="Q20" s="5"/>
      <c r="R20" s="5"/>
    </row>
    <row r="21" spans="1:24" ht="15.75" customHeight="1" x14ac:dyDescent="0.2">
      <c r="A21" s="17" t="s">
        <v>23</v>
      </c>
      <c r="B21" s="3">
        <f>100+29+11</f>
        <v>140</v>
      </c>
      <c r="C21" s="3">
        <f>60+70+9</f>
        <v>139</v>
      </c>
      <c r="D21" s="3">
        <f>57+83</f>
        <v>140</v>
      </c>
      <c r="E21" s="31">
        <f xml:space="preserve"> 80+80+50</f>
        <v>210</v>
      </c>
      <c r="F21" s="31"/>
      <c r="G21" s="31">
        <v>84</v>
      </c>
      <c r="H21" s="31">
        <f>30+76</f>
        <v>106</v>
      </c>
      <c r="I21" s="3">
        <f>50+40+10</f>
        <v>100</v>
      </c>
      <c r="J21" s="38"/>
      <c r="K21" s="38"/>
      <c r="L21" s="38"/>
      <c r="M21" s="38"/>
      <c r="N21" s="6">
        <f t="shared" si="6"/>
        <v>919</v>
      </c>
      <c r="O21" s="22">
        <f t="shared" si="5"/>
        <v>101</v>
      </c>
    </row>
    <row r="22" spans="1:24" ht="15.75" customHeight="1" x14ac:dyDescent="0.2">
      <c r="A22" s="17" t="s">
        <v>14</v>
      </c>
      <c r="B22" s="3">
        <v>82</v>
      </c>
      <c r="C22" s="3">
        <f>80</f>
        <v>80</v>
      </c>
      <c r="D22" s="3">
        <f>80</f>
        <v>80</v>
      </c>
      <c r="E22" s="31">
        <f>79</f>
        <v>79</v>
      </c>
      <c r="F22" s="31">
        <f>62</f>
        <v>62</v>
      </c>
      <c r="G22" s="31">
        <v>70</v>
      </c>
      <c r="H22" s="31">
        <v>70</v>
      </c>
      <c r="I22" s="3">
        <v>67</v>
      </c>
      <c r="J22" s="38"/>
      <c r="K22" s="38"/>
      <c r="L22" s="38"/>
      <c r="M22" s="38"/>
      <c r="N22" s="6">
        <f t="shared" si="6"/>
        <v>590</v>
      </c>
      <c r="O22" s="22">
        <f t="shared" si="5"/>
        <v>70</v>
      </c>
    </row>
    <row r="23" spans="1:24" ht="15.75" customHeight="1" x14ac:dyDescent="0.2">
      <c r="A23" s="17" t="s">
        <v>15</v>
      </c>
      <c r="B23" s="3">
        <v>50</v>
      </c>
      <c r="C23" s="3">
        <f>50</f>
        <v>50</v>
      </c>
      <c r="D23" s="3">
        <v>50</v>
      </c>
      <c r="E23" s="31">
        <v>70</v>
      </c>
      <c r="F23" s="31"/>
      <c r="G23" s="31">
        <v>20</v>
      </c>
      <c r="H23" s="31">
        <v>30</v>
      </c>
      <c r="I23" s="3">
        <v>30</v>
      </c>
      <c r="J23" s="69">
        <v>30</v>
      </c>
      <c r="K23" s="38"/>
      <c r="L23" s="38"/>
      <c r="M23" s="38"/>
      <c r="N23" s="6">
        <f t="shared" si="6"/>
        <v>330</v>
      </c>
      <c r="O23" s="22">
        <f t="shared" si="5"/>
        <v>0</v>
      </c>
      <c r="P23" s="28"/>
    </row>
    <row r="24" spans="1:24" ht="15.75" customHeight="1" x14ac:dyDescent="0.2">
      <c r="A24" s="17" t="s">
        <v>16</v>
      </c>
      <c r="B24" s="3">
        <f>50+32</f>
        <v>82</v>
      </c>
      <c r="C24" s="3">
        <f>58+3</f>
        <v>61</v>
      </c>
      <c r="D24" s="3">
        <v>99</v>
      </c>
      <c r="E24" s="31">
        <f>85+23</f>
        <v>108</v>
      </c>
      <c r="F24" s="31">
        <f>41</f>
        <v>41</v>
      </c>
      <c r="G24" s="31"/>
      <c r="H24" s="31">
        <f>47</f>
        <v>47</v>
      </c>
      <c r="I24" s="3">
        <v>55</v>
      </c>
      <c r="J24" s="38"/>
      <c r="K24" s="38"/>
      <c r="L24" s="38"/>
      <c r="M24" s="38"/>
      <c r="N24" s="6">
        <f t="shared" si="6"/>
        <v>493</v>
      </c>
      <c r="O24" s="22">
        <f t="shared" si="5"/>
        <v>47</v>
      </c>
    </row>
    <row r="25" spans="1:24" ht="15.75" customHeight="1" x14ac:dyDescent="0.2">
      <c r="A25" s="17" t="s">
        <v>17</v>
      </c>
      <c r="B25" s="3">
        <v>10</v>
      </c>
      <c r="C25" s="3">
        <v>10</v>
      </c>
      <c r="D25" s="3">
        <v>10</v>
      </c>
      <c r="E25" s="31">
        <v>20</v>
      </c>
      <c r="F25" s="31"/>
      <c r="G25" s="31">
        <v>10</v>
      </c>
      <c r="H25" s="31">
        <v>10</v>
      </c>
      <c r="I25" s="3">
        <v>10</v>
      </c>
      <c r="J25" s="38"/>
      <c r="K25" s="38"/>
      <c r="L25" s="38"/>
      <c r="M25" s="38"/>
      <c r="N25" s="6">
        <f t="shared" si="6"/>
        <v>80</v>
      </c>
      <c r="O25" s="22">
        <f t="shared" si="5"/>
        <v>10</v>
      </c>
    </row>
    <row r="26" spans="1:24" ht="15.75" customHeight="1" x14ac:dyDescent="0.2">
      <c r="A26" s="17" t="s">
        <v>18</v>
      </c>
      <c r="B26" s="3">
        <f>24+26</f>
        <v>50</v>
      </c>
      <c r="C26" s="3">
        <f>40+10</f>
        <v>50</v>
      </c>
      <c r="D26" s="3">
        <v>50</v>
      </c>
      <c r="E26" s="31">
        <f>55+25+10</f>
        <v>90</v>
      </c>
      <c r="F26" s="31">
        <v>30</v>
      </c>
      <c r="G26" s="31"/>
      <c r="H26" s="31">
        <v>40</v>
      </c>
      <c r="I26" s="3">
        <v>40</v>
      </c>
      <c r="J26" s="69">
        <f>30</f>
        <v>30</v>
      </c>
      <c r="K26" s="38"/>
      <c r="L26" s="38"/>
      <c r="M26" s="38"/>
      <c r="N26" s="6">
        <f t="shared" si="6"/>
        <v>380</v>
      </c>
      <c r="O26" s="22">
        <f t="shared" si="5"/>
        <v>10</v>
      </c>
    </row>
    <row r="27" spans="1:24" ht="15.75" customHeight="1" x14ac:dyDescent="0.2">
      <c r="A27" s="17" t="s">
        <v>19</v>
      </c>
      <c r="B27" s="3">
        <v>30</v>
      </c>
      <c r="C27" s="3">
        <v>32</v>
      </c>
      <c r="D27" s="3">
        <f>27</f>
        <v>27</v>
      </c>
      <c r="E27" s="31">
        <f>52</f>
        <v>52</v>
      </c>
      <c r="F27" s="31">
        <f>11</f>
        <v>11</v>
      </c>
      <c r="G27" s="31"/>
      <c r="H27" s="31">
        <v>20</v>
      </c>
      <c r="I27" s="3">
        <v>20</v>
      </c>
      <c r="J27" s="69">
        <v>20</v>
      </c>
      <c r="K27" s="38"/>
      <c r="L27" s="38"/>
      <c r="M27" s="38"/>
      <c r="N27" s="6">
        <f t="shared" si="6"/>
        <v>212</v>
      </c>
      <c r="O27" s="22">
        <f t="shared" si="5"/>
        <v>-2</v>
      </c>
      <c r="P27" s="28"/>
    </row>
    <row r="28" spans="1:24" ht="15.75" customHeight="1" x14ac:dyDescent="0.2">
      <c r="A28" s="17" t="s">
        <v>20</v>
      </c>
      <c r="B28" s="3">
        <v>60</v>
      </c>
      <c r="C28" s="3">
        <v>60</v>
      </c>
      <c r="D28" s="3">
        <f>60</f>
        <v>60</v>
      </c>
      <c r="E28" s="31">
        <f>16+74+10</f>
        <v>100</v>
      </c>
      <c r="F28" s="31">
        <v>50</v>
      </c>
      <c r="G28" s="31"/>
      <c r="H28" s="31">
        <f>43+7</f>
        <v>50</v>
      </c>
      <c r="I28" s="3">
        <f>32+16</f>
        <v>48</v>
      </c>
      <c r="J28" s="38"/>
      <c r="K28" s="38"/>
      <c r="L28" s="38"/>
      <c r="M28" s="38"/>
      <c r="N28" s="6">
        <f t="shared" si="6"/>
        <v>428</v>
      </c>
      <c r="O28" s="22">
        <f t="shared" si="5"/>
        <v>52</v>
      </c>
      <c r="P28" s="34"/>
    </row>
    <row r="29" spans="1:24" ht="15.75" customHeight="1" x14ac:dyDescent="0.2">
      <c r="A29" s="17" t="s">
        <v>21</v>
      </c>
      <c r="B29" s="3">
        <v>30</v>
      </c>
      <c r="C29" s="3">
        <v>30</v>
      </c>
      <c r="D29" s="3">
        <f>30</f>
        <v>30</v>
      </c>
      <c r="E29" s="31">
        <f>30+10</f>
        <v>40</v>
      </c>
      <c r="F29" s="31">
        <f>20</f>
        <v>20</v>
      </c>
      <c r="G29" s="31"/>
      <c r="H29" s="31">
        <v>19</v>
      </c>
      <c r="I29" s="3">
        <v>19</v>
      </c>
      <c r="J29" s="38"/>
      <c r="K29" s="38"/>
      <c r="L29" s="38"/>
      <c r="M29" s="38"/>
      <c r="N29" s="6">
        <f t="shared" si="6"/>
        <v>188</v>
      </c>
      <c r="O29" s="22">
        <f t="shared" si="5"/>
        <v>22</v>
      </c>
    </row>
    <row r="30" spans="1:24" ht="15.75" customHeight="1" x14ac:dyDescent="0.2">
      <c r="A30" s="18" t="s">
        <v>22</v>
      </c>
      <c r="B30" s="4">
        <v>20</v>
      </c>
      <c r="C30" s="4">
        <v>20</v>
      </c>
      <c r="D30" s="4">
        <v>20</v>
      </c>
      <c r="E30" s="32">
        <v>40</v>
      </c>
      <c r="F30" s="32">
        <v>20</v>
      </c>
      <c r="G30" s="32"/>
      <c r="H30" s="32">
        <v>20</v>
      </c>
      <c r="I30" s="4">
        <v>20</v>
      </c>
      <c r="J30" s="39"/>
      <c r="K30" s="39"/>
      <c r="L30" s="39"/>
      <c r="M30" s="39"/>
      <c r="N30" s="4">
        <f t="shared" si="6"/>
        <v>160</v>
      </c>
      <c r="O30" s="23">
        <f t="shared" si="5"/>
        <v>20</v>
      </c>
    </row>
    <row r="31" spans="1:24" ht="21" x14ac:dyDescent="0.25">
      <c r="B31" s="25">
        <f t="shared" ref="B31:N31" si="7">B30+B29+B28+B27+B26+B25+B24+B23+B22+B21+B20+B19</f>
        <v>924</v>
      </c>
      <c r="C31" s="25">
        <f t="shared" si="7"/>
        <v>902</v>
      </c>
      <c r="D31" s="25">
        <f t="shared" si="7"/>
        <v>936</v>
      </c>
      <c r="E31" s="25">
        <f t="shared" si="7"/>
        <v>1339</v>
      </c>
      <c r="F31" s="25">
        <f t="shared" si="7"/>
        <v>484</v>
      </c>
      <c r="G31" s="25">
        <f t="shared" si="7"/>
        <v>274</v>
      </c>
      <c r="H31" s="25">
        <f t="shared" si="7"/>
        <v>702</v>
      </c>
      <c r="I31" s="25">
        <f t="shared" si="7"/>
        <v>699</v>
      </c>
      <c r="J31" s="25">
        <f t="shared" si="7"/>
        <v>80</v>
      </c>
      <c r="K31" s="25">
        <f t="shared" si="7"/>
        <v>0</v>
      </c>
      <c r="L31" s="25">
        <f t="shared" si="7"/>
        <v>0</v>
      </c>
      <c r="M31" s="25">
        <f t="shared" si="7"/>
        <v>0</v>
      </c>
      <c r="N31" s="40">
        <f t="shared" si="7"/>
        <v>6340</v>
      </c>
      <c r="O31" s="41">
        <f>O19+O20+O21+O22+O23+O24+O25+O26+O27+O28+O29+O30</f>
        <v>620</v>
      </c>
      <c r="P31" s="24"/>
    </row>
    <row r="33" spans="1:15" ht="16" x14ac:dyDescent="0.2">
      <c r="A33" s="2" t="s">
        <v>27</v>
      </c>
    </row>
    <row r="34" spans="1:15" ht="21" customHeight="1" x14ac:dyDescent="0.2">
      <c r="A34" s="92" t="s">
        <v>34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</row>
    <row r="35" spans="1:15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</row>
    <row r="36" spans="1:15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</row>
    <row r="37" spans="1:15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</row>
    <row r="38" spans="1:15" x14ac:dyDescent="0.2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</row>
    <row r="39" spans="1:15" x14ac:dyDescent="0.2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</row>
    <row r="40" spans="1:15" x14ac:dyDescent="0.2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</row>
    <row r="41" spans="1:15" x14ac:dyDescent="0.2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</row>
    <row r="42" spans="1:15" x14ac:dyDescent="0.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</row>
    <row r="43" spans="1:15" x14ac:dyDescent="0.2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</row>
    <row r="44" spans="1:15" x14ac:dyDescent="0.2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</row>
    <row r="45" spans="1:15" x14ac:dyDescent="0.2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</row>
    <row r="46" spans="1:15" x14ac:dyDescent="0.2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</row>
    <row r="47" spans="1:15" x14ac:dyDescent="0.2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48" spans="1:15" x14ac:dyDescent="0.2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</row>
  </sheetData>
  <mergeCells count="18">
    <mergeCell ref="A36:O36"/>
    <mergeCell ref="A46:O46"/>
    <mergeCell ref="A47:O47"/>
    <mergeCell ref="A48:O48"/>
    <mergeCell ref="A37:O37"/>
    <mergeCell ref="A38:O38"/>
    <mergeCell ref="A39:O39"/>
    <mergeCell ref="A40:O40"/>
    <mergeCell ref="A41:O41"/>
    <mergeCell ref="A42:O42"/>
    <mergeCell ref="A43:O43"/>
    <mergeCell ref="A44:O44"/>
    <mergeCell ref="A45:O45"/>
    <mergeCell ref="A1:Q1"/>
    <mergeCell ref="A2:Q2"/>
    <mergeCell ref="A17:O17"/>
    <mergeCell ref="A34:O34"/>
    <mergeCell ref="A35:O35"/>
  </mergeCells>
  <pageMargins left="0.24" right="0.16" top="0.74803149606299213" bottom="0.74803149606299213" header="0.31496062992125984" footer="0.31496062992125984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 15.270</vt:lpstr>
      <vt:lpstr>Kế Hoạch 9.060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KiemDinh1</dc:creator>
  <cp:lastModifiedBy>Phương Đông 0868.848.555</cp:lastModifiedBy>
  <cp:lastPrinted>2023-04-07T04:15:36Z</cp:lastPrinted>
  <dcterms:created xsi:type="dcterms:W3CDTF">2023-03-14T02:56:27Z</dcterms:created>
  <dcterms:modified xsi:type="dcterms:W3CDTF">2026-09-14T01:56:07Z</dcterms:modified>
</cp:coreProperties>
</file>