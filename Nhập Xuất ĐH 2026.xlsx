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áo cáo" sheetId="1" r:id="rId5"/>
    <sheet state="visible" name="Nhập Kho" sheetId="2" r:id="rId6"/>
    <sheet state="visible" name="TP1" sheetId="3" r:id="rId7"/>
    <sheet state="visible" name="TP2" sheetId="4" r:id="rId8"/>
    <sheet state="visible" name="MS" sheetId="5" r:id="rId9"/>
    <sheet state="visible" name="MC + Vân hồ" sheetId="6" r:id="rId10"/>
    <sheet state="visible" name="YC" sheetId="7" r:id="rId11"/>
    <sheet state="visible" name="BY" sheetId="8" r:id="rId12"/>
    <sheet state="visible" name="TC" sheetId="9" r:id="rId13"/>
    <sheet state="visible" name="PY" sheetId="10" r:id="rId14"/>
    <sheet state="visible" name="ML" sheetId="11" r:id="rId15"/>
    <sheet state="visible" name="SM" sheetId="12" r:id="rId16"/>
    <sheet state="visible" name="SC" sheetId="13" r:id="rId17"/>
    <sheet state="visible" name="QN" sheetId="14" r:id="rId18"/>
    <sheet state="visible" name="Xuất kho theo tháng" sheetId="15" r:id="rId19"/>
    <sheet state="hidden" name="XL" sheetId="16" r:id="rId20"/>
    <sheet state="hidden" name="XL (BHTP1)" sheetId="17" r:id="rId21"/>
    <sheet state="hidden" name="XL (BHTP2)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1">
      <text>
        <t xml:space="preserve">cộng tồn 2025: 1 DN65</t>
      </text>
    </comment>
    <comment authorId="0" ref="G6">
      <text>
        <t xml:space="preserve">nhâp lần 2 = 1000
 đã nhập kho</t>
      </text>
    </comment>
    <comment authorId="0" ref="I15">
      <text>
        <t xml:space="preserve">hawoco nợ 1 cái d40</t>
      </text>
    </comment>
    <comment authorId="0" ref="L15">
      <text>
        <t xml:space="preserve">tạm ứng ngoại kể hoạch</t>
      </text>
    </comment>
    <comment authorId="0" ref="E6">
      <text>
        <t xml:space="preserve">tam ứng lần 1-2026 = 500
cong tồn kho 2025 = 240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4">
      <text>
        <t xml:space="preserve">TREO KIỂM SOAT BL MINH THÚY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24">
      <text>
        <t xml:space="preserve">Mượn lắp tổng Tà Xùa</t>
      </text>
    </comment>
    <comment authorId="0" ref="BJ24">
      <text>
        <t xml:space="preserve">- Tháng 6 mượn lắp tổng Tà Xùa
- Tháng 9 làm phiễu lĩnh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24">
      <text>
        <t xml:space="preserve">Kiểm Soát Block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4">
      <text>
        <t xml:space="preserve">TREO BHĐH NƯỚC THƯƠNG PHẨM TRẠM BƯU ĐIỆN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12">
      <text>
        <t xml:space="preserve">lắp d25 vào d15 khách hàng (bảo hành)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C15">
      <text>
        <t xml:space="preserve">lô mới treo kho chưa làm phiếu xuất</t>
      </text>
    </comment>
    <comment authorId="0" ref="F24">
      <text>
        <t xml:space="preserve">TREO XUẤT 09/11/2025</t>
      </text>
    </comment>
  </commentList>
</comments>
</file>

<file path=xl/sharedStrings.xml><?xml version="1.0" encoding="utf-8"?>
<sst xmlns="http://schemas.openxmlformats.org/spreadsheetml/2006/main" count="3504" uniqueCount="98">
  <si>
    <t xml:space="preserve"> </t>
  </si>
  <si>
    <t>Mã hàng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</si>
  <si>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</si>
  <si>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Tên hàng</t>
  </si>
  <si>
    <t>ĐVT</t>
  </si>
  <si>
    <t>Đầu kỳ</t>
  </si>
  <si>
    <t>Tháng 1</t>
  </si>
  <si>
    <t>Nhập kho</t>
  </si>
  <si>
    <t>Tháng 2</t>
  </si>
  <si>
    <t>Xuất kho</t>
  </si>
  <si>
    <t>Tháng 3</t>
  </si>
  <si>
    <t>Tháng 4</t>
  </si>
  <si>
    <t>Cuối kỳ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</si>
  <si>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</si>
  <si>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</si>
  <si>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</si>
  <si>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</si>
  <si>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</si>
  <si>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</si>
  <si>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</si>
  <si>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</si>
  <si>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Số lượng</t>
  </si>
  <si>
    <t>Tên kho : 02-Kho Văn phòng Công ty (20 )</t>
  </si>
  <si>
    <t>Note:</t>
  </si>
  <si>
    <t>ĐH015</t>
  </si>
  <si>
    <t>Đồng hồ D15</t>
  </si>
  <si>
    <t>Cái</t>
  </si>
  <si>
    <t>ĐH015(SC)</t>
  </si>
  <si>
    <t>Đồng hồ sửa chữa 015</t>
  </si>
  <si>
    <t>Đồng hồ sửa chữa 015 đơn vị</t>
  </si>
  <si>
    <t>ĐH015-TAC</t>
  </si>
  <si>
    <t>Đồng hồ Thái Aichi MAM-15 ( không kèm rắc co)</t>
  </si>
  <si>
    <t>ĐH020</t>
  </si>
  <si>
    <t>Đồng hồ D20</t>
  </si>
  <si>
    <t>ĐH025</t>
  </si>
  <si>
    <t>Đồng hồ D25</t>
  </si>
  <si>
    <t>ĐH025(SC)</t>
  </si>
  <si>
    <t>Đồng hồ D25 (sửa chữa)</t>
  </si>
  <si>
    <t>ĐH032</t>
  </si>
  <si>
    <t>Đồng hồ D32</t>
  </si>
  <si>
    <t>ĐH032(SC)</t>
  </si>
  <si>
    <t>Đồng hồ D32 (sửa chữa)</t>
  </si>
  <si>
    <t>ĐH040</t>
  </si>
  <si>
    <t>Đồng hồ D40</t>
  </si>
  <si>
    <t>ĐH040(SC)</t>
  </si>
  <si>
    <t>Đồng hồ D40 (sửa chữa)</t>
  </si>
  <si>
    <t>ĐH040-ĐLL</t>
  </si>
  <si>
    <t>Đồng hồ đo lưu lượng Turbobar hiệu Bermad DN40</t>
  </si>
  <si>
    <t>Bộ</t>
  </si>
  <si>
    <t>ĐH050</t>
  </si>
  <si>
    <t>ĐH quay vòng</t>
  </si>
  <si>
    <t xml:space="preserve">Đồng hồ D50 </t>
  </si>
  <si>
    <t xml:space="preserve">Xuất ĐH </t>
  </si>
  <si>
    <t>ĐH050(SC)</t>
  </si>
  <si>
    <t>Đồng hồ D50 (sửa chữa)</t>
  </si>
  <si>
    <t>ĐH ĐV gửi về</t>
  </si>
  <si>
    <t>Kiểm tra BH</t>
  </si>
  <si>
    <t>ĐH050-BM</t>
  </si>
  <si>
    <t>Đồng hồ DN50 hiệu Bermad</t>
  </si>
  <si>
    <t>Kiểm đinh bất thường</t>
  </si>
  <si>
    <t>ĐH065</t>
  </si>
  <si>
    <t>Đồng hồ D65</t>
  </si>
  <si>
    <t>ĐH065-ĐLL</t>
  </si>
  <si>
    <t>Đồng hồ đo lưu lượng Turbobar hiệu Bermad DN65</t>
  </si>
  <si>
    <t>ĐH080</t>
  </si>
  <si>
    <t>Đồng hồ D80</t>
  </si>
  <si>
    <t>ĐH100</t>
  </si>
  <si>
    <t>Đồng hồ D100</t>
  </si>
  <si>
    <t>ĐH150</t>
  </si>
  <si>
    <t>Đồng hồ D150</t>
  </si>
  <si>
    <t>ĐH150-CTOR</t>
  </si>
  <si>
    <t>Đồng hồ nước DN150 CONTOR-Metcon Qn=150m3/h, cấp B (Pvđ: 4,5-300m3/h)</t>
  </si>
  <si>
    <t>còn 2 treo kho 2</t>
  </si>
  <si>
    <t>ĐH200</t>
  </si>
  <si>
    <t>Đồng hồ D200</t>
  </si>
  <si>
    <t>ĐH15</t>
  </si>
  <si>
    <t>Đồng hồ D15 metcon</t>
  </si>
  <si>
    <t>D25FLD</t>
  </si>
  <si>
    <t>Đồng hồ D25 Flodis</t>
  </si>
  <si>
    <t>còn 1 treo kho 3</t>
  </si>
  <si>
    <t>D32FLD</t>
  </si>
  <si>
    <t>Đồng hồ D32 Flodis</t>
  </si>
  <si>
    <t>Đồng hồ nước DN150 CONTOR-Metcon Qn=150m3/h, cấp B (Pvđ: 4,5-300m3/h) sửa chữa</t>
  </si>
  <si>
    <t>ĐÃ HỎNG</t>
  </si>
  <si>
    <t>Tên kho : 02-Kho Văn phòng Công ty</t>
  </si>
  <si>
    <t>Đạt</t>
  </si>
  <si>
    <t>D40FLT</t>
  </si>
  <si>
    <t>K đạt</t>
  </si>
  <si>
    <t>Đồng hồ D40 Flostar</t>
  </si>
  <si>
    <t>Đạt(A duy)</t>
  </si>
  <si>
    <t>Đồng hồ D15 (Mới)</t>
  </si>
  <si>
    <t xml:space="preserve">Đồng hồ D25 </t>
  </si>
  <si>
    <t>TỔNG HỢP XUẤT KHO</t>
  </si>
  <si>
    <t>Đạt (A Duy)</t>
  </si>
  <si>
    <t>ĐK ĐH cũ</t>
  </si>
  <si>
    <t>Cuối kỳ ĐH cũ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</si>
  <si>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</si>
  <si>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>ĐH015-CTOR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</si>
</sst>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4.0"/>
      <color rgb="FF000000"/>
      <name val="Times New Roman"/>
    </font>
    <font>
      <b/>
      <sz val="11.0"/>
      <color rgb="FF000000"/>
      <name val="Times New Roman"/>
    </font>
    <font>
      <sz val="8.0"/>
      <color rgb="FF000000"/>
      <name val="Helvetica Neue"/>
    </font>
    <font>
      <sz val="11.0"/>
      <color rgb="FF000000"/>
      <name val="Calibri"/>
    </font>
    <font/>
    <font>
      <b/>
      <sz val="8.0"/>
      <color rgb="FF000000"/>
      <name val="Helvetica Neue"/>
    </font>
    <font>
      <sz val="11.0"/>
      <color theme="1"/>
      <name val="Calibri"/>
    </font>
    <font>
      <sz val="8.0"/>
      <color rgb="FFFF0000"/>
      <name val="Helvetica Neue"/>
    </font>
    <font>
      <color theme="1"/>
      <name val="Calibri"/>
      <scheme val="minor"/>
    </font>
    <font>
      <sz val="8.0"/>
      <color rgb="FF000000"/>
      <name val="Arial"/>
    </font>
    <font>
      <sz val="7.0"/>
      <color rgb="FF000000"/>
      <name val="Helvetica Neue"/>
    </font>
  </fonts>
  <fills count="10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99CC00"/>
        <bgColor rgb="FF99CC00"/>
      </patternFill>
    </fill>
    <fill>
      <patternFill patternType="solid">
        <fgColor rgb="FF008000"/>
        <bgColor rgb="FF008000"/>
      </patternFill>
    </fill>
  </fills>
  <borders count="25">
    <border/>
    <border>
      <left style="thin">
        <color rgb="FF33CCCC"/>
      </left>
      <right style="thin">
        <color rgb="FF33CCCC"/>
      </right>
      <top style="thin">
        <color rgb="FF33CCCC"/>
      </top>
    </border>
    <border>
      <left style="thin">
        <color rgb="FF33CCCC"/>
      </left>
      <right/>
      <top style="thin">
        <color rgb="FF33CCCC"/>
      </top>
      <bottom style="thin">
        <color rgb="FF33CCCC"/>
      </bottom>
    </border>
    <border>
      <left style="thin">
        <color rgb="FF33CCCC"/>
      </left>
      <right style="thin">
        <color rgb="FF33CCCC"/>
      </right>
      <bottom style="thin">
        <color rgb="FF33CCCC"/>
      </bottom>
    </border>
    <border>
      <left style="thin">
        <color rgb="FF33CCCC"/>
      </left>
      <right style="thin">
        <color rgb="FF33CCCC"/>
      </right>
      <top style="thin">
        <color rgb="FF33CCCC"/>
      </top>
      <bottom style="thin">
        <color rgb="FF33CCCC"/>
      </bottom>
    </border>
    <border>
      <left style="thin">
        <color rgb="FF33CCCC"/>
      </left>
      <right style="thin">
        <color rgb="FF33CCCC"/>
      </right>
      <top style="thin">
        <color rgb="FF33CCCC"/>
      </top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33CCCC"/>
      </left>
      <top style="thin">
        <color rgb="FF33CCCC"/>
      </top>
      <bottom/>
    </border>
    <border>
      <top style="thin">
        <color rgb="FF33CCCC"/>
      </top>
      <bottom/>
    </border>
    <border>
      <right style="thin">
        <color rgb="FF33CCCC"/>
      </right>
      <top style="thin">
        <color rgb="FF33CCCC"/>
      </top>
      <bottom/>
    </border>
    <border>
      <left style="thin">
        <color rgb="FF33CCCC"/>
      </left>
      <top style="thin">
        <color rgb="FF33CCCC"/>
      </top>
      <bottom style="thin">
        <color rgb="FF33CCCC"/>
      </bottom>
    </border>
    <border>
      <top style="thin">
        <color rgb="FF33CCCC"/>
      </top>
      <bottom style="thin">
        <color rgb="FF33CCCC"/>
      </bottom>
    </border>
    <border>
      <right style="thin">
        <color rgb="FF33CCCC"/>
      </right>
      <top style="thin">
        <color rgb="FF33CCCC"/>
      </top>
      <bottom style="thin">
        <color rgb="FF33CCCC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/>
      <right/>
      <top/>
      <bottom/>
    </border>
    <border>
      <left style="thin">
        <color rgb="FF33CCCC"/>
      </left>
      <right style="thin">
        <color rgb="FF33CCCC"/>
      </right>
      <bottom style="thin">
        <color rgb="FFC0C0C0"/>
      </bottom>
    </border>
    <border>
      <left/>
      <right style="thin">
        <color rgb="FF33CCCC"/>
      </right>
      <top style="thin">
        <color rgb="FF33CCCC"/>
      </top>
      <bottom/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right/>
      <top style="thin">
        <color rgb="FF33CCCC"/>
      </top>
      <bottom style="thin">
        <color rgb="FF33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33CCCC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33CCCC"/>
      </left>
      <right/>
      <top style="thin">
        <color rgb="FF33CCCC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2" fillId="2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3" fillId="0" fontId="5" numFmtId="0" xfId="0" applyBorder="1" applyFont="1"/>
    <xf borderId="4" fillId="2" fontId="3" numFmtId="40" xfId="0" applyAlignment="1" applyBorder="1" applyFill="1" applyFont="1" applyNumberFormat="1">
      <alignment horizontal="center" shrinkToFit="0" vertical="center" wrapText="1"/>
    </xf>
    <xf borderId="4" fillId="3" fontId="6" numFmtId="0" xfId="0" applyAlignment="1" applyBorder="1" applyFill="1" applyFont="1">
      <alignment horizontal="left" vertical="center"/>
    </xf>
    <xf borderId="5" fillId="4" fontId="3" numFmtId="40" xfId="0" applyAlignment="1" applyBorder="1" applyFill="1" applyFont="1" applyNumberFormat="1">
      <alignment horizontal="right" vertical="center"/>
    </xf>
    <xf borderId="0" fillId="0" fontId="7" numFmtId="0" xfId="0" applyFont="1"/>
    <xf borderId="6" fillId="0" fontId="3" numFmtId="0" xfId="0" applyAlignment="1" applyBorder="1" applyFont="1">
      <alignment horizontal="left" vertical="center"/>
    </xf>
    <xf borderId="6" fillId="0" fontId="3" numFmtId="38" xfId="0" applyAlignment="1" applyBorder="1" applyFont="1" applyNumberFormat="1">
      <alignment horizontal="right" vertical="center"/>
    </xf>
    <xf borderId="6" fillId="0" fontId="3" numFmtId="38" xfId="0" applyAlignment="1" applyBorder="1" applyFont="1" applyNumberFormat="1">
      <alignment horizontal="right" readingOrder="0" vertical="center"/>
    </xf>
    <xf borderId="6" fillId="0" fontId="8" numFmtId="38" xfId="0" applyAlignment="1" applyBorder="1" applyFont="1" applyNumberFormat="1">
      <alignment horizontal="right" vertical="center"/>
    </xf>
    <xf borderId="1" fillId="5" fontId="3" numFmtId="0" xfId="0" applyAlignment="1" applyBorder="1" applyFill="1" applyFont="1">
      <alignment horizontal="center" shrinkToFit="0" vertical="center" wrapText="1"/>
    </xf>
    <xf borderId="0" fillId="0" fontId="4" numFmtId="38" xfId="0" applyFont="1" applyNumberFormat="1"/>
    <xf borderId="6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shrinkToFit="0" vertical="center" wrapText="1"/>
    </xf>
    <xf borderId="7" fillId="5" fontId="3" numFmtId="0" xfId="0" applyAlignment="1" applyBorder="1" applyFill="1" applyFon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6" fillId="0" fontId="3" numFmtId="0" xfId="0" applyAlignment="1" applyBorder="1" applyFont="1">
      <alignment horizontal="left" shrinkToFit="0" vertical="center" wrapText="1"/>
    </xf>
    <xf borderId="10" fillId="5" fontId="3" numFmtId="0" xfId="0" applyAlignment="1" applyBorder="1" applyFill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0" fillId="0" fontId="9" numFmtId="0" xfId="0" applyAlignment="1" applyFont="1">
      <alignment readingOrder="0"/>
    </xf>
    <xf borderId="1" fillId="5" fontId="3" numFmtId="40" xfId="0" applyAlignment="1" applyBorder="1" applyFill="1" applyFont="1" applyNumberFormat="1">
      <alignment horizontal="center" shrinkToFit="0" vertical="center" wrapText="1"/>
    </xf>
    <xf borderId="7" fillId="5" fontId="3" numFmtId="40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readingOrder="0"/>
    </xf>
    <xf borderId="13" fillId="0" fontId="3" numFmtId="0" xfId="0" applyAlignment="1" applyBorder="1" applyFont="1">
      <alignment horizontal="left" vertical="center"/>
    </xf>
    <xf borderId="13" fillId="0" fontId="3" numFmtId="38" xfId="0" applyAlignment="1" applyBorder="1" applyFont="1" applyNumberFormat="1">
      <alignment horizontal="right" readingOrder="0" vertical="center"/>
    </xf>
    <xf borderId="13" fillId="0" fontId="3" numFmtId="38" xfId="0" applyAlignment="1" applyBorder="1" applyFont="1" applyNumberFormat="1">
      <alignment horizontal="right" vertical="center"/>
    </xf>
    <xf borderId="0" fillId="0" fontId="3" numFmtId="0" xfId="0" applyAlignment="1" applyFont="1">
      <alignment horizontal="left" vertical="center"/>
    </xf>
    <xf borderId="0" fillId="0" fontId="3" numFmtId="38" xfId="0" applyAlignment="1" applyFont="1" applyNumberFormat="1">
      <alignment horizontal="right" vertical="center"/>
    </xf>
    <xf borderId="0" fillId="0" fontId="3" numFmtId="0" xfId="0" applyAlignment="1" applyFont="1">
      <alignment horizontal="left" readingOrder="0" vertical="center"/>
    </xf>
    <xf borderId="0" fillId="0" fontId="3" numFmtId="38" xfId="0" applyAlignment="1" applyFont="1" applyNumberFormat="1">
      <alignment horizontal="right" readingOrder="0" vertical="center"/>
    </xf>
    <xf borderId="0" fillId="0" fontId="8" numFmtId="0" xfId="0" applyAlignment="1" applyFont="1">
      <alignment horizontal="left" readingOrder="0" vertical="center"/>
    </xf>
    <xf borderId="4" fillId="4" fontId="3" numFmtId="0" xfId="0" applyAlignment="1" applyBorder="1" applyFill="1" applyFont="1">
      <alignment horizontal="left" vertical="center"/>
    </xf>
    <xf borderId="0" fillId="0" fontId="4" numFmtId="40" xfId="0" applyFont="1" applyNumberFormat="1"/>
    <xf borderId="0" fillId="0" fontId="4" numFmtId="0" xfId="0" applyAlignment="1" applyFont="1">
      <alignment readingOrder="0" vertical="center"/>
    </xf>
    <xf borderId="4" fillId="0" fontId="6" numFmtId="0" xfId="0" applyAlignment="1" applyBorder="1" applyFont="1">
      <alignment horizontal="left" vertical="center"/>
    </xf>
    <xf borderId="14" fillId="5" fontId="4" numFmtId="0" xfId="0" applyBorder="1" applyFill="1" applyFont="1"/>
    <xf borderId="15" fillId="0" fontId="5" numFmtId="0" xfId="0" applyBorder="1" applyFont="1"/>
    <xf borderId="16" fillId="5" fontId="3" numFmtId="40" xfId="0" applyAlignment="1" applyBorder="1" applyFill="1" applyFont="1" applyNumberFormat="1">
      <alignment horizontal="center" vertical="center"/>
    </xf>
    <xf borderId="0" fillId="0" fontId="8" numFmtId="38" xfId="0" applyAlignment="1" applyFont="1" applyNumberFormat="1">
      <alignment horizontal="right" vertical="center"/>
    </xf>
    <xf borderId="5" fillId="5" fontId="3" numFmtId="40" xfId="0" applyAlignment="1" applyBorder="1" applyFill="1" applyFont="1" applyNumberFormat="1">
      <alignment horizontal="center" vertical="center"/>
    </xf>
    <xf borderId="4" fillId="4" fontId="3" numFmtId="1" xfId="0" applyAlignment="1" applyBorder="1" applyFill="1" applyFont="1" applyNumberFormat="1">
      <alignment horizontal="right" vertical="center"/>
    </xf>
    <xf borderId="4" fillId="4" fontId="8" numFmtId="40" xfId="0" applyAlignment="1" applyBorder="1" applyFill="1" applyFont="1" applyNumberFormat="1">
      <alignment horizontal="right" vertical="center"/>
    </xf>
    <xf borderId="4" fillId="4" fontId="8" numFmtId="38" xfId="0" applyAlignment="1" applyBorder="1" applyFill="1" applyFont="1" applyNumberFormat="1">
      <alignment horizontal="right" vertical="center"/>
    </xf>
    <xf borderId="17" fillId="0" fontId="3" numFmtId="38" xfId="0" applyAlignment="1" applyBorder="1" applyFont="1" applyNumberFormat="1">
      <alignment horizontal="right" vertical="center"/>
    </xf>
    <xf borderId="6" fillId="3" fontId="3" numFmtId="38" xfId="0" applyAlignment="1" applyBorder="1" applyFill="1" applyFont="1" applyNumberFormat="1">
      <alignment horizontal="right" vertical="center"/>
    </xf>
    <xf borderId="6" fillId="3" fontId="3" numFmtId="38" xfId="0" applyAlignment="1" applyBorder="1" applyFill="1" applyFont="1" applyNumberFormat="1">
      <alignment horizontal="right" readingOrder="0" vertical="center"/>
    </xf>
    <xf borderId="6" fillId="6" fontId="3" numFmtId="38" xfId="0" applyAlignment="1" applyBorder="1" applyFill="1" applyFont="1" applyNumberFormat="1">
      <alignment horizontal="right" readingOrder="0" vertical="center"/>
    </xf>
    <xf borderId="6" fillId="6" fontId="3" numFmtId="38" xfId="0" applyAlignment="1" applyBorder="1" applyFill="1" applyFont="1" applyNumberFormat="1">
      <alignment horizontal="right" vertical="center"/>
    </xf>
    <xf borderId="6" fillId="2" fontId="3" numFmtId="38" xfId="0" applyAlignment="1" applyBorder="1" applyFill="1" applyFont="1" applyNumberFormat="1">
      <alignment horizontal="right" vertical="center"/>
    </xf>
    <xf borderId="6" fillId="0" fontId="10" numFmtId="38" xfId="0" applyAlignment="1" applyBorder="1" applyFont="1" applyNumberFormat="1">
      <alignment horizontal="right" readingOrder="0" vertical="center"/>
    </xf>
    <xf borderId="14" fillId="3" fontId="3" numFmtId="38" xfId="0" applyAlignment="1" applyBorder="1" applyFill="1" applyFont="1" applyNumberFormat="1">
      <alignment horizontal="right" vertical="center"/>
    </xf>
    <xf borderId="0" fillId="2" fontId="3" numFmtId="38" xfId="0" applyAlignment="1" applyFill="1" applyFont="1" applyNumberFormat="1">
      <alignment horizontal="right" vertical="center"/>
    </xf>
    <xf borderId="4" fillId="0" fontId="3" numFmtId="0" xfId="0" applyAlignment="1" applyBorder="1" applyFont="1">
      <alignment horizontal="left" vertical="center"/>
    </xf>
    <xf borderId="14" fillId="3" fontId="4" numFmtId="38" xfId="0" applyBorder="1" applyFill="1" applyFont="1" applyNumberFormat="1"/>
    <xf borderId="14" fillId="2" fontId="4" numFmtId="38" xfId="0" applyBorder="1" applyFill="1" applyFont="1" applyNumberFormat="1"/>
    <xf borderId="0" fillId="0" fontId="4" numFmtId="0" xfId="0" applyAlignment="1" applyFont="1">
      <alignment horizontal="left"/>
    </xf>
    <xf borderId="6" fillId="0" fontId="6" numFmtId="0" xfId="0" applyAlignment="1" applyBorder="1" applyFont="1">
      <alignment horizontal="left" vertical="center"/>
    </xf>
    <xf borderId="6" fillId="3" fontId="11" numFmtId="38" xfId="0" applyAlignment="1" applyBorder="1" applyFill="1" applyFont="1" applyNumberFormat="1">
      <alignment horizontal="right" vertical="center"/>
    </xf>
    <xf borderId="10" fillId="2" fontId="3" numFmtId="0" xfId="0" applyAlignment="1" applyBorder="1" applyFill="1" applyFont="1">
      <alignment horizontal="center" shrinkToFit="0" vertical="center" wrapText="1"/>
    </xf>
    <xf borderId="18" fillId="0" fontId="5" numFmtId="0" xfId="0" applyBorder="1" applyFont="1"/>
    <xf borderId="19" fillId="5" fontId="4" numFmtId="0" xfId="0" applyAlignment="1" applyBorder="1" applyFill="1" applyFont="1">
      <alignment horizontal="center" shrinkToFit="0" vertical="center" wrapText="1"/>
    </xf>
    <xf borderId="20" fillId="0" fontId="5" numFmtId="0" xfId="0" applyBorder="1" applyFont="1"/>
    <xf borderId="21" fillId="0" fontId="5" numFmtId="0" xfId="0" applyBorder="1" applyFont="1"/>
    <xf borderId="22" fillId="5" fontId="3" numFmtId="40" xfId="0" applyAlignment="1" applyBorder="1" applyFill="1" applyFont="1" applyNumberFormat="1">
      <alignment horizontal="center" vertical="center"/>
    </xf>
    <xf borderId="23" fillId="0" fontId="5" numFmtId="0" xfId="0" applyBorder="1" applyFont="1"/>
    <xf borderId="6" fillId="7" fontId="3" numFmtId="38" xfId="0" applyAlignment="1" applyBorder="1" applyFill="1" applyFont="1" applyNumberFormat="1">
      <alignment horizontal="right" vertical="center"/>
    </xf>
    <xf borderId="24" fillId="2" fontId="3" numFmtId="38" xfId="0" applyAlignment="1" applyBorder="1" applyFill="1" applyFont="1" applyNumberFormat="1">
      <alignment horizontal="right" vertical="center"/>
    </xf>
    <xf borderId="14" fillId="7" fontId="3" numFmtId="38" xfId="0" applyAlignment="1" applyBorder="1" applyFill="1" applyFont="1" applyNumberFormat="1">
      <alignment horizontal="right" vertical="center"/>
    </xf>
    <xf borderId="14" fillId="2" fontId="3" numFmtId="38" xfId="0" applyAlignment="1" applyBorder="1" applyFill="1" applyFont="1" applyNumberFormat="1">
      <alignment horizontal="right" vertical="center"/>
    </xf>
    <xf borderId="6" fillId="8" fontId="3" numFmtId="38" xfId="0" applyAlignment="1" applyBorder="1" applyFill="1" applyFont="1" applyNumberFormat="1">
      <alignment horizontal="right" vertical="center"/>
    </xf>
    <xf borderId="14" fillId="9" fontId="4" numFmtId="38" xfId="0" applyBorder="1" applyFill="1" applyFont="1" applyNumberFormat="1"/>
  </cellXfs>
  <cellStyles count="1">
    <cellStyle xfId="0" name="Normal" builtinId="0"/>
  </cellStyles>
  <dxfs count="2">
    <dxf>
      <font/>
      <fill>
        <patternFill patternType="solid">
          <fgColor rgb="FF95B3D7"/>
          <bgColor rgb="FF95B3D7"/>
        </patternFill>
      </fill>
      <border/>
    </dxf>
    <dxf>
      <font/>
      <fill>
        <patternFill patternType="solid">
          <fgColor rgb="FF8DB3E2"/>
          <bgColor rgb="FF8DB3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 outlineLevelRow="1"/>
  <cols>
    <col customWidth="1" min="1" max="1" width="1.43"/>
    <col customWidth="1" min="2" max="2" width="14.29"/>
    <col customWidth="1" min="3" max="3" width="24.71"/>
    <col customWidth="1" min="4" max="4" width="4.14"/>
    <col customWidth="1" min="5" max="5" width="11.71"/>
    <col customWidth="1" min="6" max="6" width="13.29"/>
    <col customWidth="1" min="7" max="7" width="10.0"/>
    <col customWidth="1" min="8" max="8" width="15.14"/>
  </cols>
  <sheetData>
    <row r="1">
      <c r="A1" s="1" t="s">
        <v>0</v>
      </c>
    </row>
    <row r="2">
      <c r="A2" s="2"/>
    </row>
    <row r="3" ht="16.5" customHeight="1">
      <c r="B3" s="3" t="s">
        <v>1</v>
      </c>
      <c r="C3" s="3" t="s">
        <v>3</v>
      </c>
      <c r="D3" s="3" t="s">
        <v>4</v>
      </c>
      <c r="E3" s="5" t="s">
        <v>5</v>
      </c>
      <c r="F3" s="5" t="s">
        <v>7</v>
      </c>
      <c r="G3" s="5" t="s">
        <v>9</v>
      </c>
      <c r="H3" s="5" t="s">
        <v>12</v>
      </c>
    </row>
    <row r="4" ht="15.0" customHeight="1">
      <c r="B4" s="7"/>
      <c r="C4" s="7"/>
      <c r="D4" s="7"/>
      <c r="E4" s="8" t="s">
        <v>21</v>
      </c>
      <c r="F4" s="8" t="s">
        <v>21</v>
      </c>
      <c r="G4" s="8" t="s">
        <v>21</v>
      </c>
      <c r="H4" s="8" t="s">
        <v>21</v>
      </c>
    </row>
    <row r="5">
      <c r="A5" s="9" t="s">
        <v>22</v>
      </c>
      <c r="E5" s="10"/>
      <c r="F5" s="10"/>
      <c r="G5" s="10"/>
      <c r="H5" s="10"/>
      <c r="J5" s="11" t="s">
        <v>23</v>
      </c>
    </row>
    <row r="6" outlineLevel="1">
      <c r="B6" s="12" t="s">
        <v>24</v>
      </c>
      <c r="C6" s="12" t="s">
        <v>25</v>
      </c>
      <c r="D6" s="12" t="s">
        <v>26</v>
      </c>
      <c r="E6" s="13"/>
      <c r="F6" s="15">
        <f>'Nhập Kho'!Q6</f>
        <v>2240</v>
      </c>
      <c r="G6" s="15">
        <f>'Xuất kho theo tháng'!CL6</f>
        <v>1740</v>
      </c>
      <c r="H6" s="15">
        <f t="shared" ref="H6:H29" si="1">(E6+F6)-G6</f>
        <v>500</v>
      </c>
      <c r="J6" s="4"/>
    </row>
    <row r="7" ht="18.0" customHeight="1" outlineLevel="1">
      <c r="B7" s="12" t="s">
        <v>27</v>
      </c>
      <c r="C7" s="12" t="s">
        <v>28</v>
      </c>
      <c r="D7" s="12" t="s">
        <v>26</v>
      </c>
      <c r="E7" s="13"/>
      <c r="F7" s="15">
        <f>'Nhập Kho'!Q7</f>
        <v>6490</v>
      </c>
      <c r="G7" s="15">
        <f>'Xuất kho theo tháng'!CL7</f>
        <v>6490</v>
      </c>
      <c r="H7" s="15">
        <f t="shared" si="1"/>
        <v>0</v>
      </c>
      <c r="I7" s="11"/>
      <c r="J7" s="4"/>
    </row>
    <row r="8" ht="15.75" hidden="1" customHeight="1" outlineLevel="1">
      <c r="B8" s="12" t="s">
        <v>27</v>
      </c>
      <c r="C8" s="19" t="s">
        <v>29</v>
      </c>
      <c r="D8" s="12" t="s">
        <v>26</v>
      </c>
      <c r="E8" s="13"/>
      <c r="F8" s="15">
        <f>'Nhập Kho'!Q8</f>
        <v>0</v>
      </c>
      <c r="G8" s="15">
        <f>'Xuất kho theo tháng'!CL8</f>
        <v>0</v>
      </c>
      <c r="H8" s="15">
        <f t="shared" si="1"/>
        <v>0</v>
      </c>
      <c r="J8" s="4"/>
    </row>
    <row r="9" ht="18.0" hidden="1" customHeight="1" outlineLevel="1">
      <c r="B9" s="12" t="s">
        <v>30</v>
      </c>
      <c r="C9" s="23" t="s">
        <v>31</v>
      </c>
      <c r="D9" s="12" t="s">
        <v>26</v>
      </c>
      <c r="E9" s="13"/>
      <c r="F9" s="15">
        <f>'Nhập Kho'!Q9</f>
        <v>0</v>
      </c>
      <c r="G9" s="15">
        <f>'Xuất kho theo tháng'!CL9</f>
        <v>0</v>
      </c>
      <c r="H9" s="15">
        <f t="shared" si="1"/>
        <v>0</v>
      </c>
      <c r="J9" s="4"/>
    </row>
    <row r="10" outlineLevel="1">
      <c r="B10" s="12" t="s">
        <v>34</v>
      </c>
      <c r="C10" s="12" t="s">
        <v>35</v>
      </c>
      <c r="D10" s="12" t="s">
        <v>26</v>
      </c>
      <c r="E10" s="13"/>
      <c r="F10" s="15">
        <f>'Nhập Kho'!Q11</f>
        <v>0</v>
      </c>
      <c r="G10" s="15">
        <f>'Xuất kho theo tháng'!CL11</f>
        <v>0</v>
      </c>
      <c r="H10" s="15">
        <f t="shared" si="1"/>
        <v>0</v>
      </c>
    </row>
    <row r="11" outlineLevel="1">
      <c r="B11" s="12" t="s">
        <v>36</v>
      </c>
      <c r="C11" s="12" t="s">
        <v>37</v>
      </c>
      <c r="D11" s="12" t="s">
        <v>26</v>
      </c>
      <c r="E11" s="13"/>
      <c r="F11" s="15">
        <f>'Nhập Kho'!Q12</f>
        <v>0</v>
      </c>
      <c r="G11" s="15">
        <f>'Xuất kho theo tháng'!CL12</f>
        <v>0</v>
      </c>
      <c r="H11" s="15">
        <f t="shared" si="1"/>
        <v>0</v>
      </c>
      <c r="I11" s="4"/>
      <c r="J11" s="11"/>
    </row>
    <row r="12" outlineLevel="1">
      <c r="B12" s="12" t="s">
        <v>38</v>
      </c>
      <c r="C12" s="12" t="s">
        <v>39</v>
      </c>
      <c r="D12" s="12" t="s">
        <v>26</v>
      </c>
      <c r="E12" s="13"/>
      <c r="F12" s="15">
        <f>'Nhập Kho'!Q13</f>
        <v>0</v>
      </c>
      <c r="G12" s="15">
        <f>'Xuất kho theo tháng'!CL13</f>
        <v>0</v>
      </c>
      <c r="H12" s="15">
        <f t="shared" si="1"/>
        <v>0</v>
      </c>
      <c r="J12" s="4"/>
    </row>
    <row r="13" outlineLevel="1">
      <c r="B13" s="12" t="s">
        <v>40</v>
      </c>
      <c r="C13" s="12" t="s">
        <v>41</v>
      </c>
      <c r="D13" s="12" t="s">
        <v>26</v>
      </c>
      <c r="E13" s="13"/>
      <c r="F13" s="15">
        <f>'Nhập Kho'!Q14</f>
        <v>0</v>
      </c>
      <c r="G13" s="15">
        <f>'Xuất kho theo tháng'!CL14</f>
        <v>0</v>
      </c>
      <c r="H13" s="15">
        <f t="shared" si="1"/>
        <v>0</v>
      </c>
      <c r="J13" s="4"/>
    </row>
    <row r="14" outlineLevel="1">
      <c r="B14" s="12" t="s">
        <v>42</v>
      </c>
      <c r="C14" s="12" t="s">
        <v>43</v>
      </c>
      <c r="D14" s="12" t="s">
        <v>26</v>
      </c>
      <c r="E14" s="13"/>
      <c r="F14" s="15">
        <f>'Nhập Kho'!Q15</f>
        <v>35</v>
      </c>
      <c r="G14" s="15">
        <f>'Xuất kho theo tháng'!CL15</f>
        <v>31</v>
      </c>
      <c r="H14" s="15">
        <f t="shared" si="1"/>
        <v>4</v>
      </c>
      <c r="I14" s="27" t="s">
        <v>0</v>
      </c>
      <c r="J14" s="4"/>
    </row>
    <row r="15" ht="15.75" customHeight="1" outlineLevel="1">
      <c r="B15" s="12" t="s">
        <v>44</v>
      </c>
      <c r="C15" s="12" t="s">
        <v>45</v>
      </c>
      <c r="D15" s="12" t="s">
        <v>26</v>
      </c>
      <c r="E15" s="13"/>
      <c r="F15" s="15">
        <f>'Nhập Kho'!Q16</f>
        <v>3</v>
      </c>
      <c r="G15" s="15">
        <f>'Xuất kho theo tháng'!CL16</f>
        <v>3</v>
      </c>
      <c r="H15" s="15">
        <f t="shared" si="1"/>
        <v>0</v>
      </c>
    </row>
    <row r="16" ht="17.25" customHeight="1" outlineLevel="1">
      <c r="B16" s="12" t="s">
        <v>46</v>
      </c>
      <c r="C16" s="23" t="s">
        <v>47</v>
      </c>
      <c r="D16" s="12" t="s">
        <v>48</v>
      </c>
      <c r="E16" s="13"/>
      <c r="F16" s="15">
        <f>'Nhập Kho'!Q17</f>
        <v>1</v>
      </c>
      <c r="G16" s="15">
        <f>'Xuất kho theo tháng'!CL17</f>
        <v>0</v>
      </c>
      <c r="H16" s="15">
        <f t="shared" si="1"/>
        <v>1</v>
      </c>
    </row>
    <row r="17" outlineLevel="1">
      <c r="B17" s="12" t="s">
        <v>49</v>
      </c>
      <c r="C17" s="12" t="s">
        <v>51</v>
      </c>
      <c r="D17" s="12" t="s">
        <v>26</v>
      </c>
      <c r="E17" s="13"/>
      <c r="F17" s="15">
        <f>'Nhập Kho'!Q18</f>
        <v>4</v>
      </c>
      <c r="G17" s="15">
        <f>'Xuất kho theo tháng'!CL18</f>
        <v>2</v>
      </c>
      <c r="H17" s="15">
        <f t="shared" si="1"/>
        <v>2</v>
      </c>
    </row>
    <row r="18" outlineLevel="1">
      <c r="B18" s="12" t="s">
        <v>53</v>
      </c>
      <c r="C18" s="12" t="s">
        <v>54</v>
      </c>
      <c r="D18" s="12" t="s">
        <v>26</v>
      </c>
      <c r="E18" s="13"/>
      <c r="F18" s="15">
        <f>'Nhập Kho'!Q19</f>
        <v>0</v>
      </c>
      <c r="G18" s="15">
        <f>'Xuất kho theo tháng'!CL19</f>
        <v>0</v>
      </c>
      <c r="H18" s="15">
        <f t="shared" si="1"/>
        <v>0</v>
      </c>
    </row>
    <row r="19" outlineLevel="1">
      <c r="B19" s="12" t="s">
        <v>57</v>
      </c>
      <c r="C19" s="12" t="s">
        <v>58</v>
      </c>
      <c r="D19" s="12" t="s">
        <v>26</v>
      </c>
      <c r="E19" s="13"/>
      <c r="F19" s="15">
        <f>'Nhập Kho'!Q20</f>
        <v>6</v>
      </c>
      <c r="G19" s="15">
        <f>'Xuất kho theo tháng'!CL20</f>
        <v>0</v>
      </c>
      <c r="H19" s="15">
        <f t="shared" si="1"/>
        <v>6</v>
      </c>
      <c r="J19" s="4"/>
    </row>
    <row r="20" ht="22.5" customHeight="1" outlineLevel="1">
      <c r="B20" s="12" t="s">
        <v>60</v>
      </c>
      <c r="C20" s="12" t="s">
        <v>61</v>
      </c>
      <c r="D20" s="12" t="s">
        <v>26</v>
      </c>
      <c r="E20" s="13"/>
      <c r="F20" s="15">
        <f>'Nhập Kho'!Q21</f>
        <v>5</v>
      </c>
      <c r="G20" s="15">
        <f>'Xuất kho theo tháng'!CL21</f>
        <v>1</v>
      </c>
      <c r="H20" s="15">
        <f t="shared" si="1"/>
        <v>4</v>
      </c>
      <c r="I20" s="30" t="s">
        <v>72</v>
      </c>
      <c r="J20" s="11"/>
    </row>
    <row r="21" ht="21.0" customHeight="1" outlineLevel="1">
      <c r="B21" s="12" t="s">
        <v>62</v>
      </c>
      <c r="C21" s="23" t="s">
        <v>63</v>
      </c>
      <c r="D21" s="12" t="s">
        <v>48</v>
      </c>
      <c r="E21" s="13"/>
      <c r="F21" s="15">
        <f>'Nhập Kho'!Q22</f>
        <v>0</v>
      </c>
      <c r="G21" s="15">
        <f>'Xuất kho theo tháng'!CL22</f>
        <v>0</v>
      </c>
      <c r="H21" s="15">
        <f t="shared" si="1"/>
        <v>0</v>
      </c>
      <c r="J21" s="4"/>
    </row>
    <row r="22" ht="15.75" customHeight="1" outlineLevel="1">
      <c r="B22" s="12" t="s">
        <v>64</v>
      </c>
      <c r="C22" s="12" t="s">
        <v>65</v>
      </c>
      <c r="D22" s="12" t="s">
        <v>26</v>
      </c>
      <c r="E22" s="13"/>
      <c r="F22" s="15">
        <f>'Nhập Kho'!Q23</f>
        <v>4</v>
      </c>
      <c r="G22" s="15">
        <f>'Xuất kho theo tháng'!CL23</f>
        <v>2</v>
      </c>
      <c r="H22" s="15">
        <f t="shared" si="1"/>
        <v>2</v>
      </c>
    </row>
    <row r="23" ht="15.75" customHeight="1" outlineLevel="1">
      <c r="B23" s="12" t="s">
        <v>66</v>
      </c>
      <c r="C23" s="12" t="s">
        <v>67</v>
      </c>
      <c r="D23" s="12" t="s">
        <v>26</v>
      </c>
      <c r="E23" s="13"/>
      <c r="F23" s="15">
        <f>'Nhập Kho'!Q24</f>
        <v>7</v>
      </c>
      <c r="G23" s="15">
        <f>'Xuất kho theo tháng'!CL24</f>
        <v>3</v>
      </c>
      <c r="H23" s="15">
        <f t="shared" si="1"/>
        <v>4</v>
      </c>
      <c r="I23" s="27" t="s">
        <v>79</v>
      </c>
    </row>
    <row r="24" ht="15.75" customHeight="1" outlineLevel="1">
      <c r="B24" s="12" t="s">
        <v>68</v>
      </c>
      <c r="C24" s="12" t="s">
        <v>69</v>
      </c>
      <c r="D24" s="12" t="s">
        <v>26</v>
      </c>
      <c r="E24" s="13"/>
      <c r="F24" s="15">
        <f>'Nhập Kho'!Q25</f>
        <v>4</v>
      </c>
      <c r="G24" s="15">
        <f>'Xuất kho theo tháng'!CL25</f>
        <v>1</v>
      </c>
      <c r="H24" s="15">
        <f t="shared" si="1"/>
        <v>3</v>
      </c>
    </row>
    <row r="25" ht="37.5" customHeight="1" outlineLevel="1">
      <c r="B25" s="12" t="s">
        <v>70</v>
      </c>
      <c r="C25" s="23" t="s">
        <v>82</v>
      </c>
      <c r="D25" s="12" t="s">
        <v>26</v>
      </c>
      <c r="E25" s="13"/>
      <c r="F25" s="15">
        <f>'Nhập Kho'!Q26</f>
        <v>1</v>
      </c>
      <c r="G25" s="15">
        <f>'Xuất kho theo tháng'!CL26</f>
        <v>0</v>
      </c>
      <c r="H25" s="15">
        <f t="shared" si="1"/>
        <v>1</v>
      </c>
      <c r="I25" s="41" t="s">
        <v>83</v>
      </c>
    </row>
    <row r="26" ht="15.75" customHeight="1" outlineLevel="1">
      <c r="B26" s="31" t="s">
        <v>73</v>
      </c>
      <c r="C26" s="12" t="s">
        <v>74</v>
      </c>
      <c r="D26" s="12" t="s">
        <v>26</v>
      </c>
      <c r="E26" s="33"/>
      <c r="F26" s="15">
        <f>'Nhập Kho'!Q27</f>
        <v>2</v>
      </c>
      <c r="G26" s="15">
        <f>'Xuất kho theo tháng'!CL27</f>
        <v>2</v>
      </c>
      <c r="H26" s="15">
        <f t="shared" si="1"/>
        <v>0</v>
      </c>
    </row>
    <row r="27" ht="15.75" customHeight="1">
      <c r="B27" s="34" t="s">
        <v>75</v>
      </c>
      <c r="C27" s="34" t="s">
        <v>76</v>
      </c>
      <c r="D27" s="12" t="s">
        <v>26</v>
      </c>
      <c r="E27" s="33"/>
      <c r="F27" s="15">
        <f>'Nhập Kho'!Q28</f>
        <v>0</v>
      </c>
      <c r="G27" s="15"/>
      <c r="H27" s="15">
        <f t="shared" si="1"/>
        <v>0</v>
      </c>
    </row>
    <row r="28" ht="15.75" customHeight="1">
      <c r="B28" s="36" t="s">
        <v>77</v>
      </c>
      <c r="C28" s="36" t="s">
        <v>78</v>
      </c>
      <c r="D28" s="12" t="s">
        <v>26</v>
      </c>
      <c r="E28" s="35"/>
      <c r="F28" s="15">
        <f>'Nhập Kho'!Q29</f>
        <v>48</v>
      </c>
      <c r="G28" s="15">
        <f>'Xuất kho theo tháng'!CL28</f>
        <v>31</v>
      </c>
      <c r="H28" s="15">
        <f t="shared" si="1"/>
        <v>17</v>
      </c>
    </row>
    <row r="29" ht="15.75" customHeight="1">
      <c r="B29" s="36" t="s">
        <v>80</v>
      </c>
      <c r="C29" s="36" t="s">
        <v>81</v>
      </c>
      <c r="D29" s="12" t="s">
        <v>26</v>
      </c>
      <c r="E29" s="35"/>
      <c r="F29" s="15">
        <f>'Nhập Kho'!Q30</f>
        <v>53</v>
      </c>
      <c r="G29" s="15">
        <f>'Xuất kho theo tháng'!CL29</f>
        <v>15</v>
      </c>
      <c r="H29" s="15">
        <f t="shared" si="1"/>
        <v>38</v>
      </c>
    </row>
    <row r="30" ht="15.75" customHeight="1">
      <c r="B30" s="38" t="s">
        <v>86</v>
      </c>
      <c r="C30" s="38" t="s">
        <v>88</v>
      </c>
      <c r="D30" s="12" t="s">
        <v>26</v>
      </c>
      <c r="E30" s="35"/>
      <c r="F30" s="46"/>
      <c r="G30" s="46"/>
      <c r="H30" s="46"/>
    </row>
    <row r="31" ht="15.75" customHeight="1">
      <c r="B31" s="39"/>
      <c r="C31" s="39"/>
      <c r="D31" s="39"/>
      <c r="E31" s="39"/>
      <c r="F31" s="48" t="str">
        <f>'Nhập Kho'!Q32</f>
        <v/>
      </c>
      <c r="G31" s="49"/>
      <c r="H31" s="50">
        <f>SUM(H6:H26)</f>
        <v>527</v>
      </c>
    </row>
    <row r="32" ht="15.75" customHeight="1">
      <c r="E32" s="40"/>
      <c r="F32" s="40"/>
      <c r="G32" s="40"/>
      <c r="H32" s="40"/>
    </row>
    <row r="33" ht="15.75" customHeight="1">
      <c r="E33" s="40"/>
      <c r="F33" s="40"/>
      <c r="G33" s="40"/>
      <c r="H33" s="40"/>
    </row>
    <row r="34" ht="15.75" customHeight="1">
      <c r="E34" s="40"/>
      <c r="F34" s="40"/>
      <c r="G34" s="40"/>
      <c r="H34" s="40"/>
    </row>
    <row r="35" ht="15.75" customHeight="1">
      <c r="E35" s="40"/>
      <c r="F35" s="40"/>
      <c r="G35" s="40"/>
      <c r="H35" s="40"/>
    </row>
    <row r="36" ht="15.75" customHeight="1">
      <c r="E36" s="40"/>
      <c r="F36" s="40"/>
      <c r="G36" s="40"/>
      <c r="H36" s="40"/>
    </row>
    <row r="37" ht="15.75" customHeight="1">
      <c r="E37" s="40"/>
      <c r="F37" s="40"/>
      <c r="G37" s="40"/>
      <c r="H37" s="40"/>
    </row>
    <row r="38" ht="15.75" customHeight="1">
      <c r="E38" s="40"/>
      <c r="F38" s="40"/>
      <c r="G38" s="40"/>
      <c r="H38" s="40"/>
    </row>
    <row r="39" ht="15.75" customHeight="1">
      <c r="E39" s="40"/>
      <c r="F39" s="40"/>
      <c r="G39" s="40"/>
      <c r="H39" s="40"/>
    </row>
    <row r="40" ht="15.75" customHeight="1">
      <c r="E40" s="40"/>
      <c r="F40" s="40"/>
      <c r="G40" s="40"/>
      <c r="H40" s="40"/>
    </row>
    <row r="41" ht="15.75" customHeight="1">
      <c r="E41" s="40"/>
      <c r="F41" s="40"/>
      <c r="G41" s="40"/>
      <c r="H41" s="40"/>
    </row>
    <row r="42" ht="15.75" customHeight="1">
      <c r="E42" s="40"/>
      <c r="F42" s="40"/>
      <c r="G42" s="40"/>
      <c r="H42" s="40"/>
    </row>
    <row r="43" ht="15.75" customHeight="1">
      <c r="E43" s="40"/>
      <c r="F43" s="40"/>
      <c r="G43" s="40"/>
      <c r="H43" s="40"/>
    </row>
    <row r="44" ht="15.75" customHeight="1">
      <c r="E44" s="40"/>
      <c r="F44" s="40"/>
      <c r="G44" s="40"/>
      <c r="H44" s="40"/>
    </row>
    <row r="45" ht="15.75" customHeight="1">
      <c r="E45" s="40"/>
      <c r="F45" s="40"/>
      <c r="G45" s="40"/>
      <c r="H45" s="40"/>
    </row>
    <row r="46" ht="15.75" customHeight="1">
      <c r="E46" s="40"/>
      <c r="F46" s="40"/>
      <c r="G46" s="40"/>
      <c r="H46" s="40"/>
    </row>
    <row r="47" ht="15.75" customHeight="1">
      <c r="E47" s="40"/>
      <c r="F47" s="40"/>
      <c r="G47" s="40"/>
      <c r="H47" s="40"/>
    </row>
    <row r="48" ht="15.75" customHeight="1">
      <c r="E48" s="40"/>
      <c r="F48" s="40"/>
      <c r="G48" s="40"/>
      <c r="H48" s="40"/>
    </row>
    <row r="49" ht="15.75" customHeight="1">
      <c r="E49" s="40"/>
      <c r="F49" s="40"/>
      <c r="G49" s="40"/>
      <c r="H49" s="40"/>
    </row>
    <row r="50" ht="15.75" customHeight="1">
      <c r="E50" s="40"/>
      <c r="F50" s="40"/>
      <c r="G50" s="40"/>
      <c r="H50" s="40"/>
    </row>
    <row r="51" ht="15.75" customHeight="1">
      <c r="E51" s="40"/>
      <c r="F51" s="40"/>
      <c r="G51" s="40"/>
      <c r="H51" s="40"/>
    </row>
    <row r="52" ht="15.75" customHeight="1">
      <c r="E52" s="40"/>
      <c r="F52" s="40"/>
      <c r="G52" s="40"/>
      <c r="H52" s="40"/>
    </row>
    <row r="53" ht="15.75" customHeight="1">
      <c r="E53" s="40"/>
      <c r="F53" s="40"/>
      <c r="G53" s="40"/>
      <c r="H53" s="40"/>
    </row>
    <row r="54" ht="15.75" customHeight="1">
      <c r="E54" s="40"/>
      <c r="F54" s="40"/>
      <c r="G54" s="40"/>
      <c r="H54" s="40"/>
    </row>
    <row r="55" ht="15.75" customHeight="1">
      <c r="E55" s="40"/>
      <c r="F55" s="40"/>
      <c r="G55" s="40"/>
      <c r="H55" s="40"/>
    </row>
    <row r="56" ht="15.75" customHeight="1">
      <c r="E56" s="40"/>
      <c r="F56" s="40"/>
      <c r="G56" s="40"/>
      <c r="H56" s="40"/>
    </row>
    <row r="57" ht="15.75" customHeight="1">
      <c r="E57" s="40"/>
      <c r="F57" s="40"/>
      <c r="G57" s="40"/>
      <c r="H57" s="40"/>
    </row>
    <row r="58" ht="15.75" customHeight="1">
      <c r="E58" s="40"/>
      <c r="F58" s="40"/>
      <c r="G58" s="40"/>
      <c r="H58" s="40"/>
    </row>
    <row r="59" ht="15.75" customHeight="1">
      <c r="E59" s="40"/>
      <c r="F59" s="40"/>
      <c r="G59" s="40"/>
      <c r="H59" s="40"/>
    </row>
    <row r="60" ht="15.75" customHeight="1">
      <c r="E60" s="40"/>
      <c r="F60" s="40"/>
      <c r="G60" s="40"/>
      <c r="H60" s="40"/>
    </row>
    <row r="61" ht="15.75" customHeight="1">
      <c r="E61" s="40"/>
      <c r="F61" s="40"/>
      <c r="G61" s="40"/>
      <c r="H61" s="40"/>
    </row>
    <row r="62" ht="15.75" customHeight="1">
      <c r="E62" s="40"/>
      <c r="F62" s="40"/>
      <c r="G62" s="40"/>
      <c r="H62" s="40"/>
    </row>
    <row r="63" ht="15.75" customHeight="1">
      <c r="E63" s="40"/>
      <c r="F63" s="40"/>
      <c r="G63" s="40"/>
      <c r="H63" s="40"/>
    </row>
    <row r="64" ht="15.75" customHeight="1">
      <c r="E64" s="40"/>
      <c r="F64" s="40"/>
      <c r="G64" s="40"/>
      <c r="H64" s="40"/>
    </row>
    <row r="65" ht="15.75" customHeight="1">
      <c r="E65" s="40"/>
      <c r="F65" s="40"/>
      <c r="G65" s="40"/>
      <c r="H65" s="40"/>
    </row>
    <row r="66" ht="15.75" customHeight="1">
      <c r="E66" s="40"/>
      <c r="F66" s="40"/>
      <c r="G66" s="40"/>
      <c r="H66" s="40"/>
    </row>
    <row r="67" ht="15.75" customHeight="1">
      <c r="E67" s="40"/>
      <c r="F67" s="40"/>
      <c r="G67" s="40"/>
      <c r="H67" s="40"/>
    </row>
    <row r="68" ht="15.75" customHeight="1">
      <c r="E68" s="40"/>
      <c r="F68" s="40"/>
      <c r="G68" s="40"/>
      <c r="H68" s="40"/>
    </row>
    <row r="69" ht="15.75" customHeight="1">
      <c r="E69" s="40"/>
      <c r="F69" s="40"/>
      <c r="G69" s="40"/>
      <c r="H69" s="40"/>
    </row>
    <row r="70" ht="15.75" customHeight="1">
      <c r="E70" s="40"/>
      <c r="F70" s="40"/>
      <c r="G70" s="40"/>
      <c r="H70" s="40"/>
    </row>
    <row r="71" ht="15.75" customHeight="1">
      <c r="E71" s="40"/>
      <c r="F71" s="40"/>
      <c r="G71" s="40"/>
      <c r="H71" s="40"/>
    </row>
    <row r="72" ht="15.75" customHeight="1">
      <c r="E72" s="40"/>
      <c r="F72" s="40"/>
      <c r="G72" s="40"/>
      <c r="H72" s="40"/>
    </row>
    <row r="73" ht="15.75" customHeight="1">
      <c r="E73" s="40"/>
      <c r="F73" s="40"/>
      <c r="G73" s="40"/>
      <c r="H73" s="40"/>
    </row>
    <row r="74" ht="15.75" customHeight="1">
      <c r="E74" s="40"/>
      <c r="F74" s="40"/>
      <c r="G74" s="40"/>
      <c r="H74" s="40"/>
    </row>
    <row r="75" ht="15.75" customHeight="1">
      <c r="E75" s="40"/>
      <c r="F75" s="40"/>
      <c r="G75" s="40"/>
      <c r="H75" s="40"/>
    </row>
    <row r="76" ht="15.75" customHeight="1">
      <c r="E76" s="40"/>
      <c r="F76" s="40"/>
      <c r="G76" s="40"/>
      <c r="H76" s="40"/>
    </row>
    <row r="77" ht="15.75" customHeight="1">
      <c r="E77" s="40"/>
      <c r="F77" s="40"/>
      <c r="G77" s="40"/>
      <c r="H77" s="40"/>
    </row>
    <row r="78" ht="15.75" customHeight="1">
      <c r="E78" s="40"/>
      <c r="F78" s="40"/>
      <c r="G78" s="40"/>
      <c r="H78" s="40"/>
    </row>
    <row r="79" ht="15.75" customHeight="1">
      <c r="E79" s="40"/>
      <c r="F79" s="40"/>
      <c r="G79" s="40"/>
      <c r="H79" s="40"/>
    </row>
    <row r="80" ht="15.75" customHeight="1">
      <c r="E80" s="40"/>
      <c r="F80" s="40"/>
      <c r="G80" s="40"/>
      <c r="H80" s="40"/>
    </row>
    <row r="81" ht="15.75" customHeight="1">
      <c r="E81" s="40"/>
      <c r="F81" s="40"/>
      <c r="G81" s="40"/>
      <c r="H81" s="40"/>
    </row>
    <row r="82" ht="15.75" customHeight="1">
      <c r="E82" s="40"/>
      <c r="F82" s="40"/>
      <c r="G82" s="40"/>
      <c r="H82" s="40"/>
    </row>
    <row r="83" ht="15.75" customHeight="1">
      <c r="E83" s="40"/>
      <c r="F83" s="40"/>
      <c r="G83" s="40"/>
      <c r="H83" s="40"/>
    </row>
    <row r="84" ht="15.75" customHeight="1">
      <c r="E84" s="40"/>
      <c r="F84" s="40"/>
      <c r="G84" s="40"/>
      <c r="H84" s="40"/>
    </row>
    <row r="85" ht="15.75" customHeight="1">
      <c r="E85" s="40"/>
      <c r="F85" s="40"/>
      <c r="G85" s="40"/>
      <c r="H85" s="40"/>
    </row>
    <row r="86" ht="15.75" customHeight="1">
      <c r="E86" s="40"/>
      <c r="F86" s="40"/>
      <c r="G86" s="40"/>
      <c r="H86" s="40"/>
    </row>
    <row r="87" ht="15.75" customHeight="1">
      <c r="E87" s="40"/>
      <c r="F87" s="40"/>
      <c r="G87" s="40"/>
      <c r="H87" s="40"/>
    </row>
    <row r="88" ht="15.75" customHeight="1">
      <c r="E88" s="40"/>
      <c r="F88" s="40"/>
      <c r="G88" s="40"/>
      <c r="H88" s="40"/>
    </row>
    <row r="89" ht="15.75" customHeight="1">
      <c r="E89" s="40"/>
      <c r="F89" s="40"/>
      <c r="G89" s="40"/>
      <c r="H89" s="40"/>
    </row>
    <row r="90" ht="15.75" customHeight="1">
      <c r="E90" s="40"/>
      <c r="F90" s="40"/>
      <c r="G90" s="40"/>
      <c r="H90" s="40"/>
    </row>
    <row r="91" ht="15.75" customHeight="1">
      <c r="E91" s="40"/>
      <c r="F91" s="40"/>
      <c r="G91" s="40"/>
      <c r="H91" s="40"/>
    </row>
    <row r="92" ht="15.75" customHeight="1">
      <c r="E92" s="40"/>
      <c r="F92" s="40"/>
      <c r="G92" s="40"/>
      <c r="H92" s="40"/>
    </row>
    <row r="93" ht="15.75" customHeight="1">
      <c r="E93" s="40"/>
      <c r="F93" s="40"/>
      <c r="G93" s="40"/>
      <c r="H93" s="40"/>
    </row>
    <row r="94" ht="15.75" customHeight="1">
      <c r="E94" s="40"/>
      <c r="F94" s="40"/>
      <c r="G94" s="40"/>
      <c r="H94" s="40"/>
    </row>
    <row r="95" ht="15.75" customHeight="1">
      <c r="E95" s="40"/>
      <c r="F95" s="40"/>
      <c r="G95" s="40"/>
      <c r="H95" s="40"/>
    </row>
    <row r="96" ht="15.75" customHeight="1">
      <c r="E96" s="40"/>
      <c r="F96" s="40"/>
      <c r="G96" s="40"/>
      <c r="H96" s="40"/>
    </row>
    <row r="97" ht="15.75" customHeight="1">
      <c r="E97" s="40"/>
      <c r="F97" s="40"/>
      <c r="G97" s="40"/>
      <c r="H97" s="40"/>
    </row>
    <row r="98" ht="15.75" customHeight="1">
      <c r="E98" s="40"/>
      <c r="F98" s="40"/>
      <c r="G98" s="40"/>
      <c r="H98" s="40"/>
    </row>
    <row r="99" ht="15.75" customHeight="1">
      <c r="E99" s="40"/>
      <c r="F99" s="40"/>
      <c r="G99" s="40"/>
      <c r="H99" s="40"/>
    </row>
    <row r="100" ht="15.75" customHeight="1">
      <c r="E100" s="40"/>
      <c r="F100" s="40"/>
      <c r="G100" s="40"/>
      <c r="H100" s="40"/>
    </row>
    <row r="101" ht="15.75" customHeight="1">
      <c r="E101" s="40"/>
      <c r="F101" s="40"/>
      <c r="G101" s="40"/>
      <c r="H101" s="40"/>
    </row>
    <row r="102" ht="15.75" customHeight="1">
      <c r="E102" s="40"/>
      <c r="F102" s="40"/>
      <c r="G102" s="40"/>
      <c r="H102" s="40"/>
    </row>
    <row r="103" ht="15.75" customHeight="1">
      <c r="E103" s="40"/>
      <c r="F103" s="40"/>
      <c r="G103" s="40"/>
      <c r="H103" s="40"/>
    </row>
    <row r="104" ht="15.75" customHeight="1">
      <c r="E104" s="40"/>
      <c r="F104" s="40"/>
      <c r="G104" s="40"/>
      <c r="H104" s="40"/>
    </row>
    <row r="105" ht="15.75" customHeight="1">
      <c r="E105" s="40"/>
      <c r="F105" s="40"/>
      <c r="G105" s="40"/>
      <c r="H105" s="40"/>
    </row>
    <row r="106" ht="15.75" customHeight="1">
      <c r="E106" s="40"/>
      <c r="F106" s="40"/>
      <c r="G106" s="40"/>
      <c r="H106" s="40"/>
    </row>
    <row r="107" ht="15.75" customHeight="1">
      <c r="E107" s="40"/>
      <c r="F107" s="40"/>
      <c r="G107" s="40"/>
      <c r="H107" s="40"/>
    </row>
    <row r="108" ht="15.75" customHeight="1">
      <c r="E108" s="40"/>
      <c r="F108" s="40"/>
      <c r="G108" s="40"/>
      <c r="H108" s="40"/>
    </row>
    <row r="109" ht="15.75" customHeight="1">
      <c r="E109" s="40"/>
      <c r="F109" s="40"/>
      <c r="G109" s="40"/>
      <c r="H109" s="40"/>
    </row>
    <row r="110" ht="15.75" customHeight="1">
      <c r="E110" s="40"/>
      <c r="F110" s="40"/>
      <c r="G110" s="40"/>
      <c r="H110" s="40"/>
    </row>
    <row r="111" ht="15.75" customHeight="1">
      <c r="E111" s="40"/>
      <c r="F111" s="40"/>
      <c r="G111" s="40"/>
      <c r="H111" s="40"/>
    </row>
    <row r="112" ht="15.75" customHeight="1">
      <c r="E112" s="40"/>
      <c r="F112" s="40"/>
      <c r="G112" s="40"/>
      <c r="H112" s="40"/>
    </row>
    <row r="113" ht="15.75" customHeight="1">
      <c r="E113" s="40"/>
      <c r="F113" s="40"/>
      <c r="G113" s="40"/>
      <c r="H113" s="40"/>
    </row>
    <row r="114" ht="15.75" customHeight="1">
      <c r="E114" s="40"/>
      <c r="F114" s="40"/>
      <c r="G114" s="40"/>
      <c r="H114" s="40"/>
    </row>
    <row r="115" ht="15.75" customHeight="1">
      <c r="E115" s="40"/>
      <c r="F115" s="40"/>
      <c r="G115" s="40"/>
      <c r="H115" s="40"/>
    </row>
    <row r="116" ht="15.75" customHeight="1">
      <c r="E116" s="40"/>
      <c r="F116" s="40"/>
      <c r="G116" s="40"/>
      <c r="H116" s="40"/>
    </row>
    <row r="117" ht="15.75" customHeight="1">
      <c r="E117" s="40"/>
      <c r="F117" s="40"/>
      <c r="G117" s="40"/>
      <c r="H117" s="40"/>
    </row>
    <row r="118" ht="15.75" customHeight="1">
      <c r="E118" s="40"/>
      <c r="F118" s="40"/>
      <c r="G118" s="40"/>
      <c r="H118" s="40"/>
    </row>
    <row r="119" ht="15.75" customHeight="1">
      <c r="E119" s="40"/>
      <c r="F119" s="40"/>
      <c r="G119" s="40"/>
      <c r="H119" s="40"/>
    </row>
    <row r="120" ht="15.75" customHeight="1">
      <c r="E120" s="40"/>
      <c r="F120" s="40"/>
      <c r="G120" s="40"/>
      <c r="H120" s="40"/>
    </row>
    <row r="121" ht="15.75" customHeight="1">
      <c r="E121" s="40"/>
      <c r="F121" s="40"/>
      <c r="G121" s="40"/>
      <c r="H121" s="40"/>
    </row>
    <row r="122" ht="15.75" customHeight="1">
      <c r="E122" s="40"/>
      <c r="F122" s="40"/>
      <c r="G122" s="40"/>
      <c r="H122" s="40"/>
    </row>
    <row r="123" ht="15.75" customHeight="1">
      <c r="E123" s="40"/>
      <c r="F123" s="40"/>
      <c r="G123" s="40"/>
      <c r="H123" s="40"/>
    </row>
    <row r="124" ht="15.75" customHeight="1">
      <c r="E124" s="40"/>
      <c r="F124" s="40"/>
      <c r="G124" s="40"/>
      <c r="H124" s="40"/>
    </row>
    <row r="125" ht="15.75" customHeight="1">
      <c r="E125" s="40"/>
      <c r="F125" s="40"/>
      <c r="G125" s="40"/>
      <c r="H125" s="40"/>
    </row>
    <row r="126" ht="15.75" customHeight="1">
      <c r="E126" s="40"/>
      <c r="F126" s="40"/>
      <c r="G126" s="40"/>
      <c r="H126" s="40"/>
    </row>
    <row r="127" ht="15.75" customHeight="1">
      <c r="E127" s="40"/>
      <c r="F127" s="40"/>
      <c r="G127" s="40"/>
      <c r="H127" s="40"/>
    </row>
    <row r="128" ht="15.75" customHeight="1">
      <c r="E128" s="40"/>
      <c r="F128" s="40"/>
      <c r="G128" s="40"/>
      <c r="H128" s="40"/>
    </row>
    <row r="129" ht="15.75" customHeight="1">
      <c r="E129" s="40"/>
      <c r="F129" s="40"/>
      <c r="G129" s="40"/>
      <c r="H129" s="40"/>
    </row>
    <row r="130" ht="15.75" customHeight="1">
      <c r="E130" s="40"/>
      <c r="F130" s="40"/>
      <c r="G130" s="40"/>
      <c r="H130" s="40"/>
    </row>
    <row r="131" ht="15.75" customHeight="1">
      <c r="E131" s="40"/>
      <c r="F131" s="40"/>
      <c r="G131" s="40"/>
      <c r="H131" s="40"/>
    </row>
    <row r="132" ht="15.75" customHeight="1">
      <c r="E132" s="40"/>
      <c r="F132" s="40"/>
      <c r="G132" s="40"/>
      <c r="H132" s="40"/>
    </row>
    <row r="133" ht="15.75" customHeight="1">
      <c r="E133" s="40"/>
      <c r="F133" s="40"/>
      <c r="G133" s="40"/>
      <c r="H133" s="40"/>
    </row>
    <row r="134" ht="15.75" customHeight="1">
      <c r="E134" s="40"/>
      <c r="F134" s="40"/>
      <c r="G134" s="40"/>
      <c r="H134" s="40"/>
    </row>
    <row r="135" ht="15.75" customHeight="1">
      <c r="E135" s="40"/>
      <c r="F135" s="40"/>
      <c r="G135" s="40"/>
      <c r="H135" s="40"/>
    </row>
    <row r="136" ht="15.75" customHeight="1">
      <c r="E136" s="40"/>
      <c r="F136" s="40"/>
      <c r="G136" s="40"/>
      <c r="H136" s="40"/>
    </row>
    <row r="137" ht="15.75" customHeight="1">
      <c r="E137" s="40"/>
      <c r="F137" s="40"/>
      <c r="G137" s="40"/>
      <c r="H137" s="40"/>
    </row>
    <row r="138" ht="15.75" customHeight="1">
      <c r="E138" s="40"/>
      <c r="F138" s="40"/>
      <c r="G138" s="40"/>
      <c r="H138" s="40"/>
    </row>
    <row r="139" ht="15.75" customHeight="1">
      <c r="E139" s="40"/>
      <c r="F139" s="40"/>
      <c r="G139" s="40"/>
      <c r="H139" s="40"/>
    </row>
    <row r="140" ht="15.75" customHeight="1">
      <c r="E140" s="40"/>
      <c r="F140" s="40"/>
      <c r="G140" s="40"/>
      <c r="H140" s="40"/>
    </row>
    <row r="141" ht="15.75" customHeight="1">
      <c r="E141" s="40"/>
      <c r="F141" s="40"/>
      <c r="G141" s="40"/>
      <c r="H141" s="40"/>
    </row>
    <row r="142" ht="15.75" customHeight="1">
      <c r="E142" s="40"/>
      <c r="F142" s="40"/>
      <c r="G142" s="40"/>
      <c r="H142" s="40"/>
    </row>
    <row r="143" ht="15.75" customHeight="1">
      <c r="E143" s="40"/>
      <c r="F143" s="40"/>
      <c r="G143" s="40"/>
      <c r="H143" s="40"/>
    </row>
    <row r="144" ht="15.75" customHeight="1">
      <c r="E144" s="40"/>
      <c r="F144" s="40"/>
      <c r="G144" s="40"/>
      <c r="H144" s="40"/>
    </row>
    <row r="145" ht="15.75" customHeight="1">
      <c r="E145" s="40"/>
      <c r="F145" s="40"/>
      <c r="G145" s="40"/>
      <c r="H145" s="40"/>
    </row>
    <row r="146" ht="15.75" customHeight="1">
      <c r="E146" s="40"/>
      <c r="F146" s="40"/>
      <c r="G146" s="40"/>
      <c r="H146" s="40"/>
    </row>
    <row r="147" ht="15.75" customHeight="1">
      <c r="E147" s="40"/>
      <c r="F147" s="40"/>
      <c r="G147" s="40"/>
      <c r="H147" s="40"/>
    </row>
    <row r="148" ht="15.75" customHeight="1">
      <c r="E148" s="40"/>
      <c r="F148" s="40"/>
      <c r="G148" s="40"/>
      <c r="H148" s="40"/>
    </row>
    <row r="149" ht="15.75" customHeight="1">
      <c r="E149" s="40"/>
      <c r="F149" s="40"/>
      <c r="G149" s="40"/>
      <c r="H149" s="40"/>
    </row>
    <row r="150" ht="15.75" customHeight="1">
      <c r="E150" s="40"/>
      <c r="F150" s="40"/>
      <c r="G150" s="40"/>
      <c r="H150" s="40"/>
    </row>
    <row r="151" ht="15.75" customHeight="1">
      <c r="E151" s="40"/>
      <c r="F151" s="40"/>
      <c r="G151" s="40"/>
      <c r="H151" s="40"/>
    </row>
    <row r="152" ht="15.75" customHeight="1">
      <c r="E152" s="40"/>
      <c r="F152" s="40"/>
      <c r="G152" s="40"/>
      <c r="H152" s="40"/>
    </row>
    <row r="153" ht="15.75" customHeight="1">
      <c r="E153" s="40"/>
      <c r="F153" s="40"/>
      <c r="G153" s="40"/>
      <c r="H153" s="40"/>
    </row>
    <row r="154" ht="15.75" customHeight="1">
      <c r="E154" s="40"/>
      <c r="F154" s="40"/>
      <c r="G154" s="40"/>
      <c r="H154" s="40"/>
    </row>
    <row r="155" ht="15.75" customHeight="1">
      <c r="E155" s="40"/>
      <c r="F155" s="40"/>
      <c r="G155" s="40"/>
      <c r="H155" s="40"/>
    </row>
    <row r="156" ht="15.75" customHeight="1">
      <c r="E156" s="40"/>
      <c r="F156" s="40"/>
      <c r="G156" s="40"/>
      <c r="H156" s="40"/>
    </row>
    <row r="157" ht="15.75" customHeight="1">
      <c r="E157" s="40"/>
      <c r="F157" s="40"/>
      <c r="G157" s="40"/>
      <c r="H157" s="40"/>
    </row>
    <row r="158" ht="15.75" customHeight="1">
      <c r="E158" s="40"/>
      <c r="F158" s="40"/>
      <c r="G158" s="40"/>
      <c r="H158" s="40"/>
    </row>
    <row r="159" ht="15.75" customHeight="1">
      <c r="E159" s="40"/>
      <c r="F159" s="40"/>
      <c r="G159" s="40"/>
      <c r="H159" s="40"/>
    </row>
    <row r="160" ht="15.75" customHeight="1">
      <c r="E160" s="40"/>
      <c r="F160" s="40"/>
      <c r="G160" s="40"/>
      <c r="H160" s="40"/>
    </row>
    <row r="161" ht="15.75" customHeight="1">
      <c r="E161" s="40"/>
      <c r="F161" s="40"/>
      <c r="G161" s="40"/>
      <c r="H161" s="40"/>
    </row>
    <row r="162" ht="15.75" customHeight="1">
      <c r="E162" s="40"/>
      <c r="F162" s="40"/>
      <c r="G162" s="40"/>
      <c r="H162" s="40"/>
    </row>
    <row r="163" ht="15.75" customHeight="1">
      <c r="E163" s="40"/>
      <c r="F163" s="40"/>
      <c r="G163" s="40"/>
      <c r="H163" s="40"/>
    </row>
    <row r="164" ht="15.75" customHeight="1">
      <c r="E164" s="40"/>
      <c r="F164" s="40"/>
      <c r="G164" s="40"/>
      <c r="H164" s="40"/>
    </row>
    <row r="165" ht="15.75" customHeight="1">
      <c r="E165" s="40"/>
      <c r="F165" s="40"/>
      <c r="G165" s="40"/>
      <c r="H165" s="40"/>
    </row>
    <row r="166" ht="15.75" customHeight="1">
      <c r="E166" s="40"/>
      <c r="F166" s="40"/>
      <c r="G166" s="40"/>
      <c r="H166" s="40"/>
    </row>
    <row r="167" ht="15.75" customHeight="1">
      <c r="E167" s="40"/>
      <c r="F167" s="40"/>
      <c r="G167" s="40"/>
      <c r="H167" s="40"/>
    </row>
    <row r="168" ht="15.75" customHeight="1">
      <c r="E168" s="40"/>
      <c r="F168" s="40"/>
      <c r="G168" s="40"/>
      <c r="H168" s="40"/>
    </row>
    <row r="169" ht="15.75" customHeight="1">
      <c r="E169" s="40"/>
      <c r="F169" s="40"/>
      <c r="G169" s="40"/>
      <c r="H169" s="40"/>
    </row>
    <row r="170" ht="15.75" customHeight="1">
      <c r="E170" s="40"/>
      <c r="F170" s="40"/>
      <c r="G170" s="40"/>
      <c r="H170" s="40"/>
    </row>
    <row r="171" ht="15.75" customHeight="1">
      <c r="E171" s="40"/>
      <c r="F171" s="40"/>
      <c r="G171" s="40"/>
      <c r="H171" s="40"/>
    </row>
    <row r="172" ht="15.75" customHeight="1">
      <c r="E172" s="40"/>
      <c r="F172" s="40"/>
      <c r="G172" s="40"/>
      <c r="H172" s="40"/>
    </row>
    <row r="173" ht="15.75" customHeight="1">
      <c r="E173" s="40"/>
      <c r="F173" s="40"/>
      <c r="G173" s="40"/>
      <c r="H173" s="40"/>
    </row>
    <row r="174" ht="15.75" customHeight="1">
      <c r="E174" s="40"/>
      <c r="F174" s="40"/>
      <c r="G174" s="40"/>
      <c r="H174" s="40"/>
    </row>
    <row r="175" ht="15.75" customHeight="1">
      <c r="E175" s="40"/>
      <c r="F175" s="40"/>
      <c r="G175" s="40"/>
      <c r="H175" s="40"/>
    </row>
    <row r="176" ht="15.75" customHeight="1">
      <c r="E176" s="40"/>
      <c r="F176" s="40"/>
      <c r="G176" s="40"/>
      <c r="H176" s="40"/>
    </row>
    <row r="177" ht="15.75" customHeight="1">
      <c r="E177" s="40"/>
      <c r="F177" s="40"/>
      <c r="G177" s="40"/>
      <c r="H177" s="40"/>
    </row>
    <row r="178" ht="15.75" customHeight="1">
      <c r="E178" s="40"/>
      <c r="F178" s="40"/>
      <c r="G178" s="40"/>
      <c r="H178" s="40"/>
    </row>
    <row r="179" ht="15.75" customHeight="1">
      <c r="E179" s="40"/>
      <c r="F179" s="40"/>
      <c r="G179" s="40"/>
      <c r="H179" s="40"/>
    </row>
    <row r="180" ht="15.75" customHeight="1">
      <c r="E180" s="40"/>
      <c r="F180" s="40"/>
      <c r="G180" s="40"/>
      <c r="H180" s="40"/>
    </row>
    <row r="181" ht="15.75" customHeight="1">
      <c r="E181" s="40"/>
      <c r="F181" s="40"/>
      <c r="G181" s="40"/>
      <c r="H181" s="40"/>
    </row>
    <row r="182" ht="15.75" customHeight="1">
      <c r="E182" s="40"/>
      <c r="F182" s="40"/>
      <c r="G182" s="40"/>
      <c r="H182" s="40"/>
    </row>
    <row r="183" ht="15.75" customHeight="1">
      <c r="E183" s="40"/>
      <c r="F183" s="40"/>
      <c r="G183" s="40"/>
      <c r="H183" s="40"/>
    </row>
    <row r="184" ht="15.75" customHeight="1">
      <c r="E184" s="40"/>
      <c r="F184" s="40"/>
      <c r="G184" s="40"/>
      <c r="H184" s="40"/>
    </row>
    <row r="185" ht="15.75" customHeight="1">
      <c r="E185" s="40"/>
      <c r="F185" s="40"/>
      <c r="G185" s="40"/>
      <c r="H185" s="40"/>
    </row>
    <row r="186" ht="15.75" customHeight="1">
      <c r="E186" s="40"/>
      <c r="F186" s="40"/>
      <c r="G186" s="40"/>
      <c r="H186" s="40"/>
    </row>
    <row r="187" ht="15.75" customHeight="1">
      <c r="E187" s="40"/>
      <c r="F187" s="40"/>
      <c r="G187" s="40"/>
      <c r="H187" s="40"/>
    </row>
    <row r="188" ht="15.75" customHeight="1">
      <c r="E188" s="40"/>
      <c r="F188" s="40"/>
      <c r="G188" s="40"/>
      <c r="H188" s="40"/>
    </row>
    <row r="189" ht="15.75" customHeight="1">
      <c r="E189" s="40"/>
      <c r="F189" s="40"/>
      <c r="G189" s="40"/>
      <c r="H189" s="40"/>
    </row>
    <row r="190" ht="15.75" customHeight="1">
      <c r="E190" s="40"/>
      <c r="F190" s="40"/>
      <c r="G190" s="40"/>
      <c r="H190" s="40"/>
    </row>
    <row r="191" ht="15.75" customHeight="1">
      <c r="E191" s="40"/>
      <c r="F191" s="40"/>
      <c r="G191" s="40"/>
      <c r="H191" s="40"/>
    </row>
    <row r="192" ht="15.75" customHeight="1">
      <c r="E192" s="40"/>
      <c r="F192" s="40"/>
      <c r="G192" s="40"/>
      <c r="H192" s="40"/>
    </row>
    <row r="193" ht="15.75" customHeight="1">
      <c r="E193" s="40"/>
      <c r="F193" s="40"/>
      <c r="G193" s="40"/>
      <c r="H193" s="40"/>
    </row>
    <row r="194" ht="15.75" customHeight="1">
      <c r="E194" s="40"/>
      <c r="F194" s="40"/>
      <c r="G194" s="40"/>
      <c r="H194" s="40"/>
    </row>
    <row r="195" ht="15.75" customHeight="1">
      <c r="E195" s="40"/>
      <c r="F195" s="40"/>
      <c r="G195" s="40"/>
      <c r="H195" s="40"/>
    </row>
    <row r="196" ht="15.75" customHeight="1">
      <c r="E196" s="40"/>
      <c r="F196" s="40"/>
      <c r="G196" s="40"/>
      <c r="H196" s="40"/>
    </row>
    <row r="197" ht="15.75" customHeight="1">
      <c r="E197" s="40"/>
      <c r="F197" s="40"/>
      <c r="G197" s="40"/>
      <c r="H197" s="40"/>
    </row>
    <row r="198" ht="15.75" customHeight="1">
      <c r="E198" s="40"/>
      <c r="F198" s="40"/>
      <c r="G198" s="40"/>
      <c r="H198" s="40"/>
    </row>
    <row r="199" ht="15.75" customHeight="1">
      <c r="E199" s="40"/>
      <c r="F199" s="40"/>
      <c r="G199" s="40"/>
      <c r="H199" s="40"/>
    </row>
    <row r="200" ht="15.75" customHeight="1">
      <c r="E200" s="40"/>
      <c r="F200" s="40"/>
      <c r="G200" s="40"/>
      <c r="H200" s="40"/>
    </row>
    <row r="201" ht="15.75" customHeight="1">
      <c r="E201" s="40"/>
      <c r="F201" s="40"/>
      <c r="G201" s="40"/>
      <c r="H201" s="40"/>
    </row>
    <row r="202" ht="15.75" customHeight="1">
      <c r="E202" s="40"/>
      <c r="F202" s="40"/>
      <c r="G202" s="40"/>
      <c r="H202" s="40"/>
    </row>
    <row r="203" ht="15.75" customHeight="1">
      <c r="E203" s="40"/>
      <c r="F203" s="40"/>
      <c r="G203" s="40"/>
      <c r="H203" s="40"/>
    </row>
    <row r="204" ht="15.75" customHeight="1">
      <c r="E204" s="40"/>
      <c r="F204" s="40"/>
      <c r="G204" s="40"/>
      <c r="H204" s="40"/>
    </row>
    <row r="205" ht="15.75" customHeight="1">
      <c r="E205" s="40"/>
      <c r="F205" s="40"/>
      <c r="G205" s="40"/>
      <c r="H205" s="40"/>
    </row>
    <row r="206" ht="15.75" customHeight="1">
      <c r="E206" s="40"/>
      <c r="F206" s="40"/>
      <c r="G206" s="40"/>
      <c r="H206" s="40"/>
    </row>
    <row r="207" ht="15.75" customHeight="1">
      <c r="E207" s="40"/>
      <c r="F207" s="40"/>
      <c r="G207" s="40"/>
      <c r="H207" s="40"/>
    </row>
    <row r="208" ht="15.75" customHeight="1">
      <c r="E208" s="40"/>
      <c r="F208" s="40"/>
      <c r="G208" s="40"/>
      <c r="H208" s="40"/>
    </row>
    <row r="209" ht="15.75" customHeight="1">
      <c r="E209" s="40"/>
      <c r="F209" s="40"/>
      <c r="G209" s="40"/>
      <c r="H209" s="40"/>
    </row>
    <row r="210" ht="15.75" customHeight="1">
      <c r="E210" s="40"/>
      <c r="F210" s="40"/>
      <c r="G210" s="40"/>
      <c r="H210" s="40"/>
    </row>
    <row r="211" ht="15.75" customHeight="1">
      <c r="E211" s="40"/>
      <c r="F211" s="40"/>
      <c r="G211" s="40"/>
      <c r="H211" s="40"/>
    </row>
    <row r="212" ht="15.75" customHeight="1">
      <c r="E212" s="40"/>
      <c r="F212" s="40"/>
      <c r="G212" s="40"/>
      <c r="H212" s="40"/>
    </row>
    <row r="213" ht="15.75" customHeight="1">
      <c r="E213" s="40"/>
      <c r="F213" s="40"/>
      <c r="G213" s="40"/>
      <c r="H213" s="40"/>
    </row>
    <row r="214" ht="15.75" customHeight="1">
      <c r="E214" s="40"/>
      <c r="F214" s="40"/>
      <c r="G214" s="40"/>
      <c r="H214" s="40"/>
    </row>
    <row r="215" ht="15.75" customHeight="1">
      <c r="E215" s="40"/>
      <c r="F215" s="40"/>
      <c r="G215" s="40"/>
      <c r="H215" s="40"/>
    </row>
    <row r="216" ht="15.75" customHeight="1">
      <c r="E216" s="40"/>
      <c r="F216" s="40"/>
      <c r="G216" s="40"/>
      <c r="H216" s="40"/>
    </row>
    <row r="217" ht="15.75" customHeight="1">
      <c r="E217" s="40"/>
      <c r="F217" s="40"/>
      <c r="G217" s="40"/>
      <c r="H217" s="40"/>
    </row>
    <row r="218" ht="15.75" customHeight="1">
      <c r="E218" s="40"/>
      <c r="F218" s="40"/>
      <c r="G218" s="40"/>
      <c r="H218" s="40"/>
    </row>
    <row r="219" ht="15.75" customHeight="1">
      <c r="E219" s="40"/>
      <c r="F219" s="40"/>
      <c r="G219" s="40"/>
      <c r="H219" s="40"/>
    </row>
    <row r="220" ht="15.75" customHeight="1">
      <c r="E220" s="40"/>
      <c r="F220" s="40"/>
      <c r="G220" s="40"/>
      <c r="H220" s="40"/>
    </row>
    <row r="221" ht="15.75" customHeight="1">
      <c r="E221" s="40"/>
      <c r="F221" s="40"/>
      <c r="G221" s="40"/>
      <c r="H221" s="40"/>
    </row>
    <row r="222" ht="15.75" customHeight="1">
      <c r="E222" s="40"/>
      <c r="F222" s="40"/>
      <c r="G222" s="40"/>
      <c r="H222" s="40"/>
    </row>
    <row r="223" ht="15.75" customHeight="1">
      <c r="E223" s="40"/>
      <c r="F223" s="40"/>
      <c r="G223" s="40"/>
      <c r="H223" s="40"/>
    </row>
    <row r="224" ht="15.75" customHeight="1">
      <c r="E224" s="40"/>
      <c r="F224" s="40"/>
      <c r="G224" s="40"/>
      <c r="H224" s="40"/>
    </row>
    <row r="225" ht="15.75" customHeight="1">
      <c r="E225" s="40"/>
      <c r="F225" s="40"/>
      <c r="G225" s="40"/>
      <c r="H225" s="40"/>
    </row>
    <row r="226" ht="15.75" customHeight="1">
      <c r="E226" s="40"/>
      <c r="F226" s="40"/>
      <c r="G226" s="40"/>
      <c r="H226" s="40"/>
    </row>
    <row r="227" ht="15.75" customHeight="1">
      <c r="E227" s="40"/>
      <c r="F227" s="40"/>
      <c r="G227" s="40"/>
      <c r="H227" s="40"/>
    </row>
    <row r="228" ht="15.75" customHeight="1">
      <c r="E228" s="40"/>
      <c r="F228" s="40"/>
      <c r="G228" s="40"/>
      <c r="H228" s="40"/>
    </row>
    <row r="229" ht="15.75" customHeight="1">
      <c r="E229" s="40"/>
      <c r="F229" s="40"/>
      <c r="G229" s="40"/>
      <c r="H229" s="4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5">
    <mergeCell ref="A1:H1"/>
    <mergeCell ref="A2:H2"/>
    <mergeCell ref="B3:B4"/>
    <mergeCell ref="C3:C4"/>
    <mergeCell ref="D3:D4"/>
  </mergeCells>
  <printOptions/>
  <pageMargins bottom="0.24" footer="0.0" header="0.0" left="0.75" right="0.7500015822784811" top="0.24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86"/>
    <col customWidth="1" min="2" max="2" width="10.57"/>
    <col customWidth="1" min="3" max="3" width="22.14"/>
    <col customWidth="1" min="4" max="5" width="7.43"/>
    <col customWidth="1" min="6" max="6" width="7.0"/>
    <col customWidth="1" min="7" max="7" width="7.57"/>
    <col customWidth="1" min="8" max="13" width="7.0"/>
    <col customWidth="1" min="14" max="16" width="7.57"/>
    <col customWidth="1" min="17" max="17" width="7.43"/>
    <col customWidth="1" min="18" max="18" width="9.14"/>
  </cols>
  <sheetData>
    <row r="1">
      <c r="A1" s="1" t="s">
        <v>0</v>
      </c>
      <c r="R1" s="1" t="s">
        <v>0</v>
      </c>
    </row>
    <row r="2">
      <c r="A2" s="2"/>
    </row>
    <row r="3" ht="16.5" customHeight="1">
      <c r="B3" s="3" t="s">
        <v>1</v>
      </c>
      <c r="C3" s="3" t="s">
        <v>3</v>
      </c>
      <c r="D3" s="3" t="s">
        <v>4</v>
      </c>
      <c r="E3" s="5" t="s">
        <v>6</v>
      </c>
      <c r="F3" s="5" t="s">
        <v>8</v>
      </c>
      <c r="G3" s="5" t="s">
        <v>10</v>
      </c>
      <c r="H3" s="5" t="s">
        <v>11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12</v>
      </c>
    </row>
    <row r="4" ht="15.0" customHeight="1">
      <c r="B4" s="7"/>
      <c r="C4" s="7"/>
      <c r="D4" s="7"/>
      <c r="E4" s="8" t="s">
        <v>21</v>
      </c>
      <c r="F4" s="8" t="s">
        <v>21</v>
      </c>
      <c r="G4" s="8" t="s">
        <v>21</v>
      </c>
      <c r="H4" s="8" t="s">
        <v>21</v>
      </c>
      <c r="I4" s="8" t="s">
        <v>21</v>
      </c>
      <c r="J4" s="8" t="s">
        <v>21</v>
      </c>
      <c r="K4" s="8" t="s">
        <v>21</v>
      </c>
      <c r="L4" s="8" t="s">
        <v>21</v>
      </c>
      <c r="M4" s="8" t="s">
        <v>21</v>
      </c>
      <c r="N4" s="8" t="s">
        <v>21</v>
      </c>
      <c r="O4" s="8" t="s">
        <v>21</v>
      </c>
      <c r="P4" s="8" t="s">
        <v>21</v>
      </c>
      <c r="Q4" s="8" t="s">
        <v>21</v>
      </c>
    </row>
    <row r="5">
      <c r="A5" s="9" t="s">
        <v>22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outlineLevel="1">
      <c r="B6" s="12" t="s">
        <v>24</v>
      </c>
      <c r="C6" s="12" t="s">
        <v>25</v>
      </c>
      <c r="D6" s="12" t="s">
        <v>26</v>
      </c>
      <c r="E6" s="14">
        <f>500+240</f>
        <v>740</v>
      </c>
      <c r="F6" s="13"/>
      <c r="G6" s="14">
        <v>1000.0</v>
      </c>
      <c r="H6" s="13"/>
      <c r="I6" s="14">
        <v>500.0</v>
      </c>
      <c r="J6" s="13"/>
      <c r="K6" s="13"/>
      <c r="L6" s="13"/>
      <c r="M6" s="13"/>
      <c r="N6" s="13"/>
      <c r="O6" s="13"/>
      <c r="P6" s="13"/>
      <c r="Q6" s="13">
        <f t="shared" ref="Q6:Q30" si="2">SUM(E6:P6)</f>
        <v>2240</v>
      </c>
    </row>
    <row r="7" ht="20.25" customHeight="1" outlineLevel="1">
      <c r="B7" s="12" t="s">
        <v>27</v>
      </c>
      <c r="C7" s="12" t="s">
        <v>28</v>
      </c>
      <c r="D7" s="12" t="s">
        <v>26</v>
      </c>
      <c r="E7" s="14">
        <f t="shared" ref="E7:F7" si="1">920+460</f>
        <v>1380</v>
      </c>
      <c r="F7" s="14">
        <f t="shared" si="1"/>
        <v>1380</v>
      </c>
      <c r="G7" s="14">
        <v>920.0</v>
      </c>
      <c r="H7" s="14">
        <v>710.0</v>
      </c>
      <c r="I7" s="14">
        <v>700.0</v>
      </c>
      <c r="J7" s="14">
        <v>700.0</v>
      </c>
      <c r="K7" s="14">
        <v>300.0</v>
      </c>
      <c r="L7" s="14">
        <v>400.0</v>
      </c>
      <c r="M7" s="13"/>
      <c r="N7" s="13"/>
      <c r="O7" s="13"/>
      <c r="P7" s="13"/>
      <c r="Q7" s="13">
        <f t="shared" si="2"/>
        <v>6490</v>
      </c>
      <c r="R7" s="17"/>
      <c r="S7" s="11"/>
    </row>
    <row r="8" outlineLevel="1">
      <c r="B8" s="18" t="s">
        <v>27</v>
      </c>
      <c r="C8" s="19" t="s">
        <v>29</v>
      </c>
      <c r="D8" s="18" t="s">
        <v>26</v>
      </c>
      <c r="E8" s="15"/>
      <c r="F8" s="15"/>
      <c r="G8" s="13"/>
      <c r="H8" s="15"/>
      <c r="I8" s="15"/>
      <c r="J8" s="15"/>
      <c r="K8" s="15"/>
      <c r="L8" s="15"/>
      <c r="M8" s="15"/>
      <c r="N8" s="15"/>
      <c r="O8" s="15"/>
      <c r="P8" s="15"/>
      <c r="Q8" s="15">
        <f t="shared" si="2"/>
        <v>0</v>
      </c>
    </row>
    <row r="9" outlineLevel="1"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>
        <f t="shared" si="2"/>
        <v>0</v>
      </c>
    </row>
    <row r="10" outlineLevel="1"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>
        <f t="shared" si="2"/>
        <v>0</v>
      </c>
    </row>
    <row r="11" outlineLevel="1">
      <c r="B11" s="12" t="s">
        <v>34</v>
      </c>
      <c r="C11" s="12" t="s">
        <v>35</v>
      </c>
      <c r="D11" s="12" t="s">
        <v>26</v>
      </c>
      <c r="E11" s="13"/>
      <c r="F11" s="13"/>
      <c r="G11" s="13"/>
      <c r="H11" s="13"/>
      <c r="I11" s="14"/>
      <c r="J11" s="13"/>
      <c r="K11" s="13"/>
      <c r="L11" s="13"/>
      <c r="M11" s="13"/>
      <c r="N11" s="13"/>
      <c r="O11" s="13"/>
      <c r="P11" s="13"/>
      <c r="Q11" s="13">
        <f t="shared" si="2"/>
        <v>0</v>
      </c>
    </row>
    <row r="12" outlineLevel="1"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>
        <f t="shared" si="2"/>
        <v>0</v>
      </c>
    </row>
    <row r="13" outlineLevel="1"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4"/>
      <c r="J13" s="13"/>
      <c r="K13" s="13"/>
      <c r="L13" s="13"/>
      <c r="M13" s="13"/>
      <c r="N13" s="13"/>
      <c r="O13" s="13"/>
      <c r="P13" s="13"/>
      <c r="Q13" s="13">
        <f t="shared" si="2"/>
        <v>0</v>
      </c>
    </row>
    <row r="14" outlineLevel="1"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>
        <f t="shared" si="2"/>
        <v>0</v>
      </c>
    </row>
    <row r="15" outlineLevel="1">
      <c r="B15" s="12" t="s">
        <v>42</v>
      </c>
      <c r="C15" s="12" t="s">
        <v>43</v>
      </c>
      <c r="D15" s="12" t="s">
        <v>26</v>
      </c>
      <c r="E15" s="14">
        <v>10.0</v>
      </c>
      <c r="F15" s="13"/>
      <c r="G15" s="14">
        <v>5.0</v>
      </c>
      <c r="H15" s="13"/>
      <c r="I15" s="14">
        <v>15.0</v>
      </c>
      <c r="J15" s="13"/>
      <c r="K15" s="13"/>
      <c r="L15" s="14">
        <v>5.0</v>
      </c>
      <c r="M15" s="13"/>
      <c r="N15" s="13"/>
      <c r="O15" s="13"/>
      <c r="P15" s="13"/>
      <c r="Q15" s="13">
        <f t="shared" si="2"/>
        <v>35</v>
      </c>
    </row>
    <row r="16" outlineLevel="1">
      <c r="B16" s="12" t="s">
        <v>44</v>
      </c>
      <c r="C16" s="12" t="s">
        <v>45</v>
      </c>
      <c r="D16" s="12" t="s">
        <v>26</v>
      </c>
      <c r="E16" s="14">
        <v>3.0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>
        <f t="shared" si="2"/>
        <v>3</v>
      </c>
    </row>
    <row r="17" outlineLevel="1">
      <c r="B17" s="12" t="s">
        <v>46</v>
      </c>
      <c r="C17" s="23" t="s">
        <v>47</v>
      </c>
      <c r="D17" s="12" t="s">
        <v>48</v>
      </c>
      <c r="E17" s="14">
        <v>1.0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>
        <f t="shared" si="2"/>
        <v>1</v>
      </c>
    </row>
    <row r="18" outlineLevel="1">
      <c r="B18" s="12" t="s">
        <v>49</v>
      </c>
      <c r="C18" s="12" t="s">
        <v>51</v>
      </c>
      <c r="D18" s="12" t="s">
        <v>26</v>
      </c>
      <c r="E18" s="14">
        <v>4.0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>
        <f t="shared" si="2"/>
        <v>4</v>
      </c>
    </row>
    <row r="19" outlineLevel="1"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>
        <f t="shared" si="2"/>
        <v>0</v>
      </c>
    </row>
    <row r="20" outlineLevel="1">
      <c r="B20" s="12" t="s">
        <v>57</v>
      </c>
      <c r="C20" s="23" t="s">
        <v>58</v>
      </c>
      <c r="D20" s="12" t="s">
        <v>26</v>
      </c>
      <c r="E20" s="14">
        <v>6.0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>
        <f t="shared" si="2"/>
        <v>6</v>
      </c>
    </row>
    <row r="21" ht="15.75" customHeight="1" outlineLevel="1">
      <c r="B21" s="12" t="s">
        <v>60</v>
      </c>
      <c r="C21" s="12" t="s">
        <v>61</v>
      </c>
      <c r="D21" s="12" t="s">
        <v>26</v>
      </c>
      <c r="E21" s="14">
        <f>2+1</f>
        <v>3</v>
      </c>
      <c r="F21" s="13"/>
      <c r="G21" s="14">
        <v>2.0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f t="shared" si="2"/>
        <v>5</v>
      </c>
    </row>
    <row r="22" ht="18.75" customHeight="1" outlineLevel="1"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>
        <f t="shared" si="2"/>
        <v>0</v>
      </c>
    </row>
    <row r="23" ht="15.75" customHeight="1" outlineLevel="1">
      <c r="B23" s="12" t="s">
        <v>64</v>
      </c>
      <c r="C23" s="12" t="s">
        <v>65</v>
      </c>
      <c r="D23" s="12" t="s">
        <v>26</v>
      </c>
      <c r="E23" s="14">
        <v>4.0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>
        <f t="shared" si="2"/>
        <v>4</v>
      </c>
    </row>
    <row r="24" ht="15.75" customHeight="1" outlineLevel="1">
      <c r="B24" s="12" t="s">
        <v>66</v>
      </c>
      <c r="C24" s="12" t="s">
        <v>67</v>
      </c>
      <c r="D24" s="12" t="s">
        <v>26</v>
      </c>
      <c r="E24" s="14">
        <v>3.0</v>
      </c>
      <c r="F24" s="13"/>
      <c r="G24" s="14">
        <v>2.0</v>
      </c>
      <c r="H24" s="13"/>
      <c r="I24" s="14">
        <v>2.0</v>
      </c>
      <c r="J24" s="13"/>
      <c r="K24" s="13"/>
      <c r="L24" s="13"/>
      <c r="M24" s="13"/>
      <c r="N24" s="13"/>
      <c r="O24" s="13"/>
      <c r="P24" s="13"/>
      <c r="Q24" s="13">
        <f t="shared" si="2"/>
        <v>7</v>
      </c>
    </row>
    <row r="25" ht="15.75" customHeight="1" outlineLevel="1">
      <c r="B25" s="12" t="s">
        <v>68</v>
      </c>
      <c r="C25" s="12" t="s">
        <v>69</v>
      </c>
      <c r="D25" s="12" t="s">
        <v>26</v>
      </c>
      <c r="E25" s="14">
        <v>2.0</v>
      </c>
      <c r="F25" s="13"/>
      <c r="G25" s="14">
        <v>2.0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f t="shared" si="2"/>
        <v>4</v>
      </c>
    </row>
    <row r="26" ht="30.75" customHeight="1" outlineLevel="1">
      <c r="B26" s="12" t="s">
        <v>70</v>
      </c>
      <c r="C26" s="23" t="s">
        <v>71</v>
      </c>
      <c r="D26" s="12" t="s">
        <v>26</v>
      </c>
      <c r="E26" s="14">
        <v>1.0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>
        <f t="shared" si="2"/>
        <v>1</v>
      </c>
    </row>
    <row r="27" ht="21.0" customHeight="1" outlineLevel="1">
      <c r="B27" s="31" t="s">
        <v>73</v>
      </c>
      <c r="C27" s="12" t="s">
        <v>74</v>
      </c>
      <c r="D27" s="12" t="s">
        <v>26</v>
      </c>
      <c r="E27" s="32">
        <v>2.0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13">
        <f t="shared" si="2"/>
        <v>2</v>
      </c>
    </row>
    <row r="28" ht="21.0" customHeight="1" outlineLevel="1">
      <c r="B28" s="34" t="s">
        <v>75</v>
      </c>
      <c r="C28" s="34" t="s">
        <v>76</v>
      </c>
      <c r="D28" s="12" t="s">
        <v>26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13">
        <f t="shared" si="2"/>
        <v>0</v>
      </c>
    </row>
    <row r="29" ht="21.0" customHeight="1" outlineLevel="1">
      <c r="B29" s="36" t="s">
        <v>77</v>
      </c>
      <c r="C29" s="36" t="s">
        <v>78</v>
      </c>
      <c r="D29" s="12" t="s">
        <v>26</v>
      </c>
      <c r="E29" s="37">
        <v>28.0</v>
      </c>
      <c r="F29" s="35"/>
      <c r="G29" s="37">
        <v>5.0</v>
      </c>
      <c r="H29" s="35"/>
      <c r="I29" s="37">
        <v>15.0</v>
      </c>
      <c r="J29" s="35"/>
      <c r="K29" s="35"/>
      <c r="L29" s="35"/>
      <c r="M29" s="35"/>
      <c r="N29" s="35"/>
      <c r="O29" s="35"/>
      <c r="P29" s="35"/>
      <c r="Q29" s="13">
        <f t="shared" si="2"/>
        <v>48</v>
      </c>
    </row>
    <row r="30" ht="21.0" customHeight="1" outlineLevel="1">
      <c r="B30" s="36" t="s">
        <v>80</v>
      </c>
      <c r="C30" s="36" t="s">
        <v>81</v>
      </c>
      <c r="D30" s="12" t="s">
        <v>26</v>
      </c>
      <c r="E30" s="37">
        <v>13.0</v>
      </c>
      <c r="F30" s="35"/>
      <c r="G30" s="37">
        <v>5.0</v>
      </c>
      <c r="H30" s="35"/>
      <c r="I30" s="37">
        <v>35.0</v>
      </c>
      <c r="J30" s="35"/>
      <c r="K30" s="35"/>
      <c r="L30" s="35"/>
      <c r="M30" s="35"/>
      <c r="N30" s="35"/>
      <c r="O30" s="35"/>
      <c r="P30" s="35"/>
      <c r="Q30" s="13">
        <f t="shared" si="2"/>
        <v>53</v>
      </c>
    </row>
    <row r="31" ht="21.0" customHeight="1" outlineLevel="1">
      <c r="B31" s="38"/>
      <c r="C31" s="38"/>
      <c r="D31" s="38"/>
      <c r="E31" s="37"/>
      <c r="F31" s="35"/>
      <c r="G31" s="37"/>
      <c r="H31" s="35"/>
      <c r="I31" s="35"/>
      <c r="J31" s="35"/>
      <c r="K31" s="35"/>
      <c r="L31" s="35"/>
      <c r="M31" s="35"/>
      <c r="N31" s="35"/>
      <c r="O31" s="35"/>
      <c r="P31" s="35"/>
      <c r="Q31" s="13"/>
    </row>
    <row r="32" ht="15.75" customHeight="1">
      <c r="B32" s="39"/>
      <c r="C32" s="39"/>
      <c r="D32" s="39"/>
      <c r="E32" s="37"/>
      <c r="F32" s="35"/>
      <c r="G32" s="37"/>
      <c r="H32" s="35"/>
      <c r="I32" s="35"/>
      <c r="J32" s="35"/>
      <c r="K32" s="35"/>
      <c r="L32" s="35"/>
      <c r="M32" s="35"/>
      <c r="N32" s="35"/>
      <c r="O32" s="35"/>
      <c r="P32" s="35"/>
      <c r="Q32" s="35"/>
    </row>
    <row r="33" ht="15.75" customHeight="1"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</row>
    <row r="34" ht="15.75" customHeight="1"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</row>
    <row r="35" ht="15.75" customHeight="1"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</row>
    <row r="36" ht="15.75" customHeight="1"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</row>
    <row r="37" ht="15.75" customHeight="1"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</row>
    <row r="38" ht="15.75" customHeight="1"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</row>
    <row r="39" ht="15.75" customHeight="1"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</row>
    <row r="40" ht="15.75" customHeight="1"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</row>
    <row r="41" ht="15.75" customHeight="1"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</row>
    <row r="42" ht="15.75" customHeight="1"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</row>
    <row r="43" ht="15.75" customHeight="1"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</row>
    <row r="44" ht="15.75" customHeight="1"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</row>
    <row r="45" ht="15.75" customHeight="1"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</row>
    <row r="46" ht="15.75" customHeight="1"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</row>
    <row r="47" ht="15.75" customHeight="1"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</row>
    <row r="48" ht="15.75" customHeight="1"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</row>
    <row r="49" ht="15.75" customHeight="1"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</row>
    <row r="50" ht="15.75" customHeight="1"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</row>
    <row r="51" ht="15.75" customHeight="1"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</row>
    <row r="52" ht="15.75" customHeight="1"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</row>
    <row r="53" ht="15.75" customHeight="1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</row>
    <row r="54" ht="15.75" customHeight="1"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</row>
    <row r="55" ht="15.75" customHeight="1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</row>
    <row r="56" ht="15.75" customHeight="1"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</row>
    <row r="57" ht="15.75" customHeight="1"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</row>
    <row r="58" ht="15.75" customHeight="1"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</row>
    <row r="59" ht="15.75" customHeight="1"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</row>
    <row r="60" ht="15.75" customHeight="1"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</row>
    <row r="61" ht="15.75" customHeight="1"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</row>
    <row r="62" ht="15.75" customHeight="1"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</row>
    <row r="63" ht="15.75" customHeight="1"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</row>
    <row r="64" ht="15.75" customHeight="1"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</row>
    <row r="65" ht="15.75" customHeight="1"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</row>
    <row r="66" ht="15.75" customHeight="1"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</row>
    <row r="67" ht="15.75" customHeight="1"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</row>
    <row r="68" ht="15.75" customHeight="1"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</row>
    <row r="69" ht="15.75" customHeight="1"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</row>
    <row r="70" ht="15.75" customHeight="1"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</row>
    <row r="71" ht="15.75" customHeight="1"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</row>
    <row r="72" ht="15.75" customHeight="1"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</row>
    <row r="73" ht="15.75" customHeight="1"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</row>
    <row r="74" ht="15.75" customHeight="1"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</row>
    <row r="75" ht="15.75" customHeight="1"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</row>
    <row r="76" ht="15.75" customHeight="1"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</row>
    <row r="77" ht="15.75" customHeight="1"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</row>
    <row r="78" ht="15.75" customHeight="1"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</row>
    <row r="79" ht="15.75" customHeight="1"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</row>
    <row r="80" ht="15.75" customHeight="1"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</row>
    <row r="81" ht="15.75" customHeight="1"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</row>
    <row r="82" ht="15.75" customHeight="1"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</row>
    <row r="83" ht="15.75" customHeight="1"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</row>
    <row r="84" ht="15.75" customHeight="1"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</row>
    <row r="85" ht="15.75" customHeight="1"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</row>
    <row r="86" ht="15.75" customHeight="1"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</row>
    <row r="87" ht="15.75" customHeight="1"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</row>
    <row r="88" ht="15.75" customHeight="1"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</row>
    <row r="89" ht="15.75" customHeight="1"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</row>
    <row r="90" ht="15.75" customHeight="1"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</row>
    <row r="91" ht="15.75" customHeight="1"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</row>
    <row r="92" ht="15.75" customHeight="1"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</row>
    <row r="93" ht="15.75" customHeight="1"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</row>
    <row r="94" ht="15.75" customHeight="1"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</row>
    <row r="95" ht="15.75" customHeight="1"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</row>
    <row r="96" ht="15.75" customHeight="1"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</row>
    <row r="97" ht="15.75" customHeight="1"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</row>
    <row r="98" ht="15.75" customHeight="1"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</row>
    <row r="99" ht="15.75" customHeight="1"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</row>
    <row r="100" ht="15.75" customHeight="1"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</row>
    <row r="101" ht="15.75" customHeight="1"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</row>
    <row r="102" ht="15.75" customHeight="1"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</row>
    <row r="103" ht="15.75" customHeight="1"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</row>
    <row r="104" ht="15.75" customHeight="1"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</row>
    <row r="105" ht="15.75" customHeight="1"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</row>
    <row r="106" ht="15.75" customHeight="1"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</row>
    <row r="107" ht="15.75" customHeight="1"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</row>
    <row r="108" ht="15.75" customHeight="1"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</row>
    <row r="109" ht="15.75" customHeight="1"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</row>
    <row r="110" ht="15.75" customHeight="1"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</row>
    <row r="111" ht="15.75" customHeight="1"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</row>
    <row r="112" ht="15.75" customHeight="1"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</row>
    <row r="113" ht="15.75" customHeight="1"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</row>
    <row r="114" ht="15.75" customHeight="1"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</row>
    <row r="115" ht="15.75" customHeight="1"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</row>
    <row r="116" ht="15.75" customHeight="1"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</row>
    <row r="117" ht="15.75" customHeight="1"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</row>
    <row r="118" ht="15.75" customHeight="1"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</row>
    <row r="119" ht="15.75" customHeight="1"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</row>
    <row r="120" ht="15.75" customHeight="1"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</row>
    <row r="121" ht="15.75" customHeight="1"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</row>
    <row r="122" ht="15.75" customHeight="1"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</row>
    <row r="123" ht="15.75" customHeight="1"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</row>
    <row r="124" ht="15.75" customHeight="1"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</row>
    <row r="125" ht="15.75" customHeight="1"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</row>
    <row r="126" ht="15.75" customHeight="1"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</row>
    <row r="127" ht="15.75" customHeight="1"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</row>
    <row r="128" ht="15.75" customHeight="1"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</row>
    <row r="129" ht="15.75" customHeight="1"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</row>
    <row r="130" ht="15.75" customHeight="1"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</row>
    <row r="131" ht="15.75" customHeight="1"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</row>
    <row r="132" ht="15.75" customHeight="1"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</row>
    <row r="133" ht="15.75" customHeight="1"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</row>
    <row r="134" ht="15.75" customHeight="1"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</row>
    <row r="135" ht="15.75" customHeight="1"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</row>
    <row r="136" ht="15.75" customHeight="1"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</row>
    <row r="137" ht="15.75" customHeight="1"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</row>
    <row r="138" ht="15.75" customHeight="1"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</row>
    <row r="139" ht="15.75" customHeight="1"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</row>
    <row r="140" ht="15.75" customHeight="1"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</row>
    <row r="141" ht="15.75" customHeight="1"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</row>
    <row r="142" ht="15.75" customHeight="1"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</row>
    <row r="143" ht="15.75" customHeight="1"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</row>
    <row r="144" ht="15.75" customHeight="1"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</row>
    <row r="145" ht="15.75" customHeight="1"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</row>
    <row r="146" ht="15.75" customHeight="1"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</row>
    <row r="147" ht="15.75" customHeight="1"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</row>
    <row r="148" ht="15.75" customHeight="1"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</row>
    <row r="149" ht="15.75" customHeight="1"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</row>
    <row r="150" ht="15.75" customHeight="1"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</row>
    <row r="151" ht="15.75" customHeight="1"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</row>
    <row r="152" ht="15.75" customHeight="1"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</row>
    <row r="153" ht="15.75" customHeight="1"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</row>
    <row r="154" ht="15.75" customHeight="1"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</row>
    <row r="155" ht="15.75" customHeight="1"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</row>
    <row r="156" ht="15.75" customHeight="1"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</row>
    <row r="157" ht="15.75" customHeight="1"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</row>
    <row r="158" ht="15.75" customHeight="1"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</row>
    <row r="159" ht="15.75" customHeight="1"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</row>
    <row r="160" ht="15.75" customHeight="1"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</row>
    <row r="161" ht="15.75" customHeight="1"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</row>
    <row r="162" ht="15.75" customHeight="1"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</row>
    <row r="163" ht="15.75" customHeight="1"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</row>
    <row r="164" ht="15.75" customHeight="1"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</row>
    <row r="165" ht="15.75" customHeight="1"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</row>
    <row r="166" ht="15.75" customHeight="1"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</row>
    <row r="167" ht="15.75" customHeight="1"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</row>
    <row r="168" ht="15.75" customHeight="1"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</row>
    <row r="169" ht="15.75" customHeight="1"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</row>
    <row r="170" ht="15.75" customHeight="1"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</row>
    <row r="171" ht="15.75" customHeight="1"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</row>
    <row r="172" ht="15.75" customHeight="1"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</row>
    <row r="173" ht="15.75" customHeight="1"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</row>
    <row r="174" ht="15.75" customHeight="1"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</row>
    <row r="175" ht="15.75" customHeight="1"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</row>
    <row r="176" ht="15.75" customHeight="1"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</row>
    <row r="177" ht="15.75" customHeight="1"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</row>
    <row r="178" ht="15.75" customHeight="1"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</row>
    <row r="179" ht="15.75" customHeight="1"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</row>
    <row r="180" ht="15.75" customHeight="1"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</row>
    <row r="181" ht="15.75" customHeight="1"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</row>
    <row r="182" ht="15.75" customHeight="1"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</row>
    <row r="183" ht="15.75" customHeight="1"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</row>
    <row r="184" ht="15.75" customHeight="1"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</row>
    <row r="185" ht="15.75" customHeight="1"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</row>
    <row r="186" ht="15.75" customHeight="1"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</row>
    <row r="187" ht="15.75" customHeight="1"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</row>
    <row r="188" ht="15.75" customHeight="1"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</row>
    <row r="189" ht="15.75" customHeight="1"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</row>
    <row r="190" ht="15.75" customHeight="1"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</row>
    <row r="191" ht="15.75" customHeight="1"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</row>
    <row r="192" ht="15.75" customHeight="1"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</row>
    <row r="193" ht="15.75" customHeight="1"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</row>
    <row r="194" ht="15.75" customHeight="1"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</row>
    <row r="195" ht="15.75" customHeight="1"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</row>
    <row r="196" ht="15.75" customHeight="1"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</row>
    <row r="197" ht="15.75" customHeight="1"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</row>
    <row r="198" ht="15.75" customHeight="1"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</row>
    <row r="199" ht="15.75" customHeight="1"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</row>
    <row r="200" ht="15.75" customHeight="1"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</row>
    <row r="201" ht="15.75" customHeight="1"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</row>
    <row r="202" ht="15.75" customHeight="1"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</row>
    <row r="203" ht="15.75" customHeight="1"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</row>
    <row r="204" ht="15.75" customHeight="1"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</row>
    <row r="205" ht="15.75" customHeight="1"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</row>
    <row r="206" ht="15.75" customHeight="1"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</row>
    <row r="207" ht="15.75" customHeight="1"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</row>
    <row r="208" ht="15.75" customHeight="1"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</row>
    <row r="209" ht="15.75" customHeight="1"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</row>
    <row r="210" ht="15.75" customHeight="1"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</row>
    <row r="211" ht="15.75" customHeight="1"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</row>
    <row r="212" ht="15.75" customHeight="1"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</row>
    <row r="213" ht="15.75" customHeight="1"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</row>
    <row r="214" ht="15.75" customHeight="1"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</row>
    <row r="215" ht="15.75" customHeight="1"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</row>
    <row r="216" ht="15.75" customHeight="1"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</row>
    <row r="217" ht="15.75" customHeight="1"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</row>
    <row r="218" ht="15.75" customHeight="1"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</row>
    <row r="219" ht="15.75" customHeight="1"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</row>
    <row r="220" ht="15.75" customHeight="1"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</row>
    <row r="221" ht="15.75" customHeight="1"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</row>
    <row r="222" ht="15.75" customHeight="1"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</row>
    <row r="223" ht="15.75" customHeight="1"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</row>
    <row r="224" ht="15.75" customHeight="1"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</row>
    <row r="225" ht="15.75" customHeight="1"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</row>
    <row r="226" ht="15.75" customHeight="1"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</row>
    <row r="227" ht="15.75" customHeight="1"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</row>
    <row r="228" ht="15.75" customHeight="1"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</row>
    <row r="229" ht="15.75" customHeight="1"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</row>
    <row r="230" ht="15.75" customHeight="1"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</row>
    <row r="231" ht="15.75" customHeight="1"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">
    <mergeCell ref="A1:Q1"/>
    <mergeCell ref="R1:Z1"/>
    <mergeCell ref="A2:Q2"/>
    <mergeCell ref="B3:B4"/>
    <mergeCell ref="C3:C4"/>
    <mergeCell ref="D3:D4"/>
  </mergeCells>
  <printOptions/>
  <pageMargins bottom="0.75" footer="0.0" header="0.0" left="0.38" right="0.2" top="0.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8.14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89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4">
        <v>30.0</v>
      </c>
      <c r="G6" s="13"/>
      <c r="H6" s="13"/>
      <c r="I6" s="13"/>
      <c r="J6" s="13"/>
      <c r="K6" s="51"/>
      <c r="L6" s="52"/>
      <c r="M6" s="53">
        <v>30.0</v>
      </c>
      <c r="N6" s="52"/>
      <c r="O6" s="52"/>
      <c r="P6" s="52"/>
      <c r="Q6" s="52"/>
      <c r="R6" s="52"/>
      <c r="S6" s="13"/>
      <c r="T6" s="14">
        <v>90.0</v>
      </c>
      <c r="U6" s="13"/>
      <c r="V6" s="13"/>
      <c r="W6" s="13"/>
      <c r="X6" s="13"/>
      <c r="Y6" s="13"/>
      <c r="Z6" s="52"/>
      <c r="AA6" s="53">
        <v>150.0</v>
      </c>
      <c r="AB6" s="52"/>
      <c r="AC6" s="52"/>
      <c r="AD6" s="52"/>
      <c r="AE6" s="52"/>
      <c r="AF6" s="52"/>
      <c r="AG6" s="13"/>
      <c r="AH6" s="14">
        <v>20.0</v>
      </c>
      <c r="AI6" s="13"/>
      <c r="AJ6" s="13"/>
      <c r="AK6" s="13"/>
      <c r="AL6" s="13"/>
      <c r="AM6" s="13"/>
      <c r="AN6" s="52"/>
      <c r="AO6" s="14">
        <v>40.0</v>
      </c>
      <c r="AP6" s="52"/>
      <c r="AQ6" s="52"/>
      <c r="AR6" s="52"/>
      <c r="AS6" s="52"/>
      <c r="AT6" s="52"/>
      <c r="AU6" s="13"/>
      <c r="AV6" s="14">
        <v>20.0</v>
      </c>
      <c r="AW6" s="13"/>
      <c r="AX6" s="13"/>
      <c r="AY6" s="13"/>
      <c r="AZ6" s="13"/>
      <c r="BA6" s="13"/>
      <c r="BB6" s="52"/>
      <c r="BC6" s="54">
        <v>50.0</v>
      </c>
      <c r="BD6" s="52"/>
      <c r="BE6" s="52"/>
      <c r="BF6" s="52"/>
      <c r="BG6" s="52"/>
      <c r="BH6" s="52"/>
      <c r="BI6" s="13"/>
      <c r="BJ6" s="55"/>
      <c r="BK6" s="13"/>
      <c r="BL6" s="13"/>
      <c r="BM6" s="13"/>
      <c r="BN6" s="13"/>
      <c r="BO6" s="13"/>
      <c r="BP6" s="52"/>
      <c r="BQ6" s="55"/>
      <c r="BR6" s="52"/>
      <c r="BS6" s="52"/>
      <c r="BT6" s="52"/>
      <c r="BU6" s="52"/>
      <c r="BV6" s="52"/>
      <c r="BW6" s="13"/>
      <c r="BX6" s="55"/>
      <c r="BY6" s="13"/>
      <c r="BZ6" s="13"/>
      <c r="CA6" s="13"/>
      <c r="CB6" s="13"/>
      <c r="CC6" s="13"/>
      <c r="CD6" s="52"/>
      <c r="CE6" s="52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430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4">
        <v>260.0</v>
      </c>
      <c r="G7" s="14">
        <v>260.0</v>
      </c>
      <c r="H7" s="13"/>
      <c r="I7" s="13"/>
      <c r="J7" s="13"/>
      <c r="K7" s="13"/>
      <c r="L7" s="52"/>
      <c r="M7" s="53">
        <v>260.0</v>
      </c>
      <c r="N7" s="53">
        <v>260.0</v>
      </c>
      <c r="O7" s="52"/>
      <c r="P7" s="52"/>
      <c r="Q7" s="52"/>
      <c r="R7" s="52"/>
      <c r="S7" s="13"/>
      <c r="T7" s="14">
        <v>260.0</v>
      </c>
      <c r="U7" s="14">
        <v>32.0</v>
      </c>
      <c r="V7" s="13"/>
      <c r="W7" s="13"/>
      <c r="X7" s="13"/>
      <c r="Y7" s="13"/>
      <c r="Z7" s="52"/>
      <c r="AA7" s="53">
        <v>100.0</v>
      </c>
      <c r="AB7" s="53">
        <v>328.0</v>
      </c>
      <c r="AC7" s="52"/>
      <c r="AD7" s="52"/>
      <c r="AE7" s="52"/>
      <c r="AF7" s="52"/>
      <c r="AG7" s="13"/>
      <c r="AH7" s="14">
        <v>200.0</v>
      </c>
      <c r="AI7" s="14">
        <v>240.0</v>
      </c>
      <c r="AJ7" s="13"/>
      <c r="AK7" s="13"/>
      <c r="AL7" s="13"/>
      <c r="AM7" s="13"/>
      <c r="AN7" s="52"/>
      <c r="AO7" s="14">
        <v>200.0</v>
      </c>
      <c r="AP7" s="52"/>
      <c r="AQ7" s="52"/>
      <c r="AR7" s="52"/>
      <c r="AS7" s="52"/>
      <c r="AT7" s="52"/>
      <c r="AU7" s="13"/>
      <c r="AV7" s="14">
        <v>200.0</v>
      </c>
      <c r="AW7" s="13"/>
      <c r="AX7" s="13"/>
      <c r="AY7" s="13"/>
      <c r="AZ7" s="13"/>
      <c r="BA7" s="13"/>
      <c r="BB7" s="52"/>
      <c r="BC7" s="54">
        <v>200.0</v>
      </c>
      <c r="BD7" s="53">
        <v>131.0</v>
      </c>
      <c r="BE7" s="52"/>
      <c r="BF7" s="52"/>
      <c r="BG7" s="52"/>
      <c r="BH7" s="52"/>
      <c r="BI7" s="13"/>
      <c r="BJ7" s="54">
        <v>200.0</v>
      </c>
      <c r="BK7" s="13"/>
      <c r="BL7" s="13"/>
      <c r="BM7" s="13"/>
      <c r="BN7" s="13"/>
      <c r="BO7" s="13"/>
      <c r="BP7" s="52"/>
      <c r="BQ7" s="55"/>
      <c r="BR7" s="52"/>
      <c r="BS7" s="52"/>
      <c r="BT7" s="52"/>
      <c r="BU7" s="52"/>
      <c r="BV7" s="52"/>
      <c r="BW7" s="13"/>
      <c r="BX7" s="55"/>
      <c r="BY7" s="13"/>
      <c r="BZ7" s="13"/>
      <c r="CA7" s="13"/>
      <c r="CB7" s="13"/>
      <c r="CC7" s="13"/>
      <c r="CD7" s="52"/>
      <c r="CE7" s="52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1880</v>
      </c>
      <c r="CM7" s="56">
        <f t="shared" si="2"/>
        <v>1251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13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5"/>
      <c r="BD8" s="52"/>
      <c r="BE8" s="52"/>
      <c r="BF8" s="52"/>
      <c r="BG8" s="52"/>
      <c r="BH8" s="52"/>
      <c r="BI8" s="13"/>
      <c r="BJ8" s="55"/>
      <c r="BK8" s="13"/>
      <c r="BL8" s="13"/>
      <c r="BM8" s="13"/>
      <c r="BN8" s="13"/>
      <c r="BO8" s="13"/>
      <c r="BP8" s="52"/>
      <c r="BQ8" s="55"/>
      <c r="BR8" s="52"/>
      <c r="BS8" s="52"/>
      <c r="BT8" s="52"/>
      <c r="BU8" s="52"/>
      <c r="BV8" s="52"/>
      <c r="BW8" s="13"/>
      <c r="BX8" s="55"/>
      <c r="BY8" s="13"/>
      <c r="BZ8" s="13"/>
      <c r="CA8" s="13"/>
      <c r="CB8" s="13"/>
      <c r="CC8" s="13"/>
      <c r="CD8" s="52"/>
      <c r="CE8" s="52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13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5"/>
      <c r="BD9" s="52"/>
      <c r="BE9" s="52"/>
      <c r="BF9" s="52"/>
      <c r="BG9" s="52"/>
      <c r="BH9" s="52"/>
      <c r="BI9" s="13"/>
      <c r="BJ9" s="55"/>
      <c r="BK9" s="13"/>
      <c r="BL9" s="13"/>
      <c r="BM9" s="13"/>
      <c r="BN9" s="13"/>
      <c r="BO9" s="13"/>
      <c r="BP9" s="52"/>
      <c r="BQ9" s="55"/>
      <c r="BR9" s="52"/>
      <c r="BS9" s="52"/>
      <c r="BT9" s="52"/>
      <c r="BU9" s="52"/>
      <c r="BV9" s="52"/>
      <c r="BW9" s="13"/>
      <c r="BX9" s="55"/>
      <c r="BY9" s="13"/>
      <c r="BZ9" s="13"/>
      <c r="CA9" s="13"/>
      <c r="CB9" s="13"/>
      <c r="CC9" s="13"/>
      <c r="CD9" s="52"/>
      <c r="CE9" s="52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13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5"/>
      <c r="BD10" s="52"/>
      <c r="BE10" s="52"/>
      <c r="BF10" s="52"/>
      <c r="BG10" s="52"/>
      <c r="BH10" s="52"/>
      <c r="BI10" s="13"/>
      <c r="BJ10" s="55"/>
      <c r="BK10" s="13"/>
      <c r="BL10" s="13"/>
      <c r="BM10" s="13"/>
      <c r="BN10" s="13"/>
      <c r="BO10" s="13"/>
      <c r="BP10" s="52"/>
      <c r="BQ10" s="55"/>
      <c r="BR10" s="52"/>
      <c r="BS10" s="52"/>
      <c r="BT10" s="52"/>
      <c r="BU10" s="52"/>
      <c r="BV10" s="52"/>
      <c r="BW10" s="13"/>
      <c r="BX10" s="55"/>
      <c r="BY10" s="13"/>
      <c r="BZ10" s="13"/>
      <c r="CA10" s="13"/>
      <c r="CB10" s="13"/>
      <c r="CC10" s="13"/>
      <c r="CD10" s="52"/>
      <c r="CE10" s="52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91</v>
      </c>
      <c r="D11" s="12" t="s">
        <v>26</v>
      </c>
      <c r="E11" s="13"/>
      <c r="F11" s="13"/>
      <c r="G11" s="13"/>
      <c r="H11" s="13"/>
      <c r="I11" s="13"/>
      <c r="J11" s="13"/>
      <c r="K11" s="13"/>
      <c r="L11" s="52"/>
      <c r="M11" s="53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3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13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5"/>
      <c r="BD11" s="52"/>
      <c r="BE11" s="52"/>
      <c r="BF11" s="52"/>
      <c r="BG11" s="52"/>
      <c r="BH11" s="52"/>
      <c r="BI11" s="13"/>
      <c r="BJ11" s="55"/>
      <c r="BK11" s="13"/>
      <c r="BL11" s="13"/>
      <c r="BM11" s="13"/>
      <c r="BN11" s="13"/>
      <c r="BO11" s="13"/>
      <c r="BP11" s="52"/>
      <c r="BQ11" s="55"/>
      <c r="BR11" s="52"/>
      <c r="BS11" s="52"/>
      <c r="BT11" s="52"/>
      <c r="BU11" s="52"/>
      <c r="BV11" s="52"/>
      <c r="BW11" s="13"/>
      <c r="BX11" s="55"/>
      <c r="BY11" s="13"/>
      <c r="BZ11" s="13"/>
      <c r="CA11" s="13"/>
      <c r="CB11" s="13"/>
      <c r="CC11" s="13"/>
      <c r="CD11" s="52"/>
      <c r="CE11" s="52"/>
      <c r="CF11" s="52"/>
      <c r="CG11" s="52"/>
      <c r="CH11" s="52"/>
      <c r="CI11" s="52"/>
      <c r="CJ11" s="52"/>
      <c r="CK11" s="56">
        <f t="shared" ref="CK11:CM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 t="str">
        <f>SUM(H11,O11,V11,AC11,AJ11,AQ11,#REF!,BE11,BL11,BS11,BZ11,CG11)</f>
        <v>#REF!</v>
      </c>
      <c r="CO11" s="56">
        <f t="shared" ref="CO11:CQ11" si="7">SUM(I11,P11,W11,AD11,AK11,AR11,AY11,BF11,BM11,BT11,CA11,CH11)</f>
        <v>0</v>
      </c>
      <c r="CP11" s="56">
        <f t="shared" si="7"/>
        <v>0</v>
      </c>
      <c r="CQ11" s="56">
        <f t="shared" si="7"/>
        <v>0</v>
      </c>
    </row>
    <row r="12" outlineLevel="1">
      <c r="A12" s="12" t="s">
        <v>35</v>
      </c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3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13"/>
      <c r="AP12" s="52"/>
      <c r="AQ12" s="52"/>
      <c r="AR12" s="52"/>
      <c r="AS12" s="52"/>
      <c r="AT12" s="52"/>
      <c r="AU12" s="13"/>
      <c r="AV12" s="13"/>
      <c r="AW12" s="13"/>
      <c r="AY12" s="13"/>
      <c r="AZ12" s="13"/>
      <c r="BA12" s="13"/>
      <c r="BB12" s="52"/>
      <c r="BC12" s="55"/>
      <c r="BD12" s="52"/>
      <c r="BE12" s="52"/>
      <c r="BF12" s="52"/>
      <c r="BG12" s="52"/>
      <c r="BH12" s="52"/>
      <c r="BI12" s="13"/>
      <c r="BJ12" s="55"/>
      <c r="BK12" s="13"/>
      <c r="BL12" s="13"/>
      <c r="BM12" s="13"/>
      <c r="BN12" s="13"/>
      <c r="BO12" s="13"/>
      <c r="BP12" s="52"/>
      <c r="BQ12" s="55"/>
      <c r="BR12" s="52"/>
      <c r="BS12" s="52"/>
      <c r="BT12" s="52"/>
      <c r="BU12" s="52"/>
      <c r="BV12" s="52"/>
      <c r="BW12" s="13"/>
      <c r="BX12" s="55"/>
      <c r="BY12" s="13"/>
      <c r="BZ12" s="13"/>
      <c r="CA12" s="13"/>
      <c r="CB12" s="13"/>
      <c r="CC12" s="13"/>
      <c r="CD12" s="52"/>
      <c r="CE12" s="52"/>
      <c r="CF12" s="52"/>
      <c r="CG12" s="52"/>
      <c r="CH12" s="52"/>
      <c r="CI12" s="52"/>
      <c r="CJ12" s="52"/>
      <c r="CK12" s="56">
        <f t="shared" ref="CK12:CM12" si="8">SUM(E12,L12,S12,Z12,AG12,AN12,AU12,BB12,BI12,BP12,BW12,CD12)</f>
        <v>0</v>
      </c>
      <c r="CL12" s="56">
        <f t="shared" si="8"/>
        <v>0</v>
      </c>
      <c r="CM12" s="56">
        <f t="shared" si="8"/>
        <v>0</v>
      </c>
      <c r="CN12" s="56">
        <f>SUM(H12,O12,V12,AC12,AJ12,AQ12,AX11,BE12,BL12,BS12,BZ12,CG12)</f>
        <v>0</v>
      </c>
      <c r="CO12" s="56">
        <f t="shared" ref="CO12:CQ12" si="9">SUM(I12,P12,W12,AD12,AK12,AR12,AY12,BF12,BM12,BT12,CA12,CH12)</f>
        <v>0</v>
      </c>
      <c r="CP12" s="56">
        <f t="shared" si="9"/>
        <v>0</v>
      </c>
      <c r="CQ12" s="56">
        <f t="shared" si="9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13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5"/>
      <c r="BD13" s="52"/>
      <c r="BE13" s="52"/>
      <c r="BF13" s="52"/>
      <c r="BG13" s="52"/>
      <c r="BH13" s="52"/>
      <c r="BI13" s="13"/>
      <c r="BJ13" s="55"/>
      <c r="BK13" s="13"/>
      <c r="BL13" s="13"/>
      <c r="BM13" s="13"/>
      <c r="BN13" s="13"/>
      <c r="BO13" s="13"/>
      <c r="BP13" s="52"/>
      <c r="BQ13" s="55"/>
      <c r="BR13" s="52"/>
      <c r="BS13" s="52"/>
      <c r="BT13" s="52"/>
      <c r="BU13" s="52"/>
      <c r="BV13" s="52"/>
      <c r="BW13" s="13"/>
      <c r="BX13" s="55"/>
      <c r="BY13" s="13"/>
      <c r="BZ13" s="13"/>
      <c r="CA13" s="13"/>
      <c r="CB13" s="13"/>
      <c r="CC13" s="13"/>
      <c r="CD13" s="52"/>
      <c r="CE13" s="52"/>
      <c r="CF13" s="52"/>
      <c r="CG13" s="52"/>
      <c r="CH13" s="52"/>
      <c r="CI13" s="52"/>
      <c r="CJ13" s="52"/>
      <c r="CK13" s="56">
        <f t="shared" ref="CK13:CQ13" si="10">SUM(E13,L13,S13,Z13,AG13,AN13,AU13,BB13,BI13,BP13,BW13,CD13)</f>
        <v>0</v>
      </c>
      <c r="CL13" s="56">
        <f t="shared" si="10"/>
        <v>0</v>
      </c>
      <c r="CM13" s="56">
        <f t="shared" si="10"/>
        <v>0</v>
      </c>
      <c r="CN13" s="56">
        <f t="shared" si="10"/>
        <v>0</v>
      </c>
      <c r="CO13" s="56">
        <f t="shared" si="10"/>
        <v>0</v>
      </c>
      <c r="CP13" s="56">
        <f t="shared" si="10"/>
        <v>0</v>
      </c>
      <c r="CQ13" s="56">
        <f t="shared" si="10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4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13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5"/>
      <c r="BD14" s="52"/>
      <c r="BE14" s="52"/>
      <c r="BF14" s="52"/>
      <c r="BG14" s="52"/>
      <c r="BH14" s="52"/>
      <c r="BI14" s="13"/>
      <c r="BJ14" s="55"/>
      <c r="BK14" s="13"/>
      <c r="BL14" s="13"/>
      <c r="BM14" s="13"/>
      <c r="BN14" s="13"/>
      <c r="BO14" s="13"/>
      <c r="BP14" s="52"/>
      <c r="BQ14" s="55"/>
      <c r="BR14" s="52"/>
      <c r="BS14" s="52"/>
      <c r="BT14" s="52"/>
      <c r="BU14" s="52"/>
      <c r="BV14" s="52"/>
      <c r="BW14" s="13"/>
      <c r="BX14" s="55"/>
      <c r="BY14" s="13"/>
      <c r="BZ14" s="13"/>
      <c r="CA14" s="13"/>
      <c r="CB14" s="13"/>
      <c r="CC14" s="13"/>
      <c r="CD14" s="52"/>
      <c r="CE14" s="52"/>
      <c r="CF14" s="52"/>
      <c r="CG14" s="52"/>
      <c r="CH14" s="52"/>
      <c r="CI14" s="52"/>
      <c r="CJ14" s="52"/>
      <c r="CK14" s="56">
        <f t="shared" ref="CK14:CQ14" si="11">SUM(E14,L14,S14,Z14,AG14,AN14,AU14,BB14,BI14,BP14,BW14,CD14)</f>
        <v>0</v>
      </c>
      <c r="CL14" s="56">
        <f t="shared" si="11"/>
        <v>0</v>
      </c>
      <c r="CM14" s="56">
        <f t="shared" si="11"/>
        <v>0</v>
      </c>
      <c r="CN14" s="56">
        <f t="shared" si="11"/>
        <v>0</v>
      </c>
      <c r="CO14" s="56">
        <f t="shared" si="11"/>
        <v>0</v>
      </c>
      <c r="CP14" s="56">
        <f t="shared" si="11"/>
        <v>0</v>
      </c>
      <c r="CQ14" s="56">
        <f t="shared" si="11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3"/>
      <c r="G15" s="13"/>
      <c r="H15" s="13"/>
      <c r="I15" s="13"/>
      <c r="J15" s="13"/>
      <c r="K15" s="13"/>
      <c r="L15" s="52"/>
      <c r="M15" s="53">
        <v>1.0</v>
      </c>
      <c r="N15" s="53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2"/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14">
        <v>1.0</v>
      </c>
      <c r="AP15" s="52"/>
      <c r="AQ15" s="52"/>
      <c r="AR15" s="52"/>
      <c r="AS15" s="52"/>
      <c r="AT15" s="52"/>
      <c r="AU15" s="13"/>
      <c r="AV15" s="14">
        <v>4.0</v>
      </c>
      <c r="AW15" s="14">
        <v>3.0</v>
      </c>
      <c r="AX15" s="13"/>
      <c r="AY15" s="13"/>
      <c r="AZ15" s="13"/>
      <c r="BA15" s="13"/>
      <c r="BB15" s="52"/>
      <c r="BC15" s="55"/>
      <c r="BD15" s="52"/>
      <c r="BE15" s="52"/>
      <c r="BF15" s="52"/>
      <c r="BG15" s="52"/>
      <c r="BH15" s="52"/>
      <c r="BI15" s="13"/>
      <c r="BJ15" s="55"/>
      <c r="BK15" s="13"/>
      <c r="BL15" s="13"/>
      <c r="BM15" s="13"/>
      <c r="BN15" s="13"/>
      <c r="BO15" s="13"/>
      <c r="BP15" s="52"/>
      <c r="BQ15" s="55"/>
      <c r="BR15" s="52"/>
      <c r="BS15" s="52"/>
      <c r="BT15" s="52"/>
      <c r="BU15" s="52"/>
      <c r="BV15" s="52"/>
      <c r="BW15" s="13"/>
      <c r="BX15" s="55"/>
      <c r="BY15" s="13"/>
      <c r="BZ15" s="13"/>
      <c r="CA15" s="13"/>
      <c r="CB15" s="13"/>
      <c r="CC15" s="13"/>
      <c r="CD15" s="52"/>
      <c r="CE15" s="52"/>
      <c r="CF15" s="52"/>
      <c r="CG15" s="52"/>
      <c r="CH15" s="52"/>
      <c r="CI15" s="52"/>
      <c r="CJ15" s="52"/>
      <c r="CK15" s="56">
        <f t="shared" ref="CK15:CQ15" si="12">SUM(E15,L15,S15,Z15,AG15,AN15,AU15,BB15,BI15,BP15,BW15,CD15)</f>
        <v>0</v>
      </c>
      <c r="CL15" s="56">
        <f t="shared" si="12"/>
        <v>6</v>
      </c>
      <c r="CM15" s="56">
        <f t="shared" si="12"/>
        <v>3</v>
      </c>
      <c r="CN15" s="56">
        <f t="shared" si="12"/>
        <v>0</v>
      </c>
      <c r="CO15" s="56">
        <f t="shared" si="12"/>
        <v>0</v>
      </c>
      <c r="CP15" s="56">
        <f t="shared" si="12"/>
        <v>0</v>
      </c>
      <c r="CQ15" s="56">
        <f t="shared" si="12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3"/>
      <c r="H16" s="13"/>
      <c r="I16" s="13"/>
      <c r="J16" s="13"/>
      <c r="K16" s="13"/>
      <c r="L16" s="52"/>
      <c r="M16" s="52"/>
      <c r="N16" s="53">
        <v>1.0</v>
      </c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5"/>
      <c r="BD16" s="52"/>
      <c r="BE16" s="52"/>
      <c r="BF16" s="52"/>
      <c r="BG16" s="52"/>
      <c r="BH16" s="52"/>
      <c r="BI16" s="13"/>
      <c r="BJ16" s="55"/>
      <c r="BK16" s="13"/>
      <c r="BL16" s="13"/>
      <c r="BM16" s="13"/>
      <c r="BN16" s="13"/>
      <c r="BO16" s="13"/>
      <c r="BP16" s="52"/>
      <c r="BQ16" s="55"/>
      <c r="BR16" s="52"/>
      <c r="BS16" s="52"/>
      <c r="BT16" s="52"/>
      <c r="BU16" s="52"/>
      <c r="BV16" s="52"/>
      <c r="BW16" s="13"/>
      <c r="BX16" s="55"/>
      <c r="BY16" s="13"/>
      <c r="BZ16" s="13"/>
      <c r="CA16" s="13"/>
      <c r="CB16" s="13"/>
      <c r="CC16" s="13"/>
      <c r="CD16" s="52"/>
      <c r="CE16" s="52"/>
      <c r="CF16" s="52"/>
      <c r="CG16" s="52"/>
      <c r="CH16" s="52"/>
      <c r="CI16" s="52"/>
      <c r="CJ16" s="52"/>
      <c r="CK16" s="56">
        <f t="shared" ref="CK16:CQ16" si="13">SUM(E16,L16,S16,Z16,AG16,AN16,AU16,BB16,BI16,BP16,BW16,CD16)</f>
        <v>0</v>
      </c>
      <c r="CL16" s="56">
        <f t="shared" si="13"/>
        <v>0</v>
      </c>
      <c r="CM16" s="56">
        <f t="shared" si="13"/>
        <v>1</v>
      </c>
      <c r="CN16" s="56">
        <f t="shared" si="13"/>
        <v>0</v>
      </c>
      <c r="CO16" s="56">
        <f t="shared" si="13"/>
        <v>0</v>
      </c>
      <c r="CP16" s="56">
        <f t="shared" si="13"/>
        <v>0</v>
      </c>
      <c r="CQ16" s="56">
        <f t="shared" si="13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5"/>
      <c r="BD17" s="52"/>
      <c r="BE17" s="52"/>
      <c r="BF17" s="52"/>
      <c r="BG17" s="52"/>
      <c r="BH17" s="52"/>
      <c r="BI17" s="13"/>
      <c r="BJ17" s="55"/>
      <c r="BK17" s="13"/>
      <c r="BL17" s="13"/>
      <c r="BM17" s="13"/>
      <c r="BN17" s="13"/>
      <c r="BO17" s="13"/>
      <c r="BP17" s="52"/>
      <c r="BQ17" s="55"/>
      <c r="BR17" s="52"/>
      <c r="BS17" s="52"/>
      <c r="BT17" s="52"/>
      <c r="BU17" s="52"/>
      <c r="BV17" s="52"/>
      <c r="BW17" s="13"/>
      <c r="BX17" s="55"/>
      <c r="BY17" s="13"/>
      <c r="BZ17" s="13"/>
      <c r="CA17" s="13"/>
      <c r="CB17" s="13"/>
      <c r="CC17" s="13"/>
      <c r="CD17" s="52"/>
      <c r="CE17" s="52"/>
      <c r="CF17" s="52"/>
      <c r="CG17" s="52"/>
      <c r="CH17" s="52"/>
      <c r="CI17" s="52"/>
      <c r="CJ17" s="52"/>
      <c r="CK17" s="56">
        <f t="shared" ref="CK17:CQ17" si="14">SUM(E17,L17,S17,Z17,AG17,AN17,AU17,BB17,BI17,BP17,BW17,CD17)</f>
        <v>0</v>
      </c>
      <c r="CL17" s="56">
        <f t="shared" si="14"/>
        <v>0</v>
      </c>
      <c r="CM17" s="56">
        <f t="shared" si="14"/>
        <v>0</v>
      </c>
      <c r="CN17" s="56">
        <f t="shared" si="14"/>
        <v>0</v>
      </c>
      <c r="CO17" s="56">
        <f t="shared" si="14"/>
        <v>0</v>
      </c>
      <c r="CP17" s="56">
        <f t="shared" si="14"/>
        <v>0</v>
      </c>
      <c r="CQ17" s="56">
        <f t="shared" si="14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4">
        <v>1.0</v>
      </c>
      <c r="AX18" s="13"/>
      <c r="AY18" s="13"/>
      <c r="AZ18" s="13"/>
      <c r="BA18" s="13"/>
      <c r="BB18" s="52"/>
      <c r="BC18" s="55"/>
      <c r="BD18" s="52"/>
      <c r="BE18" s="52"/>
      <c r="BF18" s="52"/>
      <c r="BG18" s="52"/>
      <c r="BH18" s="52"/>
      <c r="BI18" s="13"/>
      <c r="BJ18" s="55"/>
      <c r="BK18" s="13"/>
      <c r="BL18" s="13"/>
      <c r="BM18" s="13"/>
      <c r="BN18" s="13"/>
      <c r="BO18" s="13"/>
      <c r="BP18" s="52"/>
      <c r="BQ18" s="55"/>
      <c r="BR18" s="52"/>
      <c r="BS18" s="52"/>
      <c r="BT18" s="52"/>
      <c r="BU18" s="52"/>
      <c r="BV18" s="52"/>
      <c r="BW18" s="13"/>
      <c r="BX18" s="55"/>
      <c r="BY18" s="13"/>
      <c r="BZ18" s="13"/>
      <c r="CA18" s="13"/>
      <c r="CB18" s="13"/>
      <c r="CC18" s="13"/>
      <c r="CD18" s="52"/>
      <c r="CE18" s="52"/>
      <c r="CF18" s="52"/>
      <c r="CG18" s="52"/>
      <c r="CH18" s="52"/>
      <c r="CI18" s="52"/>
      <c r="CJ18" s="52"/>
      <c r="CK18" s="56">
        <f t="shared" ref="CK18:CQ18" si="15">SUM(E18,L18,S18,Z18,AG18,AN18,AU18,BB18,BI18,BP18,BW18,CD18)</f>
        <v>0</v>
      </c>
      <c r="CL18" s="56">
        <f t="shared" si="15"/>
        <v>0</v>
      </c>
      <c r="CM18" s="56">
        <f t="shared" si="15"/>
        <v>1</v>
      </c>
      <c r="CN18" s="56">
        <f t="shared" si="15"/>
        <v>0</v>
      </c>
      <c r="CO18" s="56">
        <f t="shared" si="15"/>
        <v>0</v>
      </c>
      <c r="CP18" s="56">
        <f t="shared" si="15"/>
        <v>0</v>
      </c>
      <c r="CQ18" s="56">
        <f t="shared" si="15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5"/>
      <c r="BD19" s="52"/>
      <c r="BE19" s="52"/>
      <c r="BF19" s="52"/>
      <c r="BG19" s="52"/>
      <c r="BH19" s="52"/>
      <c r="BI19" s="13"/>
      <c r="BJ19" s="55"/>
      <c r="BK19" s="13"/>
      <c r="BL19" s="13"/>
      <c r="BM19" s="13"/>
      <c r="BN19" s="13"/>
      <c r="BO19" s="13"/>
      <c r="BP19" s="52"/>
      <c r="BQ19" s="55"/>
      <c r="BR19" s="52"/>
      <c r="BS19" s="52"/>
      <c r="BT19" s="52"/>
      <c r="BU19" s="52"/>
      <c r="BV19" s="52"/>
      <c r="BW19" s="13"/>
      <c r="BX19" s="55"/>
      <c r="BY19" s="13"/>
      <c r="BZ19" s="13"/>
      <c r="CA19" s="13"/>
      <c r="CB19" s="13"/>
      <c r="CC19" s="13"/>
      <c r="CD19" s="52"/>
      <c r="CE19" s="52"/>
      <c r="CF19" s="52"/>
      <c r="CG19" s="52"/>
      <c r="CH19" s="52"/>
      <c r="CI19" s="52"/>
      <c r="CJ19" s="52"/>
      <c r="CK19" s="56">
        <f t="shared" ref="CK19:CQ19" si="16">SUM(E19,L19,S19,Z19,AG19,AN19,AU19,BB19,BI19,BP19,BW19,CD19)</f>
        <v>0</v>
      </c>
      <c r="CL19" s="56">
        <f t="shared" si="16"/>
        <v>0</v>
      </c>
      <c r="CM19" s="56">
        <f t="shared" si="16"/>
        <v>0</v>
      </c>
      <c r="CN19" s="56">
        <f t="shared" si="16"/>
        <v>0</v>
      </c>
      <c r="CO19" s="56">
        <f t="shared" si="16"/>
        <v>0</v>
      </c>
      <c r="CP19" s="56">
        <f t="shared" si="16"/>
        <v>0</v>
      </c>
      <c r="CQ19" s="56">
        <f t="shared" si="16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5"/>
      <c r="BD20" s="52"/>
      <c r="BE20" s="52"/>
      <c r="BF20" s="52"/>
      <c r="BG20" s="52"/>
      <c r="BH20" s="52"/>
      <c r="BI20" s="13"/>
      <c r="BJ20" s="55"/>
      <c r="BK20" s="13"/>
      <c r="BL20" s="13"/>
      <c r="BM20" s="13"/>
      <c r="BN20" s="13"/>
      <c r="BO20" s="13"/>
      <c r="BP20" s="52"/>
      <c r="BQ20" s="55"/>
      <c r="BR20" s="52"/>
      <c r="BS20" s="52"/>
      <c r="BT20" s="52"/>
      <c r="BU20" s="52"/>
      <c r="BV20" s="52"/>
      <c r="BW20" s="13"/>
      <c r="BX20" s="55"/>
      <c r="BY20" s="13"/>
      <c r="BZ20" s="13"/>
      <c r="CA20" s="13"/>
      <c r="CB20" s="13"/>
      <c r="CC20" s="13"/>
      <c r="CD20" s="52"/>
      <c r="CE20" s="52"/>
      <c r="CF20" s="52"/>
      <c r="CG20" s="52"/>
      <c r="CH20" s="52"/>
      <c r="CI20" s="52"/>
      <c r="CJ20" s="52"/>
      <c r="CK20" s="56">
        <f t="shared" ref="CK20:CQ20" si="17">SUM(E20,L20,S20,Z20,AG20,AN20,AU20,BB20,BI20,BP20,BW20,CD20)</f>
        <v>0</v>
      </c>
      <c r="CL20" s="56">
        <f t="shared" si="17"/>
        <v>0</v>
      </c>
      <c r="CM20" s="56">
        <f t="shared" si="17"/>
        <v>0</v>
      </c>
      <c r="CN20" s="56">
        <f t="shared" si="17"/>
        <v>0</v>
      </c>
      <c r="CO20" s="56">
        <f t="shared" si="17"/>
        <v>0</v>
      </c>
      <c r="CP20" s="56">
        <f t="shared" si="17"/>
        <v>0</v>
      </c>
      <c r="CQ20" s="56">
        <f t="shared" si="17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5"/>
      <c r="BD21" s="52"/>
      <c r="BE21" s="52"/>
      <c r="BF21" s="52"/>
      <c r="BG21" s="52"/>
      <c r="BH21" s="52"/>
      <c r="BI21" s="13"/>
      <c r="BJ21" s="55"/>
      <c r="BK21" s="13"/>
      <c r="BL21" s="13"/>
      <c r="BM21" s="13"/>
      <c r="BN21" s="13"/>
      <c r="BO21" s="13"/>
      <c r="BP21" s="52"/>
      <c r="BQ21" s="55"/>
      <c r="BR21" s="52"/>
      <c r="BS21" s="52"/>
      <c r="BT21" s="52"/>
      <c r="BU21" s="52"/>
      <c r="BV21" s="52"/>
      <c r="BW21" s="13"/>
      <c r="BX21" s="55"/>
      <c r="BY21" s="13"/>
      <c r="BZ21" s="13"/>
      <c r="CA21" s="13"/>
      <c r="CB21" s="13"/>
      <c r="CC21" s="13"/>
      <c r="CD21" s="52"/>
      <c r="CE21" s="52"/>
      <c r="CF21" s="52"/>
      <c r="CG21" s="52"/>
      <c r="CH21" s="52"/>
      <c r="CI21" s="52"/>
      <c r="CJ21" s="52"/>
      <c r="CK21" s="56">
        <f t="shared" ref="CK21:CQ21" si="18">SUM(E21,L21,S21,Z21,AG21,AN21,AU21,BB21,BI21,BP21,BW21,CD21)</f>
        <v>0</v>
      </c>
      <c r="CL21" s="56">
        <f t="shared" si="18"/>
        <v>0</v>
      </c>
      <c r="CM21" s="56">
        <f t="shared" si="18"/>
        <v>0</v>
      </c>
      <c r="CN21" s="56">
        <f t="shared" si="18"/>
        <v>0</v>
      </c>
      <c r="CO21" s="56">
        <f t="shared" si="18"/>
        <v>0</v>
      </c>
      <c r="CP21" s="56">
        <f t="shared" si="18"/>
        <v>0</v>
      </c>
      <c r="CQ21" s="56">
        <f t="shared" si="18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5"/>
      <c r="BD22" s="52"/>
      <c r="BE22" s="52"/>
      <c r="BF22" s="52"/>
      <c r="BG22" s="52"/>
      <c r="BH22" s="52"/>
      <c r="BI22" s="13"/>
      <c r="BJ22" s="55"/>
      <c r="BK22" s="13"/>
      <c r="BL22" s="13"/>
      <c r="BM22" s="13"/>
      <c r="BN22" s="13"/>
      <c r="BO22" s="13"/>
      <c r="BP22" s="52"/>
      <c r="BQ22" s="55"/>
      <c r="BR22" s="52"/>
      <c r="BS22" s="52"/>
      <c r="BT22" s="52"/>
      <c r="BU22" s="52"/>
      <c r="BV22" s="52"/>
      <c r="BW22" s="13"/>
      <c r="BX22" s="55"/>
      <c r="BY22" s="13"/>
      <c r="BZ22" s="13"/>
      <c r="CA22" s="13"/>
      <c r="CB22" s="13"/>
      <c r="CC22" s="13"/>
      <c r="CD22" s="52"/>
      <c r="CE22" s="52"/>
      <c r="CF22" s="52"/>
      <c r="CG22" s="52"/>
      <c r="CH22" s="52"/>
      <c r="CI22" s="52"/>
      <c r="CJ22" s="52"/>
      <c r="CK22" s="56">
        <f t="shared" ref="CK22:CQ22" si="19">SUM(E22,L22,S22,Z22,AG22,AN22,AU22,BB22,BI22,BP22,BW22,CD22)</f>
        <v>0</v>
      </c>
      <c r="CL22" s="56">
        <f t="shared" si="19"/>
        <v>0</v>
      </c>
      <c r="CM22" s="56">
        <f t="shared" si="19"/>
        <v>0</v>
      </c>
      <c r="CN22" s="56">
        <f t="shared" si="19"/>
        <v>0</v>
      </c>
      <c r="CO22" s="56">
        <f t="shared" si="19"/>
        <v>0</v>
      </c>
      <c r="CP22" s="56">
        <f t="shared" si="19"/>
        <v>0</v>
      </c>
      <c r="CQ22" s="56">
        <f t="shared" si="19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4">
        <v>1.0</v>
      </c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5"/>
      <c r="BD23" s="52"/>
      <c r="BE23" s="52"/>
      <c r="BF23" s="52"/>
      <c r="BG23" s="52"/>
      <c r="BH23" s="52"/>
      <c r="BI23" s="13"/>
      <c r="BJ23" s="55"/>
      <c r="BK23" s="13"/>
      <c r="BL23" s="13"/>
      <c r="BM23" s="13"/>
      <c r="BN23" s="13"/>
      <c r="BO23" s="13"/>
      <c r="BP23" s="52"/>
      <c r="BQ23" s="55"/>
      <c r="BR23" s="52"/>
      <c r="BS23" s="52"/>
      <c r="BT23" s="52"/>
      <c r="BU23" s="52"/>
      <c r="BV23" s="52"/>
      <c r="BW23" s="13"/>
      <c r="BX23" s="55"/>
      <c r="BY23" s="13"/>
      <c r="BZ23" s="13"/>
      <c r="CA23" s="13"/>
      <c r="CB23" s="13"/>
      <c r="CC23" s="13"/>
      <c r="CD23" s="52"/>
      <c r="CE23" s="52"/>
      <c r="CF23" s="52"/>
      <c r="CG23" s="52"/>
      <c r="CH23" s="52"/>
      <c r="CI23" s="52"/>
      <c r="CJ23" s="52"/>
      <c r="CK23" s="56">
        <f t="shared" ref="CK23:CQ23" si="20">SUM(E23,L23,S23,Z23,AG23,AN23,AU23,BB23,BI23,BP23,BW23,CD23)</f>
        <v>0</v>
      </c>
      <c r="CL23" s="56">
        <f t="shared" si="20"/>
        <v>1</v>
      </c>
      <c r="CM23" s="56">
        <f t="shared" si="20"/>
        <v>0</v>
      </c>
      <c r="CN23" s="56">
        <f t="shared" si="20"/>
        <v>0</v>
      </c>
      <c r="CO23" s="56">
        <f t="shared" si="20"/>
        <v>0</v>
      </c>
      <c r="CP23" s="56">
        <f t="shared" si="20"/>
        <v>0</v>
      </c>
      <c r="CQ23" s="56">
        <f t="shared" si="20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5"/>
      <c r="BD24" s="52"/>
      <c r="BE24" s="52"/>
      <c r="BF24" s="52"/>
      <c r="BG24" s="52"/>
      <c r="BH24" s="52"/>
      <c r="BI24" s="13"/>
      <c r="BJ24" s="55"/>
      <c r="BK24" s="13"/>
      <c r="BL24" s="13"/>
      <c r="BM24" s="13"/>
      <c r="BN24" s="13"/>
      <c r="BO24" s="13"/>
      <c r="BP24" s="52"/>
      <c r="BQ24" s="55"/>
      <c r="BR24" s="52"/>
      <c r="BS24" s="52"/>
      <c r="BT24" s="52"/>
      <c r="BU24" s="52"/>
      <c r="BV24" s="52"/>
      <c r="BW24" s="13"/>
      <c r="BX24" s="55"/>
      <c r="BY24" s="13"/>
      <c r="BZ24" s="13"/>
      <c r="CA24" s="13"/>
      <c r="CB24" s="13"/>
      <c r="CC24" s="13"/>
      <c r="CD24" s="52"/>
      <c r="CE24" s="52"/>
      <c r="CF24" s="52"/>
      <c r="CG24" s="52"/>
      <c r="CH24" s="52"/>
      <c r="CI24" s="52"/>
      <c r="CJ24" s="52"/>
      <c r="CK24" s="56">
        <f t="shared" ref="CK24:CQ24" si="21">SUM(E24,L24,S24,Z24,AG24,AN24,AU24,BB24,BI24,BP24,BW24,CD24)</f>
        <v>0</v>
      </c>
      <c r="CL24" s="56">
        <f t="shared" si="21"/>
        <v>0</v>
      </c>
      <c r="CM24" s="56">
        <f t="shared" si="21"/>
        <v>0</v>
      </c>
      <c r="CN24" s="56">
        <f t="shared" si="21"/>
        <v>0</v>
      </c>
      <c r="CO24" s="56">
        <f t="shared" si="21"/>
        <v>0</v>
      </c>
      <c r="CP24" s="56">
        <f t="shared" si="21"/>
        <v>0</v>
      </c>
      <c r="CQ24" s="56">
        <f t="shared" si="21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5"/>
      <c r="BD25" s="52"/>
      <c r="BE25" s="52"/>
      <c r="BF25" s="52"/>
      <c r="BG25" s="52"/>
      <c r="BH25" s="52"/>
      <c r="BI25" s="13"/>
      <c r="BJ25" s="55"/>
      <c r="BK25" s="13"/>
      <c r="BL25" s="13"/>
      <c r="BM25" s="13"/>
      <c r="BN25" s="13"/>
      <c r="BO25" s="13"/>
      <c r="BP25" s="52"/>
      <c r="BQ25" s="55"/>
      <c r="BR25" s="52"/>
      <c r="BS25" s="52"/>
      <c r="BT25" s="52"/>
      <c r="BU25" s="52"/>
      <c r="BV25" s="52"/>
      <c r="BW25" s="13"/>
      <c r="BX25" s="55"/>
      <c r="BY25" s="13"/>
      <c r="BZ25" s="13"/>
      <c r="CA25" s="13"/>
      <c r="CB25" s="13"/>
      <c r="CC25" s="13"/>
      <c r="CD25" s="52"/>
      <c r="CE25" s="52"/>
      <c r="CF25" s="52"/>
      <c r="CG25" s="52"/>
      <c r="CH25" s="52"/>
      <c r="CI25" s="52"/>
      <c r="CJ25" s="52"/>
      <c r="CK25" s="56">
        <f t="shared" ref="CK25:CQ25" si="22">SUM(E25,L25,S25,Z25,AG25,AN25,AU25,BB25,BI25,BP25,BW25,CD25)</f>
        <v>0</v>
      </c>
      <c r="CL25" s="56">
        <f t="shared" si="22"/>
        <v>0</v>
      </c>
      <c r="CM25" s="56">
        <f t="shared" si="22"/>
        <v>0</v>
      </c>
      <c r="CN25" s="56">
        <f t="shared" si="22"/>
        <v>0</v>
      </c>
      <c r="CO25" s="56">
        <f t="shared" si="22"/>
        <v>0</v>
      </c>
      <c r="CP25" s="56">
        <f t="shared" si="22"/>
        <v>0</v>
      </c>
      <c r="CQ25" s="56">
        <f t="shared" si="22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5"/>
      <c r="BD26" s="52"/>
      <c r="BE26" s="52"/>
      <c r="BF26" s="52"/>
      <c r="BG26" s="52"/>
      <c r="BH26" s="52"/>
      <c r="BI26" s="13"/>
      <c r="BJ26" s="55"/>
      <c r="BK26" s="13"/>
      <c r="BL26" s="13"/>
      <c r="BM26" s="13"/>
      <c r="BN26" s="13"/>
      <c r="BO26" s="13"/>
      <c r="BP26" s="52"/>
      <c r="BQ26" s="55"/>
      <c r="BR26" s="52"/>
      <c r="BS26" s="52"/>
      <c r="BT26" s="52"/>
      <c r="BU26" s="52"/>
      <c r="BV26" s="52"/>
      <c r="BW26" s="13"/>
      <c r="BX26" s="55"/>
      <c r="BY26" s="13"/>
      <c r="BZ26" s="13"/>
      <c r="CA26" s="13"/>
      <c r="CB26" s="13"/>
      <c r="CC26" s="13"/>
      <c r="CD26" s="52"/>
      <c r="CE26" s="52"/>
      <c r="CF26" s="52"/>
      <c r="CG26" s="52"/>
      <c r="CH26" s="52"/>
      <c r="CI26" s="52"/>
      <c r="CJ26" s="52"/>
      <c r="CK26" s="56">
        <f t="shared" ref="CK26:CQ26" si="23">SUM(E26,L26,S26,Z26,AG26,AN26,AU26,BB26,BI26,BP26,BW26,CD26)</f>
        <v>0</v>
      </c>
      <c r="CL26" s="56">
        <f t="shared" si="23"/>
        <v>0</v>
      </c>
      <c r="CM26" s="56">
        <f t="shared" si="23"/>
        <v>0</v>
      </c>
      <c r="CN26" s="56">
        <f t="shared" si="23"/>
        <v>0</v>
      </c>
      <c r="CO26" s="56">
        <f t="shared" si="23"/>
        <v>0</v>
      </c>
      <c r="CP26" s="56">
        <f t="shared" si="23"/>
        <v>0</v>
      </c>
      <c r="CQ26" s="56">
        <f t="shared" si="23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5"/>
      <c r="BD27" s="52"/>
      <c r="BE27" s="52"/>
      <c r="BF27" s="52"/>
      <c r="BG27" s="52"/>
      <c r="BH27" s="52"/>
      <c r="BI27" s="13"/>
      <c r="BJ27" s="55"/>
      <c r="BK27" s="13"/>
      <c r="BL27" s="13"/>
      <c r="BM27" s="13"/>
      <c r="BN27" s="13"/>
      <c r="BO27" s="13"/>
      <c r="BP27" s="52"/>
      <c r="BQ27" s="55"/>
      <c r="BR27" s="52"/>
      <c r="BS27" s="52"/>
      <c r="BT27" s="52"/>
      <c r="BU27" s="52"/>
      <c r="BV27" s="52"/>
      <c r="BW27" s="13"/>
      <c r="BX27" s="55"/>
      <c r="BY27" s="13"/>
      <c r="BZ27" s="13"/>
      <c r="CA27" s="13"/>
      <c r="CB27" s="13"/>
      <c r="CC27" s="13"/>
      <c r="CD27" s="52"/>
      <c r="CE27" s="52"/>
      <c r="CF27" s="52"/>
      <c r="CG27" s="52"/>
      <c r="CH27" s="52"/>
      <c r="CI27" s="52"/>
      <c r="CJ27" s="52"/>
      <c r="CK27" s="56">
        <f t="shared" ref="CK27:CQ27" si="24">SUM(E27,L27,S27,Z27,AG27,AN27,AU27,BB27,BI27,BP27,BW27,CD27)</f>
        <v>0</v>
      </c>
      <c r="CL27" s="56">
        <f t="shared" si="24"/>
        <v>0</v>
      </c>
      <c r="CM27" s="56">
        <f t="shared" si="24"/>
        <v>0</v>
      </c>
      <c r="CN27" s="56">
        <f t="shared" si="24"/>
        <v>0</v>
      </c>
      <c r="CO27" s="56">
        <f t="shared" si="24"/>
        <v>0</v>
      </c>
      <c r="CP27" s="56">
        <f t="shared" si="24"/>
        <v>0</v>
      </c>
      <c r="CQ27" s="56">
        <f t="shared" si="24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4" t="s">
        <v>0</v>
      </c>
      <c r="G28" s="13"/>
      <c r="H28" s="13"/>
      <c r="I28" s="35"/>
      <c r="J28" s="35"/>
      <c r="K28" s="35"/>
      <c r="L28" s="52"/>
      <c r="M28" s="53">
        <v>2.0</v>
      </c>
      <c r="N28" s="53">
        <v>1.0</v>
      </c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3">
        <v>1.0</v>
      </c>
      <c r="AB28" s="53">
        <v>1.0</v>
      </c>
      <c r="AC28" s="52"/>
      <c r="AD28" s="58"/>
      <c r="AE28" s="58"/>
      <c r="AF28" s="58"/>
      <c r="AG28" s="13"/>
      <c r="AH28" s="13"/>
      <c r="AI28" s="13"/>
      <c r="AJ28" s="13"/>
      <c r="AK28" s="35"/>
      <c r="AL28" s="35"/>
      <c r="AM28" s="35"/>
      <c r="AN28" s="52"/>
      <c r="AO28" s="53">
        <v>3.0</v>
      </c>
      <c r="AP28" s="53">
        <v>1.0</v>
      </c>
      <c r="AQ28" s="52"/>
      <c r="AR28" s="58"/>
      <c r="AS28" s="58"/>
      <c r="AT28" s="58"/>
      <c r="AU28" s="13"/>
      <c r="AV28" s="14">
        <v>4.0</v>
      </c>
      <c r="AW28" s="14">
        <v>1.0</v>
      </c>
      <c r="AX28" s="13"/>
      <c r="AY28" s="35"/>
      <c r="AZ28" s="35"/>
      <c r="BA28" s="35"/>
      <c r="BB28" s="52"/>
      <c r="BC28" s="55"/>
      <c r="BD28" s="52"/>
      <c r="BE28" s="52"/>
      <c r="BF28" s="58"/>
      <c r="BG28" s="58"/>
      <c r="BH28" s="58"/>
      <c r="BI28" s="13"/>
      <c r="BJ28" s="55"/>
      <c r="BK28" s="13"/>
      <c r="BL28" s="13"/>
      <c r="BM28" s="35"/>
      <c r="BN28" s="35"/>
      <c r="BO28" s="35"/>
      <c r="BP28" s="52"/>
      <c r="BQ28" s="55"/>
      <c r="BR28" s="52"/>
      <c r="BS28" s="52"/>
      <c r="BT28" s="58"/>
      <c r="BU28" s="58"/>
      <c r="BV28" s="58"/>
      <c r="BW28" s="13"/>
      <c r="BX28" s="55"/>
      <c r="BY28" s="13"/>
      <c r="BZ28" s="13"/>
      <c r="CA28" s="35"/>
      <c r="CB28" s="35"/>
      <c r="CC28" s="35"/>
      <c r="CD28" s="52"/>
      <c r="CE28" s="52"/>
      <c r="CF28" s="52"/>
      <c r="CG28" s="52"/>
      <c r="CH28" s="58"/>
      <c r="CI28" s="58"/>
      <c r="CJ28" s="58"/>
      <c r="CK28" s="56">
        <f t="shared" ref="CK28:CQ28" si="25">SUM(E28,L28,S28,Z28,AG28,AN28,AU28,BB28,BI28,BP28,BW28,CD28)</f>
        <v>0</v>
      </c>
      <c r="CL28" s="56">
        <f t="shared" si="25"/>
        <v>10</v>
      </c>
      <c r="CM28" s="56">
        <f t="shared" si="25"/>
        <v>4</v>
      </c>
      <c r="CN28" s="56">
        <f t="shared" si="25"/>
        <v>0</v>
      </c>
      <c r="CO28" s="56">
        <f t="shared" si="25"/>
        <v>0</v>
      </c>
      <c r="CP28" s="56">
        <f t="shared" si="25"/>
        <v>0</v>
      </c>
      <c r="CQ28" s="56">
        <f t="shared" si="25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3"/>
      <c r="F29" s="13"/>
      <c r="G29" s="13"/>
      <c r="H29" s="13"/>
      <c r="I29" s="35"/>
      <c r="J29" s="35"/>
      <c r="K29" s="35"/>
      <c r="L29" s="52"/>
      <c r="M29" s="52"/>
      <c r="N29" s="52"/>
      <c r="O29" s="52"/>
      <c r="P29" s="58"/>
      <c r="Q29" s="58"/>
      <c r="R29" s="58"/>
      <c r="S29" s="13"/>
      <c r="T29" s="13"/>
      <c r="U29" s="13"/>
      <c r="V29" s="13"/>
      <c r="W29" s="35"/>
      <c r="X29" s="35"/>
      <c r="Y29" s="35"/>
      <c r="Z29" s="52"/>
      <c r="AA29" s="52"/>
      <c r="AB29" s="52"/>
      <c r="AC29" s="52"/>
      <c r="AD29" s="58"/>
      <c r="AE29" s="58"/>
      <c r="AF29" s="58"/>
      <c r="AG29" s="13"/>
      <c r="AH29" s="14">
        <v>1.0</v>
      </c>
      <c r="AI29" s="14">
        <v>1.0</v>
      </c>
      <c r="AJ29" s="13"/>
      <c r="AK29" s="35"/>
      <c r="AL29" s="35"/>
      <c r="AM29" s="35"/>
      <c r="AN29" s="52"/>
      <c r="AO29" s="53">
        <v>1.0</v>
      </c>
      <c r="AP29" s="52"/>
      <c r="AQ29" s="52"/>
      <c r="AR29" s="58"/>
      <c r="AS29" s="58"/>
      <c r="AT29" s="58"/>
      <c r="AU29" s="13"/>
      <c r="AV29" s="14">
        <v>2.0</v>
      </c>
      <c r="AW29" s="14">
        <v>3.0</v>
      </c>
      <c r="AX29" s="13"/>
      <c r="AY29" s="35"/>
      <c r="AZ29" s="35"/>
      <c r="BA29" s="35"/>
      <c r="BB29" s="52"/>
      <c r="BC29" s="55"/>
      <c r="BD29" s="52"/>
      <c r="BE29" s="52"/>
      <c r="BF29" s="58"/>
      <c r="BG29" s="58"/>
      <c r="BH29" s="58"/>
      <c r="BI29" s="13"/>
      <c r="BJ29" s="55"/>
      <c r="BK29" s="13"/>
      <c r="BL29" s="13"/>
      <c r="BM29" s="35"/>
      <c r="BN29" s="35"/>
      <c r="BO29" s="35"/>
      <c r="BP29" s="52"/>
      <c r="BQ29" s="55"/>
      <c r="BR29" s="52"/>
      <c r="BS29" s="52"/>
      <c r="BT29" s="58"/>
      <c r="BU29" s="58"/>
      <c r="BV29" s="58"/>
      <c r="BW29" s="13"/>
      <c r="BX29" s="55"/>
      <c r="BY29" s="13"/>
      <c r="BZ29" s="13"/>
      <c r="CA29" s="35"/>
      <c r="CB29" s="35"/>
      <c r="CC29" s="35"/>
      <c r="CD29" s="52"/>
      <c r="CE29" s="52"/>
      <c r="CF29" s="52"/>
      <c r="CG29" s="52"/>
      <c r="CH29" s="58"/>
      <c r="CI29" s="58"/>
      <c r="CJ29" s="58"/>
      <c r="CK29" s="56">
        <f t="shared" ref="CK29:CQ29" si="26">SUM(E29,L29,S29,Z29,AG29,AN29,AU29,BB29,BI29,BP29,BW29,CD29)</f>
        <v>0</v>
      </c>
      <c r="CL29" s="56">
        <f t="shared" si="26"/>
        <v>4</v>
      </c>
      <c r="CM29" s="56">
        <f t="shared" si="26"/>
        <v>4</v>
      </c>
      <c r="CN29" s="56">
        <f t="shared" si="26"/>
        <v>0</v>
      </c>
      <c r="CO29" s="56">
        <f t="shared" si="26"/>
        <v>0</v>
      </c>
      <c r="CP29" s="56">
        <f t="shared" si="26"/>
        <v>0</v>
      </c>
      <c r="CQ29" s="56">
        <f t="shared" si="26"/>
        <v>0</v>
      </c>
    </row>
    <row r="30" ht="15.75" customHeight="1" outlineLevel="1">
      <c r="A30" s="4"/>
      <c r="B30" s="36" t="s">
        <v>86</v>
      </c>
      <c r="C30" s="36" t="s">
        <v>88</v>
      </c>
      <c r="D30" s="12" t="s">
        <v>26</v>
      </c>
      <c r="E30" s="13"/>
      <c r="F30" s="13"/>
      <c r="G30" s="13"/>
      <c r="H30" s="13"/>
      <c r="I30" s="35"/>
      <c r="J30" s="35"/>
      <c r="K30" s="35"/>
      <c r="L30" s="52"/>
      <c r="M30" s="52"/>
      <c r="N30" s="52"/>
      <c r="O30" s="52"/>
      <c r="P30" s="58"/>
      <c r="Q30" s="58"/>
      <c r="R30" s="58"/>
      <c r="S30" s="13"/>
      <c r="T30" s="13"/>
      <c r="U30" s="13"/>
      <c r="V30" s="13"/>
      <c r="W30" s="35"/>
      <c r="X30" s="35"/>
      <c r="Y30" s="35"/>
      <c r="Z30" s="52"/>
      <c r="AA30" s="52"/>
      <c r="AB30" s="52"/>
      <c r="AC30" s="52"/>
      <c r="AD30" s="58"/>
      <c r="AE30" s="58"/>
      <c r="AF30" s="58"/>
      <c r="AG30" s="13"/>
      <c r="AH30" s="13"/>
      <c r="AI30" s="13"/>
      <c r="AJ30" s="13"/>
      <c r="AK30" s="35"/>
      <c r="AL30" s="35"/>
      <c r="AM30" s="35"/>
      <c r="AN30" s="52"/>
      <c r="AO30" s="52"/>
      <c r="AP30" s="52"/>
      <c r="AQ30" s="52"/>
      <c r="AR30" s="58"/>
      <c r="AS30" s="58"/>
      <c r="AT30" s="58"/>
      <c r="AU30" s="13"/>
      <c r="AV30" s="13"/>
      <c r="AW30" s="13"/>
      <c r="AX30" s="13"/>
      <c r="AY30" s="35"/>
      <c r="AZ30" s="35"/>
      <c r="BA30" s="35"/>
      <c r="BB30" s="52"/>
      <c r="BC30" s="55"/>
      <c r="BD30" s="52"/>
      <c r="BE30" s="52"/>
      <c r="BF30" s="58"/>
      <c r="BG30" s="58"/>
      <c r="BH30" s="58"/>
      <c r="BI30" s="13"/>
      <c r="BJ30" s="55"/>
      <c r="BK30" s="13"/>
      <c r="BL30" s="13"/>
      <c r="BM30" s="35"/>
      <c r="BN30" s="35"/>
      <c r="BO30" s="35"/>
      <c r="BP30" s="52"/>
      <c r="BQ30" s="55"/>
      <c r="BR30" s="52"/>
      <c r="BS30" s="52"/>
      <c r="BT30" s="58"/>
      <c r="BU30" s="58"/>
      <c r="BV30" s="58"/>
      <c r="BW30" s="13"/>
      <c r="BX30" s="55"/>
      <c r="BY30" s="13"/>
      <c r="BZ30" s="13"/>
      <c r="CA30" s="35"/>
      <c r="CB30" s="35"/>
      <c r="CC30" s="35"/>
      <c r="CD30" s="52"/>
      <c r="CE30" s="52"/>
      <c r="CF30" s="52"/>
      <c r="CG30" s="52"/>
      <c r="CH30" s="58"/>
      <c r="CI30" s="58"/>
      <c r="CJ30" s="58"/>
      <c r="CK30" s="56">
        <f t="shared" ref="CK30:CQ30" si="27">SUM(E30,L30,S30,Z30,AG30,AN30,AU30,BB30,BI30,BP30,BW30,CD30)</f>
        <v>0</v>
      </c>
      <c r="CL30" s="56">
        <f t="shared" si="27"/>
        <v>0</v>
      </c>
      <c r="CM30" s="56">
        <f t="shared" si="27"/>
        <v>0</v>
      </c>
      <c r="CN30" s="56">
        <f t="shared" si="27"/>
        <v>0</v>
      </c>
      <c r="CO30" s="56">
        <f t="shared" si="27"/>
        <v>0</v>
      </c>
      <c r="CP30" s="56">
        <f t="shared" si="27"/>
        <v>0</v>
      </c>
      <c r="CQ30" s="56">
        <f t="shared" si="27"/>
        <v>0</v>
      </c>
    </row>
    <row r="31" ht="15.75" customHeight="1">
      <c r="A31" s="4"/>
      <c r="B31" s="60"/>
      <c r="C31" s="4"/>
      <c r="D31" s="4"/>
      <c r="E31" s="13">
        <f>SUM(E6:E27)</f>
        <v>0</v>
      </c>
      <c r="F31" s="13">
        <f>SUM(F6:F29)</f>
        <v>290</v>
      </c>
      <c r="G31" s="13">
        <f t="shared" ref="G31:Z31" si="28">SUM(G6:G27)</f>
        <v>260</v>
      </c>
      <c r="H31" s="13">
        <f t="shared" si="28"/>
        <v>0</v>
      </c>
      <c r="I31" s="17">
        <f t="shared" si="28"/>
        <v>0</v>
      </c>
      <c r="J31" s="17">
        <f t="shared" si="28"/>
        <v>0</v>
      </c>
      <c r="K31" s="17">
        <f t="shared" si="28"/>
        <v>0</v>
      </c>
      <c r="L31" s="52">
        <f t="shared" si="28"/>
        <v>0</v>
      </c>
      <c r="M31" s="52">
        <f t="shared" si="28"/>
        <v>291</v>
      </c>
      <c r="N31" s="52">
        <f t="shared" si="28"/>
        <v>261</v>
      </c>
      <c r="O31" s="52">
        <f t="shared" si="28"/>
        <v>0</v>
      </c>
      <c r="P31" s="61">
        <f t="shared" si="28"/>
        <v>0</v>
      </c>
      <c r="Q31" s="61">
        <f t="shared" si="28"/>
        <v>0</v>
      </c>
      <c r="R31" s="61">
        <f t="shared" si="28"/>
        <v>0</v>
      </c>
      <c r="S31" s="13">
        <f t="shared" si="28"/>
        <v>0</v>
      </c>
      <c r="T31" s="13">
        <f t="shared" si="28"/>
        <v>350</v>
      </c>
      <c r="U31" s="13">
        <f t="shared" si="28"/>
        <v>32</v>
      </c>
      <c r="V31" s="13">
        <f t="shared" si="28"/>
        <v>0</v>
      </c>
      <c r="W31" s="17">
        <f t="shared" si="28"/>
        <v>0</v>
      </c>
      <c r="X31" s="17">
        <f t="shared" si="28"/>
        <v>0</v>
      </c>
      <c r="Y31" s="17">
        <f t="shared" si="28"/>
        <v>0</v>
      </c>
      <c r="Z31" s="52">
        <f t="shared" si="28"/>
        <v>0</v>
      </c>
      <c r="AA31" s="52">
        <f>SUM(AA6:AA29)</f>
        <v>251</v>
      </c>
      <c r="AB31" s="52">
        <f t="shared" ref="AB31:AG31" si="29">SUM(AB6:AB27)</f>
        <v>328</v>
      </c>
      <c r="AC31" s="52">
        <f t="shared" si="29"/>
        <v>0</v>
      </c>
      <c r="AD31" s="61">
        <f t="shared" si="29"/>
        <v>0</v>
      </c>
      <c r="AE31" s="61">
        <f t="shared" si="29"/>
        <v>0</v>
      </c>
      <c r="AF31" s="61">
        <f t="shared" si="29"/>
        <v>0</v>
      </c>
      <c r="AG31" s="13">
        <f t="shared" si="29"/>
        <v>0</v>
      </c>
      <c r="AH31" s="13">
        <f>SUM(AH6:AH29)</f>
        <v>222</v>
      </c>
      <c r="AI31" s="13">
        <f t="shared" ref="AI31:AN31" si="30">SUM(AI6:AI27)</f>
        <v>240</v>
      </c>
      <c r="AJ31" s="13">
        <f t="shared" si="30"/>
        <v>0</v>
      </c>
      <c r="AK31" s="17">
        <f t="shared" si="30"/>
        <v>0</v>
      </c>
      <c r="AL31" s="17">
        <f t="shared" si="30"/>
        <v>0</v>
      </c>
      <c r="AM31" s="17">
        <f t="shared" si="30"/>
        <v>0</v>
      </c>
      <c r="AN31" s="52">
        <f t="shared" si="30"/>
        <v>0</v>
      </c>
      <c r="AO31" s="52">
        <f>SUM(AO6:AO29)</f>
        <v>245</v>
      </c>
      <c r="AP31" s="52">
        <f t="shared" ref="AP31:AU31" si="31">SUM(AP6:AP27)</f>
        <v>0</v>
      </c>
      <c r="AQ31" s="52">
        <f t="shared" si="31"/>
        <v>0</v>
      </c>
      <c r="AR31" s="61">
        <f t="shared" si="31"/>
        <v>0</v>
      </c>
      <c r="AS31" s="61">
        <f t="shared" si="31"/>
        <v>0</v>
      </c>
      <c r="AT31" s="61">
        <f t="shared" si="31"/>
        <v>0</v>
      </c>
      <c r="AU31" s="13">
        <f t="shared" si="31"/>
        <v>0</v>
      </c>
      <c r="AV31" s="13">
        <f>SUM(AV6:AV29)</f>
        <v>230</v>
      </c>
      <c r="AW31" s="13">
        <f t="shared" ref="AW31:BB31" si="32">SUM(AW6:AW27)</f>
        <v>4</v>
      </c>
      <c r="AX31" s="13">
        <f t="shared" si="32"/>
        <v>0</v>
      </c>
      <c r="AY31" s="17">
        <f t="shared" si="32"/>
        <v>0</v>
      </c>
      <c r="AZ31" s="17">
        <f t="shared" si="32"/>
        <v>0</v>
      </c>
      <c r="BA31" s="17">
        <f t="shared" si="32"/>
        <v>0</v>
      </c>
      <c r="BB31" s="52">
        <f t="shared" si="32"/>
        <v>0</v>
      </c>
      <c r="BC31" s="52">
        <f>SUM(BC6:BC29)</f>
        <v>250</v>
      </c>
      <c r="BD31" s="52">
        <f t="shared" ref="BD31:BI31" si="33">SUM(BD6:BD27)</f>
        <v>131</v>
      </c>
      <c r="BE31" s="52">
        <f t="shared" si="33"/>
        <v>0</v>
      </c>
      <c r="BF31" s="61">
        <f t="shared" si="33"/>
        <v>0</v>
      </c>
      <c r="BG31" s="61">
        <f t="shared" si="33"/>
        <v>0</v>
      </c>
      <c r="BH31" s="61">
        <f t="shared" si="33"/>
        <v>0</v>
      </c>
      <c r="BI31" s="13">
        <f t="shared" si="33"/>
        <v>0</v>
      </c>
      <c r="BJ31" s="13">
        <f>SUM(BJ6:BJ29)</f>
        <v>200</v>
      </c>
      <c r="BK31" s="13">
        <f t="shared" ref="BK31:BP31" si="34">SUM(BK6:BK27)</f>
        <v>0</v>
      </c>
      <c r="BL31" s="13">
        <f t="shared" si="34"/>
        <v>0</v>
      </c>
      <c r="BM31" s="17">
        <f t="shared" si="34"/>
        <v>0</v>
      </c>
      <c r="BN31" s="17">
        <f t="shared" si="34"/>
        <v>0</v>
      </c>
      <c r="BO31" s="17">
        <f t="shared" si="34"/>
        <v>0</v>
      </c>
      <c r="BP31" s="52">
        <f t="shared" si="34"/>
        <v>0</v>
      </c>
      <c r="BQ31" s="52">
        <f>SUM(BQ6:BQ29)</f>
        <v>0</v>
      </c>
      <c r="BR31" s="52">
        <f t="shared" ref="BR31:BW31" si="35">SUM(BR6:BR27)</f>
        <v>0</v>
      </c>
      <c r="BS31" s="52">
        <f t="shared" si="35"/>
        <v>0</v>
      </c>
      <c r="BT31" s="61">
        <f t="shared" si="35"/>
        <v>0</v>
      </c>
      <c r="BU31" s="61">
        <f t="shared" si="35"/>
        <v>0</v>
      </c>
      <c r="BV31" s="61">
        <f t="shared" si="35"/>
        <v>0</v>
      </c>
      <c r="BW31" s="13">
        <f t="shared" si="35"/>
        <v>0</v>
      </c>
      <c r="BX31" s="13">
        <f>SUM(BX6:BX29)</f>
        <v>0</v>
      </c>
      <c r="BY31" s="13">
        <f t="shared" ref="BY31:CD31" si="36">SUM(BY6:BY27)</f>
        <v>0</v>
      </c>
      <c r="BZ31" s="13">
        <f t="shared" si="36"/>
        <v>0</v>
      </c>
      <c r="CA31" s="17">
        <f t="shared" si="36"/>
        <v>0</v>
      </c>
      <c r="CB31" s="17">
        <f t="shared" si="36"/>
        <v>0</v>
      </c>
      <c r="CC31" s="17">
        <f t="shared" si="36"/>
        <v>0</v>
      </c>
      <c r="CD31" s="52">
        <f t="shared" si="36"/>
        <v>0</v>
      </c>
      <c r="CE31" s="52">
        <f>SUM(CE6:CE29)</f>
        <v>0</v>
      </c>
      <c r="CF31" s="52">
        <f t="shared" ref="CF31:CK31" si="37">SUM(CF6:CF27)</f>
        <v>0</v>
      </c>
      <c r="CG31" s="52">
        <f t="shared" si="37"/>
        <v>0</v>
      </c>
      <c r="CH31" s="61">
        <f t="shared" si="37"/>
        <v>0</v>
      </c>
      <c r="CI31" s="61">
        <f t="shared" si="37"/>
        <v>0</v>
      </c>
      <c r="CJ31" s="61">
        <f t="shared" si="37"/>
        <v>0</v>
      </c>
      <c r="CK31" s="62">
        <f t="shared" si="37"/>
        <v>0</v>
      </c>
      <c r="CL31" s="62">
        <f>SUM(CL6:CL29)</f>
        <v>2331</v>
      </c>
      <c r="CM31" s="62">
        <f t="shared" ref="CM31:CQ31" si="38">SUM(CM6:CM27)</f>
        <v>1256</v>
      </c>
      <c r="CN31" s="62" t="str">
        <f t="shared" si="38"/>
        <v>#REF!</v>
      </c>
      <c r="CO31" s="62">
        <f t="shared" si="38"/>
        <v>0</v>
      </c>
      <c r="CP31" s="62">
        <f t="shared" si="38"/>
        <v>0</v>
      </c>
      <c r="CQ31" s="62">
        <f t="shared" si="38"/>
        <v>0</v>
      </c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4"/>
      <c r="CM32" s="4"/>
      <c r="CN32" s="4"/>
      <c r="CO32" s="40"/>
      <c r="CP32" s="40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63"/>
      <c r="CH33" s="40"/>
      <c r="CI33" s="40"/>
      <c r="CJ33" s="40"/>
      <c r="CK33" s="4"/>
      <c r="CL33" s="17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17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>
      <c r="A231" s="4"/>
      <c r="B231" s="4"/>
      <c r="C231" s="4"/>
      <c r="D231" s="4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"/>
      <c r="AB231" s="4"/>
      <c r="AC231" s="4"/>
      <c r="AD231" s="40"/>
      <c r="AE231" s="40"/>
      <c r="AF231" s="40"/>
      <c r="AG231" s="4"/>
      <c r="AH231" s="4"/>
      <c r="AI231" s="4"/>
      <c r="AJ231" s="4"/>
      <c r="AK231" s="40"/>
      <c r="AL231" s="40"/>
      <c r="AM231" s="40"/>
      <c r="AN231" s="4"/>
      <c r="AO231" s="4"/>
      <c r="AP231" s="4"/>
      <c r="AQ231" s="4"/>
      <c r="AR231" s="40"/>
      <c r="AS231" s="40"/>
      <c r="AT231" s="40"/>
      <c r="AU231" s="4"/>
      <c r="AV231" s="4"/>
      <c r="AW231" s="4"/>
      <c r="AX231" s="4"/>
      <c r="AY231" s="40"/>
      <c r="AZ231" s="40"/>
      <c r="BA231" s="40"/>
      <c r="BB231" s="4"/>
      <c r="BC231" s="4"/>
      <c r="BD231" s="4"/>
      <c r="BE231" s="4"/>
      <c r="BF231" s="40"/>
      <c r="BG231" s="40"/>
      <c r="BH231" s="40"/>
      <c r="BI231" s="4"/>
      <c r="BJ231" s="4"/>
      <c r="BK231" s="4"/>
      <c r="BL231" s="4"/>
      <c r="BM231" s="40"/>
      <c r="BN231" s="40"/>
      <c r="BO231" s="40"/>
      <c r="BP231" s="4"/>
      <c r="BQ231" s="4"/>
      <c r="BR231" s="4"/>
      <c r="BS231" s="4"/>
      <c r="BT231" s="40"/>
      <c r="BU231" s="40"/>
      <c r="BV231" s="40"/>
      <c r="BW231" s="4"/>
      <c r="BX231" s="4"/>
      <c r="BY231" s="4"/>
      <c r="BZ231" s="4"/>
      <c r="CA231" s="40"/>
      <c r="CB231" s="40"/>
      <c r="CC231" s="40"/>
      <c r="CD231" s="4"/>
      <c r="CE231" s="4"/>
      <c r="CF231" s="4"/>
      <c r="CG231" s="4"/>
      <c r="CH231" s="40"/>
      <c r="CI231" s="40"/>
      <c r="CJ231" s="40"/>
      <c r="CK231" s="4"/>
      <c r="CL231" s="4"/>
      <c r="CM231" s="4"/>
      <c r="CN231" s="4"/>
      <c r="CO231" s="40"/>
      <c r="CP231" s="40"/>
      <c r="CQ231" s="40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2:CG32"/>
    <mergeCell ref="CE33:CG33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E6:H31 L6:O31 S6:V31 AG6:AJ31 AU6:AX31 BI6:BL31 BW6:BZ31">
    <cfRule type="cellIs" dxfId="0" priority="1" operator="greaterThan">
      <formula>0</formula>
    </cfRule>
  </conditionalFormatting>
  <conditionalFormatting sqref="I6:K30">
    <cfRule type="cellIs" dxfId="0" priority="2" operator="greaterThan">
      <formula>0</formula>
    </cfRule>
  </conditionalFormatting>
  <conditionalFormatting sqref="P6:R30">
    <cfRule type="cellIs" dxfId="0" priority="3" operator="greaterThan">
      <formula>0</formula>
    </cfRule>
  </conditionalFormatting>
  <conditionalFormatting sqref="W6:Y30">
    <cfRule type="cellIs" dxfId="0" priority="4" operator="greaterThan">
      <formula>0</formula>
    </cfRule>
  </conditionalFormatting>
  <conditionalFormatting sqref="Z6:AC31">
    <cfRule type="cellIs" dxfId="0" priority="5" operator="greaterThan">
      <formula>0</formula>
    </cfRule>
  </conditionalFormatting>
  <conditionalFormatting sqref="AK6:AM30">
    <cfRule type="cellIs" dxfId="0" priority="6" operator="greaterThan">
      <formula>0</formula>
    </cfRule>
  </conditionalFormatting>
  <conditionalFormatting sqref="AY6:BA30">
    <cfRule type="cellIs" dxfId="0" priority="7" operator="greaterThan">
      <formula>0</formula>
    </cfRule>
  </conditionalFormatting>
  <conditionalFormatting sqref="BM6:BO30">
    <cfRule type="cellIs" dxfId="0" priority="8" operator="greaterThan">
      <formula>0</formula>
    </cfRule>
  </conditionalFormatting>
  <conditionalFormatting sqref="CA6:CC30">
    <cfRule type="cellIs" dxfId="0" priority="9" operator="greaterThan">
      <formula>0</formula>
    </cfRule>
  </conditionalFormatting>
  <conditionalFormatting sqref="CH6:CJ30">
    <cfRule type="cellIs" dxfId="0" priority="10" operator="greaterThan">
      <formula>0</formula>
    </cfRule>
  </conditionalFormatting>
  <conditionalFormatting sqref="AD6:AF30">
    <cfRule type="cellIs" dxfId="0" priority="11" operator="greaterThan">
      <formula>0</formula>
    </cfRule>
  </conditionalFormatting>
  <conditionalFormatting sqref="AN6:AN31 AP6:AQ31 AO16:AO31">
    <cfRule type="cellIs" dxfId="0" priority="12" operator="greaterThan">
      <formula>0</formula>
    </cfRule>
  </conditionalFormatting>
  <conditionalFormatting sqref="AR6:AT30">
    <cfRule type="cellIs" dxfId="0" priority="13" operator="greaterThan">
      <formula>0</formula>
    </cfRule>
  </conditionalFormatting>
  <conditionalFormatting sqref="BB6:BE31">
    <cfRule type="cellIs" dxfId="0" priority="14" operator="greaterThan">
      <formula>0</formula>
    </cfRule>
  </conditionalFormatting>
  <conditionalFormatting sqref="BF6:BH30">
    <cfRule type="cellIs" dxfId="0" priority="15" operator="greaterThan">
      <formula>0</formula>
    </cfRule>
  </conditionalFormatting>
  <conditionalFormatting sqref="BP6:BS31">
    <cfRule type="cellIs" dxfId="0" priority="16" operator="greaterThan">
      <formula>0</formula>
    </cfRule>
  </conditionalFormatting>
  <conditionalFormatting sqref="BT6:BV30">
    <cfRule type="cellIs" dxfId="0" priority="17" operator="greaterThan">
      <formula>0</formula>
    </cfRule>
  </conditionalFormatting>
  <conditionalFormatting sqref="CD6:CG31">
    <cfRule type="cellIs" dxfId="0" priority="18" operator="greaterThan">
      <formula>0</formula>
    </cfRule>
  </conditionalFormatting>
  <conditionalFormatting sqref="AO6:AO15">
    <cfRule type="cellIs" dxfId="0" priority="19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6" t="s">
        <v>0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90</v>
      </c>
      <c r="D6" s="12" t="s">
        <v>26</v>
      </c>
      <c r="E6" s="13"/>
      <c r="F6" s="14">
        <v>20.0</v>
      </c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4">
        <v>50.0</v>
      </c>
      <c r="U6" s="13"/>
      <c r="V6" s="13"/>
      <c r="W6" s="13"/>
      <c r="X6" s="13"/>
      <c r="Y6" s="13"/>
      <c r="Z6" s="52"/>
      <c r="AA6" s="53">
        <v>120.0</v>
      </c>
      <c r="AB6" s="52"/>
      <c r="AC6" s="52"/>
      <c r="AD6" s="52"/>
      <c r="AE6" s="52"/>
      <c r="AF6" s="52"/>
      <c r="AG6" s="13"/>
      <c r="AH6" s="14">
        <v>20.0</v>
      </c>
      <c r="AI6" s="13"/>
      <c r="AJ6" s="13"/>
      <c r="AK6" s="13"/>
      <c r="AL6" s="13"/>
      <c r="AM6" s="13"/>
      <c r="AN6" s="52"/>
      <c r="AO6" s="53">
        <v>20.0</v>
      </c>
      <c r="AP6" s="52"/>
      <c r="AQ6" s="52"/>
      <c r="AR6" s="52"/>
      <c r="AS6" s="52"/>
      <c r="AT6" s="52"/>
      <c r="AU6" s="13"/>
      <c r="AV6" s="14">
        <v>20.0</v>
      </c>
      <c r="AW6" s="13"/>
      <c r="AX6" s="13"/>
      <c r="AY6" s="13"/>
      <c r="AZ6" s="13"/>
      <c r="BA6" s="13"/>
      <c r="BB6" s="52"/>
      <c r="BC6" s="54">
        <v>10.0</v>
      </c>
      <c r="BD6" s="52"/>
      <c r="BE6" s="52"/>
      <c r="BF6" s="52"/>
      <c r="BG6" s="52"/>
      <c r="BH6" s="52"/>
      <c r="BI6" s="13"/>
      <c r="BJ6" s="55"/>
      <c r="BK6" s="13"/>
      <c r="BL6" s="13"/>
      <c r="BM6" s="13"/>
      <c r="BN6" s="13"/>
      <c r="BO6" s="13"/>
      <c r="BP6" s="52"/>
      <c r="BQ6" s="55"/>
      <c r="BR6" s="52"/>
      <c r="BS6" s="52"/>
      <c r="BT6" s="52"/>
      <c r="BU6" s="52"/>
      <c r="BV6" s="52"/>
      <c r="BW6" s="13"/>
      <c r="BX6" s="55"/>
      <c r="BY6" s="13"/>
      <c r="BZ6" s="13"/>
      <c r="CA6" s="13"/>
      <c r="CB6" s="13"/>
      <c r="CC6" s="13"/>
      <c r="CD6" s="52"/>
      <c r="CE6" s="55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260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4">
        <v>110.0</v>
      </c>
      <c r="G7" s="13"/>
      <c r="H7" s="13"/>
      <c r="I7" s="13"/>
      <c r="J7" s="13"/>
      <c r="K7" s="13"/>
      <c r="L7" s="52"/>
      <c r="M7" s="53">
        <v>110.0</v>
      </c>
      <c r="N7" s="53">
        <v>110.0</v>
      </c>
      <c r="O7" s="52"/>
      <c r="P7" s="52"/>
      <c r="Q7" s="52"/>
      <c r="R7" s="52"/>
      <c r="S7" s="13"/>
      <c r="T7" s="14">
        <v>110.0</v>
      </c>
      <c r="U7" s="13"/>
      <c r="V7" s="13"/>
      <c r="W7" s="13"/>
      <c r="X7" s="13"/>
      <c r="Y7" s="13"/>
      <c r="Z7" s="52"/>
      <c r="AA7" s="53">
        <v>110.0</v>
      </c>
      <c r="AB7" s="53">
        <v>170.0</v>
      </c>
      <c r="AC7" s="52"/>
      <c r="AD7" s="52"/>
      <c r="AE7" s="52"/>
      <c r="AF7" s="52"/>
      <c r="AG7" s="13"/>
      <c r="AH7" s="57">
        <v>10.0</v>
      </c>
      <c r="AI7" s="14">
        <v>10.0</v>
      </c>
      <c r="AJ7" s="13"/>
      <c r="AK7" s="13"/>
      <c r="AL7" s="13"/>
      <c r="AM7" s="13"/>
      <c r="AN7" s="52"/>
      <c r="AO7" s="53">
        <v>90.0</v>
      </c>
      <c r="AP7" s="53">
        <v>90.0</v>
      </c>
      <c r="AQ7" s="52"/>
      <c r="AR7" s="52"/>
      <c r="AS7" s="52"/>
      <c r="AT7" s="52"/>
      <c r="AU7" s="13"/>
      <c r="AV7" s="14">
        <v>90.0</v>
      </c>
      <c r="AW7" s="14">
        <v>90.0</v>
      </c>
      <c r="AX7" s="13"/>
      <c r="AY7" s="13"/>
      <c r="AZ7" s="13"/>
      <c r="BA7" s="13"/>
      <c r="BB7" s="52"/>
      <c r="BC7" s="54">
        <v>90.0</v>
      </c>
      <c r="BD7" s="53">
        <v>90.0</v>
      </c>
      <c r="BE7" s="52"/>
      <c r="BF7" s="52"/>
      <c r="BG7" s="52"/>
      <c r="BH7" s="52"/>
      <c r="BI7" s="13"/>
      <c r="BJ7" s="54">
        <v>90.0</v>
      </c>
      <c r="BK7" s="13"/>
      <c r="BL7" s="13"/>
      <c r="BM7" s="13"/>
      <c r="BN7" s="13"/>
      <c r="BO7" s="13"/>
      <c r="BP7" s="52"/>
      <c r="BQ7" s="55"/>
      <c r="BR7" s="52"/>
      <c r="BS7" s="52"/>
      <c r="BT7" s="52"/>
      <c r="BU7" s="52"/>
      <c r="BV7" s="52"/>
      <c r="BW7" s="13"/>
      <c r="BX7" s="55"/>
      <c r="BY7" s="13"/>
      <c r="BZ7" s="13"/>
      <c r="CA7" s="13"/>
      <c r="CB7" s="13"/>
      <c r="CC7" s="13"/>
      <c r="CD7" s="52"/>
      <c r="CE7" s="55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810</v>
      </c>
      <c r="CM7" s="56">
        <f t="shared" si="2"/>
        <v>560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5"/>
      <c r="BD8" s="52"/>
      <c r="BE8" s="52"/>
      <c r="BF8" s="52"/>
      <c r="BG8" s="52"/>
      <c r="BH8" s="52"/>
      <c r="BI8" s="13"/>
      <c r="BJ8" s="55"/>
      <c r="BK8" s="13"/>
      <c r="BL8" s="13"/>
      <c r="BM8" s="13"/>
      <c r="BN8" s="13"/>
      <c r="BO8" s="13"/>
      <c r="BP8" s="52"/>
      <c r="BQ8" s="55"/>
      <c r="BR8" s="52"/>
      <c r="BS8" s="52"/>
      <c r="BT8" s="52"/>
      <c r="BU8" s="52"/>
      <c r="BV8" s="52"/>
      <c r="BW8" s="13"/>
      <c r="BX8" s="55"/>
      <c r="BY8" s="13"/>
      <c r="BZ8" s="13"/>
      <c r="CA8" s="13"/>
      <c r="CB8" s="13"/>
      <c r="CC8" s="13"/>
      <c r="CD8" s="52"/>
      <c r="CE8" s="55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5"/>
      <c r="BD9" s="52"/>
      <c r="BE9" s="52"/>
      <c r="BF9" s="52"/>
      <c r="BG9" s="52"/>
      <c r="BH9" s="52"/>
      <c r="BI9" s="13"/>
      <c r="BJ9" s="55"/>
      <c r="BK9" s="13"/>
      <c r="BL9" s="13"/>
      <c r="BM9" s="13"/>
      <c r="BN9" s="13"/>
      <c r="BO9" s="13"/>
      <c r="BP9" s="52"/>
      <c r="BQ9" s="55"/>
      <c r="BR9" s="52"/>
      <c r="BS9" s="52"/>
      <c r="BT9" s="52"/>
      <c r="BU9" s="52"/>
      <c r="BV9" s="52"/>
      <c r="BW9" s="13"/>
      <c r="BX9" s="55"/>
      <c r="BY9" s="13"/>
      <c r="BZ9" s="13"/>
      <c r="CA9" s="13"/>
      <c r="CB9" s="13"/>
      <c r="CC9" s="13"/>
      <c r="CD9" s="52"/>
      <c r="CE9" s="55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5"/>
      <c r="BD10" s="52"/>
      <c r="BE10" s="52"/>
      <c r="BF10" s="52"/>
      <c r="BG10" s="52"/>
      <c r="BH10" s="52"/>
      <c r="BI10" s="13"/>
      <c r="BJ10" s="55"/>
      <c r="BK10" s="13"/>
      <c r="BL10" s="13"/>
      <c r="BM10" s="13"/>
      <c r="BN10" s="13"/>
      <c r="BO10" s="13"/>
      <c r="BP10" s="52"/>
      <c r="BQ10" s="55"/>
      <c r="BR10" s="52"/>
      <c r="BS10" s="52"/>
      <c r="BT10" s="52"/>
      <c r="BU10" s="52"/>
      <c r="BV10" s="52"/>
      <c r="BW10" s="13"/>
      <c r="BX10" s="55"/>
      <c r="BY10" s="13"/>
      <c r="BZ10" s="13"/>
      <c r="CA10" s="13"/>
      <c r="CB10" s="13"/>
      <c r="CC10" s="13"/>
      <c r="CD10" s="52"/>
      <c r="CE10" s="55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4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5"/>
      <c r="BD11" s="52"/>
      <c r="BE11" s="52"/>
      <c r="BF11" s="52"/>
      <c r="BG11" s="52"/>
      <c r="BH11" s="52"/>
      <c r="BI11" s="13"/>
      <c r="BJ11" s="55"/>
      <c r="BK11" s="13"/>
      <c r="BL11" s="13"/>
      <c r="BM11" s="13"/>
      <c r="BN11" s="13"/>
      <c r="BO11" s="13"/>
      <c r="BP11" s="52"/>
      <c r="BQ11" s="55"/>
      <c r="BR11" s="52"/>
      <c r="BS11" s="52"/>
      <c r="BT11" s="52"/>
      <c r="BU11" s="52"/>
      <c r="BV11" s="52"/>
      <c r="BW11" s="13"/>
      <c r="BX11" s="55"/>
      <c r="BY11" s="13"/>
      <c r="BZ11" s="13"/>
      <c r="CA11" s="13"/>
      <c r="CB11" s="13"/>
      <c r="CC11" s="13"/>
      <c r="CD11" s="52"/>
      <c r="CE11" s="55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4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5"/>
      <c r="BD12" s="52"/>
      <c r="BE12" s="52"/>
      <c r="BF12" s="52"/>
      <c r="BG12" s="52"/>
      <c r="BH12" s="52"/>
      <c r="BI12" s="13"/>
      <c r="BJ12" s="55"/>
      <c r="BK12" s="13"/>
      <c r="BL12" s="13"/>
      <c r="BM12" s="13"/>
      <c r="BN12" s="13"/>
      <c r="BO12" s="13"/>
      <c r="BP12" s="52"/>
      <c r="BQ12" s="55"/>
      <c r="BR12" s="52"/>
      <c r="BS12" s="52"/>
      <c r="BT12" s="52"/>
      <c r="BU12" s="52"/>
      <c r="BV12" s="52"/>
      <c r="BW12" s="13"/>
      <c r="BX12" s="55"/>
      <c r="BY12" s="13"/>
      <c r="BZ12" s="13"/>
      <c r="CA12" s="13"/>
      <c r="CB12" s="13"/>
      <c r="CC12" s="13"/>
      <c r="CD12" s="52"/>
      <c r="CE12" s="55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4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5"/>
      <c r="BD13" s="52"/>
      <c r="BE13" s="52"/>
      <c r="BF13" s="52"/>
      <c r="BG13" s="52"/>
      <c r="BH13" s="52"/>
      <c r="BI13" s="13"/>
      <c r="BJ13" s="55"/>
      <c r="BK13" s="13"/>
      <c r="BL13" s="13"/>
      <c r="BM13" s="13"/>
      <c r="BN13" s="13"/>
      <c r="BO13" s="13"/>
      <c r="BP13" s="52"/>
      <c r="BQ13" s="55"/>
      <c r="BR13" s="52"/>
      <c r="BS13" s="52"/>
      <c r="BT13" s="52"/>
      <c r="BU13" s="52"/>
      <c r="BV13" s="52"/>
      <c r="BW13" s="13"/>
      <c r="BX13" s="55"/>
      <c r="BY13" s="13"/>
      <c r="BZ13" s="13"/>
      <c r="CA13" s="13"/>
      <c r="CB13" s="13"/>
      <c r="CC13" s="13"/>
      <c r="CD13" s="52"/>
      <c r="CE13" s="55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5"/>
      <c r="BD14" s="52"/>
      <c r="BE14" s="52"/>
      <c r="BF14" s="52"/>
      <c r="BG14" s="52"/>
      <c r="BH14" s="52"/>
      <c r="BI14" s="13"/>
      <c r="BJ14" s="55"/>
      <c r="BK14" s="13"/>
      <c r="BL14" s="13"/>
      <c r="BM14" s="13"/>
      <c r="BN14" s="13"/>
      <c r="BO14" s="13"/>
      <c r="BP14" s="52"/>
      <c r="BQ14" s="55"/>
      <c r="BR14" s="52"/>
      <c r="BS14" s="52"/>
      <c r="BT14" s="52"/>
      <c r="BU14" s="52"/>
      <c r="BV14" s="52"/>
      <c r="BW14" s="13"/>
      <c r="BX14" s="55"/>
      <c r="BY14" s="13"/>
      <c r="BZ14" s="13"/>
      <c r="CA14" s="13"/>
      <c r="CB14" s="13"/>
      <c r="CC14" s="13"/>
      <c r="CD14" s="52"/>
      <c r="CE14" s="55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4">
        <v>2.0</v>
      </c>
      <c r="G15" s="13"/>
      <c r="H15" s="13"/>
      <c r="I15" s="13"/>
      <c r="J15" s="13"/>
      <c r="K15" s="13"/>
      <c r="L15" s="52"/>
      <c r="M15" s="53">
        <v>1.0</v>
      </c>
      <c r="N15" s="52"/>
      <c r="O15" s="52"/>
      <c r="P15" s="52"/>
      <c r="Q15" s="52"/>
      <c r="R15" s="52"/>
      <c r="S15" s="13"/>
      <c r="T15" s="14">
        <v>2.0</v>
      </c>
      <c r="U15" s="13"/>
      <c r="V15" s="13"/>
      <c r="W15" s="13"/>
      <c r="X15" s="13"/>
      <c r="Y15" s="13"/>
      <c r="Z15" s="52"/>
      <c r="AA15" s="52"/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3">
        <v>1.0</v>
      </c>
      <c r="AP15" s="53">
        <v>1.0</v>
      </c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4">
        <v>1.0</v>
      </c>
      <c r="BD15" s="53">
        <v>1.0</v>
      </c>
      <c r="BE15" s="52"/>
      <c r="BF15" s="52"/>
      <c r="BG15" s="52"/>
      <c r="BH15" s="52"/>
      <c r="BI15" s="13"/>
      <c r="BJ15" s="55"/>
      <c r="BK15" s="13"/>
      <c r="BL15" s="13"/>
      <c r="BM15" s="13"/>
      <c r="BN15" s="13"/>
      <c r="BO15" s="13"/>
      <c r="BP15" s="52"/>
      <c r="BQ15" s="55"/>
      <c r="BR15" s="52"/>
      <c r="BS15" s="52"/>
      <c r="BT15" s="52"/>
      <c r="BU15" s="52"/>
      <c r="BV15" s="52"/>
      <c r="BW15" s="13"/>
      <c r="BX15" s="55"/>
      <c r="BY15" s="13"/>
      <c r="BZ15" s="13"/>
      <c r="CA15" s="13"/>
      <c r="CB15" s="13"/>
      <c r="CC15" s="13"/>
      <c r="CD15" s="52"/>
      <c r="CE15" s="55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7</v>
      </c>
      <c r="CM15" s="56">
        <f t="shared" si="10"/>
        <v>2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4"/>
      <c r="H16" s="13"/>
      <c r="I16" s="13"/>
      <c r="J16" s="13"/>
      <c r="K16" s="13"/>
      <c r="L16" s="52"/>
      <c r="M16" s="52"/>
      <c r="N16" s="53">
        <v>1.0</v>
      </c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5"/>
      <c r="BD16" s="52"/>
      <c r="BE16" s="52"/>
      <c r="BF16" s="52"/>
      <c r="BG16" s="52"/>
      <c r="BH16" s="52"/>
      <c r="BI16" s="13"/>
      <c r="BJ16" s="55"/>
      <c r="BK16" s="13"/>
      <c r="BL16" s="13"/>
      <c r="BM16" s="13"/>
      <c r="BN16" s="13"/>
      <c r="BO16" s="13"/>
      <c r="BP16" s="52"/>
      <c r="BQ16" s="55"/>
      <c r="BR16" s="52"/>
      <c r="BS16" s="52"/>
      <c r="BT16" s="52"/>
      <c r="BU16" s="52"/>
      <c r="BV16" s="52"/>
      <c r="BW16" s="13"/>
      <c r="BX16" s="55"/>
      <c r="BY16" s="13"/>
      <c r="BZ16" s="13"/>
      <c r="CA16" s="13"/>
      <c r="CB16" s="13"/>
      <c r="CC16" s="13"/>
      <c r="CD16" s="52"/>
      <c r="CE16" s="55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1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5"/>
      <c r="BD17" s="52"/>
      <c r="BE17" s="52"/>
      <c r="BF17" s="52"/>
      <c r="BG17" s="52"/>
      <c r="BH17" s="52"/>
      <c r="BI17" s="13"/>
      <c r="BJ17" s="55"/>
      <c r="BK17" s="13"/>
      <c r="BL17" s="13"/>
      <c r="BM17" s="13"/>
      <c r="BN17" s="13"/>
      <c r="BO17" s="13"/>
      <c r="BP17" s="52"/>
      <c r="BQ17" s="55"/>
      <c r="BR17" s="52"/>
      <c r="BS17" s="52"/>
      <c r="BT17" s="52"/>
      <c r="BU17" s="52"/>
      <c r="BV17" s="52"/>
      <c r="BW17" s="13"/>
      <c r="BX17" s="55"/>
      <c r="BY17" s="13"/>
      <c r="BZ17" s="13"/>
      <c r="CA17" s="13"/>
      <c r="CB17" s="13"/>
      <c r="CC17" s="13"/>
      <c r="CD17" s="52"/>
      <c r="CE17" s="55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5"/>
      <c r="BD18" s="52"/>
      <c r="BE18" s="52"/>
      <c r="BF18" s="52"/>
      <c r="BG18" s="52"/>
      <c r="BH18" s="52"/>
      <c r="BI18" s="13"/>
      <c r="BJ18" s="55"/>
      <c r="BK18" s="13"/>
      <c r="BL18" s="13"/>
      <c r="BM18" s="13"/>
      <c r="BN18" s="13"/>
      <c r="BO18" s="13"/>
      <c r="BP18" s="52"/>
      <c r="BQ18" s="55"/>
      <c r="BR18" s="52"/>
      <c r="BS18" s="52"/>
      <c r="BT18" s="52"/>
      <c r="BU18" s="52"/>
      <c r="BV18" s="52"/>
      <c r="BW18" s="13"/>
      <c r="BX18" s="55"/>
      <c r="BY18" s="13"/>
      <c r="BZ18" s="13"/>
      <c r="CA18" s="13"/>
      <c r="CB18" s="13"/>
      <c r="CC18" s="13"/>
      <c r="CD18" s="52"/>
      <c r="CE18" s="55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5"/>
      <c r="BD19" s="52"/>
      <c r="BE19" s="52"/>
      <c r="BF19" s="52"/>
      <c r="BG19" s="52"/>
      <c r="BH19" s="52"/>
      <c r="BI19" s="13"/>
      <c r="BJ19" s="55"/>
      <c r="BK19" s="13"/>
      <c r="BL19" s="13"/>
      <c r="BM19" s="13"/>
      <c r="BN19" s="13"/>
      <c r="BO19" s="13"/>
      <c r="BP19" s="52"/>
      <c r="BQ19" s="55"/>
      <c r="BR19" s="52"/>
      <c r="BS19" s="52"/>
      <c r="BT19" s="52"/>
      <c r="BU19" s="52"/>
      <c r="BV19" s="52"/>
      <c r="BW19" s="13"/>
      <c r="BX19" s="55"/>
      <c r="BY19" s="13"/>
      <c r="BZ19" s="13"/>
      <c r="CA19" s="13"/>
      <c r="CB19" s="13"/>
      <c r="CC19" s="13"/>
      <c r="CD19" s="52"/>
      <c r="CE19" s="55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5"/>
      <c r="BD20" s="52"/>
      <c r="BE20" s="52"/>
      <c r="BF20" s="52"/>
      <c r="BG20" s="52"/>
      <c r="BH20" s="52"/>
      <c r="BI20" s="13"/>
      <c r="BJ20" s="55"/>
      <c r="BK20" s="13"/>
      <c r="BL20" s="13"/>
      <c r="BM20" s="13"/>
      <c r="BN20" s="13"/>
      <c r="BO20" s="13"/>
      <c r="BP20" s="52"/>
      <c r="BQ20" s="55"/>
      <c r="BR20" s="52"/>
      <c r="BS20" s="52"/>
      <c r="BT20" s="52"/>
      <c r="BU20" s="52"/>
      <c r="BV20" s="52"/>
      <c r="BW20" s="13"/>
      <c r="BX20" s="55"/>
      <c r="BY20" s="13"/>
      <c r="BZ20" s="13"/>
      <c r="CA20" s="13"/>
      <c r="CB20" s="13"/>
      <c r="CC20" s="13"/>
      <c r="CD20" s="52"/>
      <c r="CE20" s="55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5"/>
      <c r="BD21" s="52"/>
      <c r="BE21" s="52"/>
      <c r="BF21" s="52"/>
      <c r="BG21" s="52"/>
      <c r="BH21" s="52"/>
      <c r="BI21" s="13"/>
      <c r="BJ21" s="55"/>
      <c r="BK21" s="13"/>
      <c r="BL21" s="13"/>
      <c r="BM21" s="13"/>
      <c r="BN21" s="13"/>
      <c r="BO21" s="13"/>
      <c r="BP21" s="52"/>
      <c r="BQ21" s="55"/>
      <c r="BR21" s="52"/>
      <c r="BS21" s="52"/>
      <c r="BT21" s="52"/>
      <c r="BU21" s="52"/>
      <c r="BV21" s="52"/>
      <c r="BW21" s="13"/>
      <c r="BX21" s="55"/>
      <c r="BY21" s="13"/>
      <c r="BZ21" s="13"/>
      <c r="CA21" s="13"/>
      <c r="CB21" s="13"/>
      <c r="CC21" s="13"/>
      <c r="CD21" s="52"/>
      <c r="CE21" s="55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5"/>
      <c r="BD22" s="52"/>
      <c r="BE22" s="52"/>
      <c r="BF22" s="52"/>
      <c r="BG22" s="52"/>
      <c r="BH22" s="52"/>
      <c r="BI22" s="13"/>
      <c r="BJ22" s="55"/>
      <c r="BK22" s="13"/>
      <c r="BL22" s="13"/>
      <c r="BM22" s="13"/>
      <c r="BN22" s="13"/>
      <c r="BO22" s="13"/>
      <c r="BP22" s="52"/>
      <c r="BQ22" s="55"/>
      <c r="BR22" s="52"/>
      <c r="BS22" s="52"/>
      <c r="BT22" s="52"/>
      <c r="BU22" s="52"/>
      <c r="BV22" s="52"/>
      <c r="BW22" s="13"/>
      <c r="BX22" s="55"/>
      <c r="BY22" s="13"/>
      <c r="BZ22" s="13"/>
      <c r="CA22" s="13"/>
      <c r="CB22" s="13"/>
      <c r="CC22" s="13"/>
      <c r="CD22" s="52"/>
      <c r="CE22" s="55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5"/>
      <c r="BD23" s="52"/>
      <c r="BE23" s="52"/>
      <c r="BF23" s="52"/>
      <c r="BG23" s="52"/>
      <c r="BH23" s="52"/>
      <c r="BI23" s="13"/>
      <c r="BJ23" s="55"/>
      <c r="BK23" s="13"/>
      <c r="BL23" s="13"/>
      <c r="BM23" s="13"/>
      <c r="BN23" s="13"/>
      <c r="BO23" s="13"/>
      <c r="BP23" s="52"/>
      <c r="BQ23" s="55"/>
      <c r="BR23" s="52"/>
      <c r="BS23" s="52"/>
      <c r="BT23" s="52"/>
      <c r="BU23" s="52"/>
      <c r="BV23" s="52"/>
      <c r="BW23" s="13"/>
      <c r="BX23" s="55"/>
      <c r="BY23" s="13"/>
      <c r="BZ23" s="13"/>
      <c r="CA23" s="13"/>
      <c r="CB23" s="13"/>
      <c r="CC23" s="13"/>
      <c r="CD23" s="52"/>
      <c r="CE23" s="55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5"/>
      <c r="BD24" s="52"/>
      <c r="BE24" s="52"/>
      <c r="BF24" s="52"/>
      <c r="BG24" s="52"/>
      <c r="BH24" s="52"/>
      <c r="BI24" s="13"/>
      <c r="BJ24" s="55"/>
      <c r="BK24" s="13"/>
      <c r="BL24" s="13"/>
      <c r="BM24" s="13"/>
      <c r="BN24" s="13"/>
      <c r="BO24" s="13"/>
      <c r="BP24" s="52"/>
      <c r="BQ24" s="55"/>
      <c r="BR24" s="52"/>
      <c r="BS24" s="52"/>
      <c r="BT24" s="52"/>
      <c r="BU24" s="52"/>
      <c r="BV24" s="52"/>
      <c r="BW24" s="13"/>
      <c r="BX24" s="55"/>
      <c r="BY24" s="13"/>
      <c r="BZ24" s="13"/>
      <c r="CA24" s="13"/>
      <c r="CB24" s="13"/>
      <c r="CC24" s="13"/>
      <c r="CD24" s="52"/>
      <c r="CE24" s="55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0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5"/>
      <c r="BD25" s="52"/>
      <c r="BE25" s="52"/>
      <c r="BF25" s="52"/>
      <c r="BG25" s="52"/>
      <c r="BH25" s="52"/>
      <c r="BI25" s="13"/>
      <c r="BJ25" s="55"/>
      <c r="BK25" s="13"/>
      <c r="BL25" s="13"/>
      <c r="BM25" s="13"/>
      <c r="BN25" s="13"/>
      <c r="BO25" s="13"/>
      <c r="BP25" s="52"/>
      <c r="BQ25" s="55"/>
      <c r="BR25" s="52"/>
      <c r="BS25" s="52"/>
      <c r="BT25" s="52"/>
      <c r="BU25" s="52"/>
      <c r="BV25" s="52"/>
      <c r="BW25" s="13"/>
      <c r="BX25" s="55"/>
      <c r="BY25" s="13"/>
      <c r="BZ25" s="13"/>
      <c r="CA25" s="13"/>
      <c r="CB25" s="13"/>
      <c r="CC25" s="13"/>
      <c r="CD25" s="52"/>
      <c r="CE25" s="55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5"/>
      <c r="BD26" s="52"/>
      <c r="BE26" s="52"/>
      <c r="BF26" s="52"/>
      <c r="BG26" s="52"/>
      <c r="BH26" s="52"/>
      <c r="BI26" s="13"/>
      <c r="BJ26" s="55"/>
      <c r="BK26" s="13"/>
      <c r="BL26" s="13"/>
      <c r="BM26" s="13"/>
      <c r="BN26" s="13"/>
      <c r="BO26" s="13"/>
      <c r="BP26" s="52"/>
      <c r="BQ26" s="55"/>
      <c r="BR26" s="52"/>
      <c r="BS26" s="52"/>
      <c r="BT26" s="52"/>
      <c r="BU26" s="52"/>
      <c r="BV26" s="52"/>
      <c r="BW26" s="13"/>
      <c r="BX26" s="55"/>
      <c r="BY26" s="13"/>
      <c r="BZ26" s="13"/>
      <c r="CA26" s="13"/>
      <c r="CB26" s="13"/>
      <c r="CC26" s="13"/>
      <c r="CD26" s="52"/>
      <c r="CE26" s="55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4">
        <v>1.0</v>
      </c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5"/>
      <c r="BD27" s="52"/>
      <c r="BE27" s="52"/>
      <c r="BF27" s="52"/>
      <c r="BG27" s="52"/>
      <c r="BH27" s="52"/>
      <c r="BI27" s="13"/>
      <c r="BJ27" s="55"/>
      <c r="BK27" s="13"/>
      <c r="BL27" s="13"/>
      <c r="BM27" s="13"/>
      <c r="BN27" s="13"/>
      <c r="BO27" s="13"/>
      <c r="BP27" s="52"/>
      <c r="BQ27" s="55"/>
      <c r="BR27" s="52"/>
      <c r="BS27" s="52"/>
      <c r="BT27" s="52"/>
      <c r="BU27" s="52"/>
      <c r="BV27" s="52"/>
      <c r="BW27" s="13"/>
      <c r="BX27" s="55"/>
      <c r="BY27" s="13"/>
      <c r="BZ27" s="13"/>
      <c r="CA27" s="13"/>
      <c r="CB27" s="13"/>
      <c r="CC27" s="13"/>
      <c r="CD27" s="52"/>
      <c r="CE27" s="55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1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4">
        <v>2.0</v>
      </c>
      <c r="G28" s="14">
        <v>2.0</v>
      </c>
      <c r="H28" s="13"/>
      <c r="I28" s="35"/>
      <c r="J28" s="35"/>
      <c r="K28" s="35"/>
      <c r="L28" s="52"/>
      <c r="M28" s="52"/>
      <c r="N28" s="52"/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2"/>
      <c r="AB28" s="52"/>
      <c r="AC28" s="52"/>
      <c r="AD28" s="58"/>
      <c r="AE28" s="58"/>
      <c r="AF28" s="58"/>
      <c r="AG28" s="13"/>
      <c r="AH28" s="14">
        <v>1.0</v>
      </c>
      <c r="AI28" s="14">
        <v>1.0</v>
      </c>
      <c r="AJ28" s="13"/>
      <c r="AK28" s="35"/>
      <c r="AL28" s="35"/>
      <c r="AM28" s="35"/>
      <c r="AN28" s="52"/>
      <c r="AO28" s="52"/>
      <c r="AP28" s="52"/>
      <c r="AQ28" s="52"/>
      <c r="AR28" s="58"/>
      <c r="AS28" s="58"/>
      <c r="AT28" s="58"/>
      <c r="AU28" s="13"/>
      <c r="AV28" s="13"/>
      <c r="AW28" s="13"/>
      <c r="AX28" s="13"/>
      <c r="AY28" s="35"/>
      <c r="AZ28" s="35"/>
      <c r="BA28" s="35"/>
      <c r="BB28" s="52"/>
      <c r="BC28" s="55"/>
      <c r="BD28" s="52"/>
      <c r="BE28" s="52"/>
      <c r="BF28" s="58"/>
      <c r="BG28" s="58"/>
      <c r="BH28" s="58"/>
      <c r="BI28" s="13"/>
      <c r="BJ28" s="55"/>
      <c r="BK28" s="13"/>
      <c r="BL28" s="13"/>
      <c r="BM28" s="35"/>
      <c r="BN28" s="35"/>
      <c r="BO28" s="35"/>
      <c r="BP28" s="52"/>
      <c r="BQ28" s="55"/>
      <c r="BR28" s="52"/>
      <c r="BS28" s="52"/>
      <c r="BT28" s="58"/>
      <c r="BU28" s="58"/>
      <c r="BV28" s="58"/>
      <c r="BW28" s="13"/>
      <c r="BX28" s="55"/>
      <c r="BY28" s="13"/>
      <c r="BZ28" s="13"/>
      <c r="CA28" s="35"/>
      <c r="CB28" s="35"/>
      <c r="CC28" s="35"/>
      <c r="CD28" s="52"/>
      <c r="CE28" s="55"/>
      <c r="CF28" s="52"/>
      <c r="CG28" s="52"/>
      <c r="CH28" s="58"/>
      <c r="CI28" s="58"/>
      <c r="CJ28" s="58"/>
      <c r="CK28" s="56">
        <f t="shared" ref="CK28:CQ28" si="23">SUM(E28,L28,S28,Z28,AG28,AN28,AU28,BB28,BI28,BP28,BW28,CD28)</f>
        <v>0</v>
      </c>
      <c r="CL28" s="56">
        <f t="shared" si="23"/>
        <v>3</v>
      </c>
      <c r="CM28" s="56">
        <f t="shared" si="23"/>
        <v>3</v>
      </c>
      <c r="CN28" s="56">
        <f t="shared" si="23"/>
        <v>0</v>
      </c>
      <c r="CO28" s="56">
        <f t="shared" si="23"/>
        <v>0</v>
      </c>
      <c r="CP28" s="56">
        <f t="shared" si="23"/>
        <v>0</v>
      </c>
      <c r="CQ28" s="56">
        <f t="shared" si="23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3"/>
      <c r="F29" s="13"/>
      <c r="G29" s="13"/>
      <c r="H29" s="13"/>
      <c r="I29" s="35"/>
      <c r="J29" s="35"/>
      <c r="K29" s="35"/>
      <c r="L29" s="52"/>
      <c r="M29" s="52"/>
      <c r="N29" s="52"/>
      <c r="O29" s="52"/>
      <c r="P29" s="58"/>
      <c r="Q29" s="58"/>
      <c r="R29" s="58"/>
      <c r="S29" s="13"/>
      <c r="T29" s="14">
        <v>1.0</v>
      </c>
      <c r="U29" s="13"/>
      <c r="V29" s="13"/>
      <c r="W29" s="35"/>
      <c r="X29" s="35"/>
      <c r="Y29" s="35"/>
      <c r="Z29" s="52"/>
      <c r="AA29" s="52"/>
      <c r="AB29" s="52"/>
      <c r="AC29" s="52"/>
      <c r="AD29" s="58"/>
      <c r="AE29" s="58"/>
      <c r="AF29" s="58"/>
      <c r="AG29" s="13"/>
      <c r="AH29" s="13"/>
      <c r="AI29" s="13"/>
      <c r="AJ29" s="13"/>
      <c r="AK29" s="35"/>
      <c r="AL29" s="35"/>
      <c r="AM29" s="35"/>
      <c r="AN29" s="52"/>
      <c r="AO29" s="53">
        <v>1.0</v>
      </c>
      <c r="AP29" s="52"/>
      <c r="AQ29" s="52"/>
      <c r="AR29" s="58"/>
      <c r="AS29" s="58"/>
      <c r="AT29" s="58"/>
      <c r="AU29" s="13"/>
      <c r="AV29" s="13"/>
      <c r="AW29" s="13"/>
      <c r="AX29" s="13"/>
      <c r="AY29" s="35"/>
      <c r="AZ29" s="35"/>
      <c r="BA29" s="35"/>
      <c r="BB29" s="52"/>
      <c r="BC29" s="55"/>
      <c r="BD29" s="52"/>
      <c r="BE29" s="52"/>
      <c r="BF29" s="58"/>
      <c r="BG29" s="58"/>
      <c r="BH29" s="58"/>
      <c r="BI29" s="13"/>
      <c r="BJ29" s="55"/>
      <c r="BK29" s="13"/>
      <c r="BL29" s="13"/>
      <c r="BM29" s="35"/>
      <c r="BN29" s="35"/>
      <c r="BO29" s="35"/>
      <c r="BP29" s="52"/>
      <c r="BQ29" s="55"/>
      <c r="BR29" s="52"/>
      <c r="BS29" s="52"/>
      <c r="BT29" s="58"/>
      <c r="BU29" s="58"/>
      <c r="BV29" s="58"/>
      <c r="BW29" s="13"/>
      <c r="BX29" s="55"/>
      <c r="BY29" s="13"/>
      <c r="BZ29" s="13"/>
      <c r="CA29" s="35"/>
      <c r="CB29" s="35"/>
      <c r="CC29" s="35"/>
      <c r="CD29" s="52"/>
      <c r="CE29" s="55"/>
      <c r="CF29" s="52"/>
      <c r="CG29" s="52"/>
      <c r="CH29" s="58"/>
      <c r="CI29" s="58"/>
      <c r="CJ29" s="58"/>
      <c r="CK29" s="56">
        <f t="shared" ref="CK29:CQ29" si="24">SUM(E29,L29,S29,Z29,AG29,AN29,AU29,BB29,BI29,BP29,BW29,CD29)</f>
        <v>0</v>
      </c>
      <c r="CL29" s="56">
        <f t="shared" si="24"/>
        <v>2</v>
      </c>
      <c r="CM29" s="56">
        <f t="shared" si="24"/>
        <v>0</v>
      </c>
      <c r="CN29" s="56">
        <f t="shared" si="24"/>
        <v>0</v>
      </c>
      <c r="CO29" s="56">
        <f t="shared" si="24"/>
        <v>0</v>
      </c>
      <c r="CP29" s="56">
        <f t="shared" si="24"/>
        <v>0</v>
      </c>
      <c r="CQ29" s="56">
        <f t="shared" si="24"/>
        <v>0</v>
      </c>
    </row>
    <row r="30" ht="15.75" customHeight="1" outlineLevel="1">
      <c r="A30" s="4"/>
      <c r="B30" s="36" t="s">
        <v>86</v>
      </c>
      <c r="C30" s="36" t="s">
        <v>88</v>
      </c>
      <c r="D30" s="12" t="s">
        <v>26</v>
      </c>
      <c r="E30" s="13"/>
      <c r="F30" s="13"/>
      <c r="G30" s="13"/>
      <c r="H30" s="13"/>
      <c r="I30" s="35"/>
      <c r="J30" s="35"/>
      <c r="K30" s="35"/>
      <c r="L30" s="52"/>
      <c r="M30" s="52"/>
      <c r="N30" s="52"/>
      <c r="O30" s="52"/>
      <c r="P30" s="58"/>
      <c r="Q30" s="58"/>
      <c r="R30" s="58"/>
      <c r="S30" s="13"/>
      <c r="T30" s="13"/>
      <c r="U30" s="13"/>
      <c r="V30" s="13"/>
      <c r="W30" s="35"/>
      <c r="X30" s="35"/>
      <c r="Y30" s="35"/>
      <c r="Z30" s="52"/>
      <c r="AA30" s="52"/>
      <c r="AB30" s="52"/>
      <c r="AC30" s="52"/>
      <c r="AD30" s="58"/>
      <c r="AE30" s="58"/>
      <c r="AF30" s="58"/>
      <c r="AG30" s="13"/>
      <c r="AH30" s="13"/>
      <c r="AI30" s="13"/>
      <c r="AJ30" s="13"/>
      <c r="AK30" s="35"/>
      <c r="AL30" s="35"/>
      <c r="AM30" s="35"/>
      <c r="AN30" s="52"/>
      <c r="AO30" s="52"/>
      <c r="AP30" s="52"/>
      <c r="AQ30" s="52"/>
      <c r="AR30" s="58"/>
      <c r="AS30" s="58"/>
      <c r="AT30" s="58"/>
      <c r="AU30" s="13"/>
      <c r="AV30" s="13"/>
      <c r="AW30" s="13"/>
      <c r="AX30" s="13"/>
      <c r="AY30" s="35"/>
      <c r="AZ30" s="35"/>
      <c r="BA30" s="35"/>
      <c r="BB30" s="52"/>
      <c r="BC30" s="55"/>
      <c r="BD30" s="52"/>
      <c r="BE30" s="52"/>
      <c r="BF30" s="58"/>
      <c r="BG30" s="58"/>
      <c r="BH30" s="58"/>
      <c r="BI30" s="13"/>
      <c r="BJ30" s="55"/>
      <c r="BK30" s="13"/>
      <c r="BL30" s="13"/>
      <c r="BM30" s="35"/>
      <c r="BN30" s="35"/>
      <c r="BO30" s="35"/>
      <c r="BP30" s="52"/>
      <c r="BQ30" s="55"/>
      <c r="BR30" s="52"/>
      <c r="BS30" s="52"/>
      <c r="BT30" s="58"/>
      <c r="BU30" s="58"/>
      <c r="BV30" s="58"/>
      <c r="BW30" s="13"/>
      <c r="BX30" s="55"/>
      <c r="BY30" s="13"/>
      <c r="BZ30" s="13"/>
      <c r="CA30" s="35"/>
      <c r="CB30" s="35"/>
      <c r="CC30" s="35"/>
      <c r="CD30" s="52"/>
      <c r="CE30" s="55"/>
      <c r="CF30" s="52"/>
      <c r="CG30" s="52"/>
      <c r="CH30" s="58"/>
      <c r="CI30" s="58"/>
      <c r="CJ30" s="58"/>
      <c r="CK30" s="59"/>
      <c r="CL30" s="59"/>
      <c r="CM30" s="59"/>
      <c r="CN30" s="59"/>
      <c r="CO30" s="59"/>
      <c r="CP30" s="59"/>
      <c r="CQ30" s="59"/>
    </row>
    <row r="31" ht="15.75" customHeight="1">
      <c r="A31" s="4"/>
      <c r="B31" s="60"/>
      <c r="C31" s="4"/>
      <c r="D31" s="4"/>
      <c r="E31" s="13">
        <f t="shared" ref="E31:Z31" si="25">SUM(E6:E27)</f>
        <v>0</v>
      </c>
      <c r="F31" s="13">
        <f t="shared" si="25"/>
        <v>132</v>
      </c>
      <c r="G31" s="13">
        <f t="shared" si="25"/>
        <v>0</v>
      </c>
      <c r="H31" s="13">
        <f t="shared" si="25"/>
        <v>0</v>
      </c>
      <c r="I31" s="17">
        <f t="shared" si="25"/>
        <v>0</v>
      </c>
      <c r="J31" s="17">
        <f t="shared" si="25"/>
        <v>0</v>
      </c>
      <c r="K31" s="17">
        <f t="shared" si="25"/>
        <v>0</v>
      </c>
      <c r="L31" s="52">
        <f t="shared" si="25"/>
        <v>0</v>
      </c>
      <c r="M31" s="52">
        <f t="shared" si="25"/>
        <v>111</v>
      </c>
      <c r="N31" s="52">
        <f t="shared" si="25"/>
        <v>111</v>
      </c>
      <c r="O31" s="52">
        <f t="shared" si="25"/>
        <v>0</v>
      </c>
      <c r="P31" s="61">
        <f t="shared" si="25"/>
        <v>0</v>
      </c>
      <c r="Q31" s="61">
        <f t="shared" si="25"/>
        <v>0</v>
      </c>
      <c r="R31" s="61">
        <f t="shared" si="25"/>
        <v>0</v>
      </c>
      <c r="S31" s="13">
        <f t="shared" si="25"/>
        <v>0</v>
      </c>
      <c r="T31" s="13">
        <f t="shared" si="25"/>
        <v>163</v>
      </c>
      <c r="U31" s="13">
        <f t="shared" si="25"/>
        <v>0</v>
      </c>
      <c r="V31" s="13">
        <f t="shared" si="25"/>
        <v>0</v>
      </c>
      <c r="W31" s="17">
        <f t="shared" si="25"/>
        <v>0</v>
      </c>
      <c r="X31" s="17">
        <f t="shared" si="25"/>
        <v>0</v>
      </c>
      <c r="Y31" s="17">
        <f t="shared" si="25"/>
        <v>0</v>
      </c>
      <c r="Z31" s="52">
        <f t="shared" si="25"/>
        <v>0</v>
      </c>
      <c r="AA31" s="52">
        <f>SUM(AA6:AA29)</f>
        <v>230</v>
      </c>
      <c r="AB31" s="52">
        <f t="shared" ref="AB31:AG31" si="26">SUM(AB6:AB27)</f>
        <v>170</v>
      </c>
      <c r="AC31" s="52">
        <f t="shared" si="26"/>
        <v>0</v>
      </c>
      <c r="AD31" s="61">
        <f t="shared" si="26"/>
        <v>0</v>
      </c>
      <c r="AE31" s="61">
        <f t="shared" si="26"/>
        <v>0</v>
      </c>
      <c r="AF31" s="61">
        <f t="shared" si="26"/>
        <v>0</v>
      </c>
      <c r="AG31" s="13">
        <f t="shared" si="26"/>
        <v>0</v>
      </c>
      <c r="AH31" s="13">
        <f>SUM(AH4:AH29)</f>
        <v>31</v>
      </c>
      <c r="AI31" s="13">
        <f t="shared" ref="AI31:AN31" si="27">SUM(AI6:AI27)</f>
        <v>10</v>
      </c>
      <c r="AJ31" s="13">
        <f t="shared" si="27"/>
        <v>0</v>
      </c>
      <c r="AK31" s="17">
        <f t="shared" si="27"/>
        <v>0</v>
      </c>
      <c r="AL31" s="17">
        <f t="shared" si="27"/>
        <v>0</v>
      </c>
      <c r="AM31" s="17">
        <f t="shared" si="27"/>
        <v>0</v>
      </c>
      <c r="AN31" s="52">
        <f t="shared" si="27"/>
        <v>0</v>
      </c>
      <c r="AO31" s="52">
        <f>SUM(AO6:AO29)</f>
        <v>112</v>
      </c>
      <c r="AP31" s="52">
        <f t="shared" ref="AP31:AU31" si="28">SUM(AP6:AP27)</f>
        <v>91</v>
      </c>
      <c r="AQ31" s="52">
        <f t="shared" si="28"/>
        <v>0</v>
      </c>
      <c r="AR31" s="61">
        <f t="shared" si="28"/>
        <v>0</v>
      </c>
      <c r="AS31" s="61">
        <f t="shared" si="28"/>
        <v>0</v>
      </c>
      <c r="AT31" s="61">
        <f t="shared" si="28"/>
        <v>0</v>
      </c>
      <c r="AU31" s="13">
        <f t="shared" si="28"/>
        <v>0</v>
      </c>
      <c r="AV31" s="13">
        <f>SUM(AV6:AV29)</f>
        <v>110</v>
      </c>
      <c r="AW31" s="13">
        <f t="shared" ref="AW31:BB31" si="29">SUM(AW6:AW27)</f>
        <v>90</v>
      </c>
      <c r="AX31" s="13">
        <f t="shared" si="29"/>
        <v>0</v>
      </c>
      <c r="AY31" s="17">
        <f t="shared" si="29"/>
        <v>0</v>
      </c>
      <c r="AZ31" s="17">
        <f t="shared" si="29"/>
        <v>0</v>
      </c>
      <c r="BA31" s="17">
        <f t="shared" si="29"/>
        <v>0</v>
      </c>
      <c r="BB31" s="52">
        <f t="shared" si="29"/>
        <v>0</v>
      </c>
      <c r="BC31" s="52">
        <f>SUM(BC6:BC29)</f>
        <v>101</v>
      </c>
      <c r="BD31" s="52">
        <f t="shared" ref="BD31:BI31" si="30">SUM(BD6:BD27)</f>
        <v>91</v>
      </c>
      <c r="BE31" s="52">
        <f t="shared" si="30"/>
        <v>0</v>
      </c>
      <c r="BF31" s="61">
        <f t="shared" si="30"/>
        <v>0</v>
      </c>
      <c r="BG31" s="61">
        <f t="shared" si="30"/>
        <v>0</v>
      </c>
      <c r="BH31" s="61">
        <f t="shared" si="30"/>
        <v>0</v>
      </c>
      <c r="BI31" s="13">
        <f t="shared" si="30"/>
        <v>0</v>
      </c>
      <c r="BJ31" s="13">
        <f>SUM(BJ6:BJ29)</f>
        <v>90</v>
      </c>
      <c r="BK31" s="13">
        <f t="shared" ref="BK31:BP31" si="31">SUM(BK6:BK27)</f>
        <v>0</v>
      </c>
      <c r="BL31" s="13">
        <f t="shared" si="31"/>
        <v>0</v>
      </c>
      <c r="BM31" s="17">
        <f t="shared" si="31"/>
        <v>0</v>
      </c>
      <c r="BN31" s="17">
        <f t="shared" si="31"/>
        <v>0</v>
      </c>
      <c r="BO31" s="17">
        <f t="shared" si="31"/>
        <v>0</v>
      </c>
      <c r="BP31" s="52">
        <f t="shared" si="31"/>
        <v>0</v>
      </c>
      <c r="BQ31" s="52">
        <f>SUM(BQ6:BQ29)</f>
        <v>0</v>
      </c>
      <c r="BR31" s="52">
        <f t="shared" ref="BR31:BW31" si="32">SUM(BR6:BR27)</f>
        <v>0</v>
      </c>
      <c r="BS31" s="52">
        <f t="shared" si="32"/>
        <v>0</v>
      </c>
      <c r="BT31" s="61">
        <f t="shared" si="32"/>
        <v>0</v>
      </c>
      <c r="BU31" s="61">
        <f t="shared" si="32"/>
        <v>0</v>
      </c>
      <c r="BV31" s="61">
        <f t="shared" si="32"/>
        <v>0</v>
      </c>
      <c r="BW31" s="13">
        <f t="shared" si="32"/>
        <v>0</v>
      </c>
      <c r="BX31" s="13">
        <f>SUM(BX6:BX29)</f>
        <v>0</v>
      </c>
      <c r="BY31" s="13">
        <f t="shared" ref="BY31:CD31" si="33">SUM(BY6:BY27)</f>
        <v>0</v>
      </c>
      <c r="BZ31" s="13">
        <f t="shared" si="33"/>
        <v>0</v>
      </c>
      <c r="CA31" s="17">
        <f t="shared" si="33"/>
        <v>0</v>
      </c>
      <c r="CB31" s="17">
        <f t="shared" si="33"/>
        <v>0</v>
      </c>
      <c r="CC31" s="17">
        <f t="shared" si="33"/>
        <v>0</v>
      </c>
      <c r="CD31" s="52">
        <f t="shared" si="33"/>
        <v>0</v>
      </c>
      <c r="CE31" s="52">
        <f>SUM(CE6:CE29)</f>
        <v>0</v>
      </c>
      <c r="CF31" s="52">
        <f t="shared" ref="CF31:CK31" si="34">SUM(CF6:CF27)</f>
        <v>0</v>
      </c>
      <c r="CG31" s="52">
        <f t="shared" si="34"/>
        <v>0</v>
      </c>
      <c r="CH31" s="61">
        <f t="shared" si="34"/>
        <v>0</v>
      </c>
      <c r="CI31" s="61">
        <f t="shared" si="34"/>
        <v>0</v>
      </c>
      <c r="CJ31" s="61">
        <f t="shared" si="34"/>
        <v>0</v>
      </c>
      <c r="CK31" s="62">
        <f t="shared" si="34"/>
        <v>0</v>
      </c>
      <c r="CL31" s="62">
        <f>SUM(CL6:CL29)</f>
        <v>1083</v>
      </c>
      <c r="CM31" s="62">
        <f t="shared" ref="CM31:CQ31" si="35">SUM(CM6:CM27)</f>
        <v>563</v>
      </c>
      <c r="CN31" s="62">
        <f t="shared" si="35"/>
        <v>0</v>
      </c>
      <c r="CO31" s="62">
        <f t="shared" si="35"/>
        <v>0</v>
      </c>
      <c r="CP31" s="62">
        <f t="shared" si="35"/>
        <v>0</v>
      </c>
      <c r="CQ31" s="62">
        <f t="shared" si="35"/>
        <v>0</v>
      </c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4"/>
      <c r="CM32" s="4"/>
      <c r="CN32" s="4"/>
      <c r="CO32" s="40"/>
      <c r="CP32" s="40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63"/>
      <c r="CH33" s="40"/>
      <c r="CI33" s="40"/>
      <c r="CJ33" s="40"/>
      <c r="CK33" s="4"/>
      <c r="CL33" s="17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17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>
      <c r="A231" s="4"/>
      <c r="B231" s="4"/>
      <c r="C231" s="4"/>
      <c r="D231" s="4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"/>
      <c r="AB231" s="4"/>
      <c r="AC231" s="4"/>
      <c r="AD231" s="40"/>
      <c r="AE231" s="40"/>
      <c r="AF231" s="40"/>
      <c r="AG231" s="4"/>
      <c r="AH231" s="4"/>
      <c r="AI231" s="4"/>
      <c r="AJ231" s="4"/>
      <c r="AK231" s="40"/>
      <c r="AL231" s="40"/>
      <c r="AM231" s="40"/>
      <c r="AN231" s="4"/>
      <c r="AO231" s="4"/>
      <c r="AP231" s="4"/>
      <c r="AQ231" s="4"/>
      <c r="AR231" s="40"/>
      <c r="AS231" s="40"/>
      <c r="AT231" s="40"/>
      <c r="AU231" s="4"/>
      <c r="AV231" s="4"/>
      <c r="AW231" s="4"/>
      <c r="AX231" s="4"/>
      <c r="AY231" s="40"/>
      <c r="AZ231" s="40"/>
      <c r="BA231" s="40"/>
      <c r="BB231" s="4"/>
      <c r="BC231" s="4"/>
      <c r="BD231" s="4"/>
      <c r="BE231" s="4"/>
      <c r="BF231" s="40"/>
      <c r="BG231" s="40"/>
      <c r="BH231" s="40"/>
      <c r="BI231" s="4"/>
      <c r="BJ231" s="4"/>
      <c r="BK231" s="4"/>
      <c r="BL231" s="4"/>
      <c r="BM231" s="40"/>
      <c r="BN231" s="40"/>
      <c r="BO231" s="40"/>
      <c r="BP231" s="4"/>
      <c r="BQ231" s="4"/>
      <c r="BR231" s="4"/>
      <c r="BS231" s="4"/>
      <c r="BT231" s="40"/>
      <c r="BU231" s="40"/>
      <c r="BV231" s="40"/>
      <c r="BW231" s="4"/>
      <c r="BX231" s="4"/>
      <c r="BY231" s="4"/>
      <c r="BZ231" s="4"/>
      <c r="CA231" s="40"/>
      <c r="CB231" s="40"/>
      <c r="CC231" s="40"/>
      <c r="CD231" s="4"/>
      <c r="CE231" s="4"/>
      <c r="CF231" s="4"/>
      <c r="CG231" s="4"/>
      <c r="CH231" s="40"/>
      <c r="CI231" s="40"/>
      <c r="CJ231" s="40"/>
      <c r="CK231" s="4"/>
      <c r="CL231" s="4"/>
      <c r="CM231" s="4"/>
      <c r="CN231" s="4"/>
      <c r="CO231" s="40"/>
      <c r="CP231" s="40"/>
      <c r="CQ231" s="40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2:CG32"/>
    <mergeCell ref="CE33:CG33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30">
    <cfRule type="cellIs" dxfId="0" priority="1" operator="greaterThan">
      <formula>0</formula>
    </cfRule>
  </conditionalFormatting>
  <conditionalFormatting sqref="W6:Y30">
    <cfRule type="cellIs" dxfId="0" priority="2" operator="greaterThan">
      <formula>0</formula>
    </cfRule>
  </conditionalFormatting>
  <conditionalFormatting sqref="AY6:BA30">
    <cfRule type="cellIs" dxfId="0" priority="3" operator="greaterThan">
      <formula>0</formula>
    </cfRule>
  </conditionalFormatting>
  <conditionalFormatting sqref="AD6:AF30">
    <cfRule type="cellIs" dxfId="0" priority="4" operator="greaterThan">
      <formula>0</formula>
    </cfRule>
  </conditionalFormatting>
  <conditionalFormatting sqref="AR6:AT30">
    <cfRule type="cellIs" dxfId="0" priority="5" operator="greaterThan">
      <formula>0</formula>
    </cfRule>
  </conditionalFormatting>
  <conditionalFormatting sqref="BF6:BH30">
    <cfRule type="cellIs" dxfId="0" priority="6" operator="greaterThan">
      <formula>0</formula>
    </cfRule>
  </conditionalFormatting>
  <conditionalFormatting sqref="BT6:BV30">
    <cfRule type="cellIs" dxfId="0" priority="7" operator="greaterThan">
      <formula>0</formula>
    </cfRule>
  </conditionalFormatting>
  <conditionalFormatting sqref="CH6:CJ30">
    <cfRule type="cellIs" dxfId="0" priority="8" operator="greaterThan">
      <formula>0</formula>
    </cfRule>
  </conditionalFormatting>
  <conditionalFormatting sqref="E6:H31 L6:O31 S6:V31 AG6:AJ31 AU6:AX31 BI6:BL31 BW6:BZ31">
    <cfRule type="cellIs" dxfId="0" priority="9" operator="greaterThan">
      <formula>0</formula>
    </cfRule>
  </conditionalFormatting>
  <conditionalFormatting sqref="P6:R30">
    <cfRule type="cellIs" dxfId="0" priority="10" operator="greaterThan">
      <formula>0</formula>
    </cfRule>
  </conditionalFormatting>
  <conditionalFormatting sqref="Z6:AC31">
    <cfRule type="cellIs" dxfId="0" priority="11" operator="greaterThan">
      <formula>0</formula>
    </cfRule>
  </conditionalFormatting>
  <conditionalFormatting sqref="AK6:AM30">
    <cfRule type="cellIs" dxfId="0" priority="12" operator="greaterThan">
      <formula>0</formula>
    </cfRule>
  </conditionalFormatting>
  <conditionalFormatting sqref="BM6:BO30">
    <cfRule type="cellIs" dxfId="0" priority="13" operator="greaterThan">
      <formula>0</formula>
    </cfRule>
  </conditionalFormatting>
  <conditionalFormatting sqref="CA6:CC30">
    <cfRule type="cellIs" dxfId="0" priority="14" operator="greaterThan">
      <formula>0</formula>
    </cfRule>
  </conditionalFormatting>
  <conditionalFormatting sqref="AN6:AQ31">
    <cfRule type="cellIs" dxfId="0" priority="15" operator="greaterThan">
      <formula>0</formula>
    </cfRule>
  </conditionalFormatting>
  <conditionalFormatting sqref="BB6:BE31">
    <cfRule type="cellIs" dxfId="0" priority="16" operator="greaterThan">
      <formula>0</formula>
    </cfRule>
  </conditionalFormatting>
  <conditionalFormatting sqref="BP6:BS31">
    <cfRule type="cellIs" dxfId="0" priority="17" operator="greaterThan">
      <formula>0</formula>
    </cfRule>
  </conditionalFormatting>
  <conditionalFormatting sqref="CD6:CG31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4">
        <v>10.0</v>
      </c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4">
        <v>10.0</v>
      </c>
      <c r="U6" s="13"/>
      <c r="V6" s="13"/>
      <c r="W6" s="13"/>
      <c r="X6" s="13"/>
      <c r="Y6" s="13"/>
      <c r="Z6" s="52"/>
      <c r="AA6" s="53">
        <v>90.0</v>
      </c>
      <c r="AB6" s="52"/>
      <c r="AC6" s="52"/>
      <c r="AD6" s="52"/>
      <c r="AE6" s="52"/>
      <c r="AF6" s="52"/>
      <c r="AG6" s="13"/>
      <c r="AH6" s="14">
        <v>20.0</v>
      </c>
      <c r="AI6" s="13"/>
      <c r="AJ6" s="13"/>
      <c r="AK6" s="13"/>
      <c r="AL6" s="13"/>
      <c r="AM6" s="13"/>
      <c r="AN6" s="52"/>
      <c r="AO6" s="53">
        <v>10.0</v>
      </c>
      <c r="AP6" s="52"/>
      <c r="AQ6" s="52"/>
      <c r="AR6" s="52"/>
      <c r="AS6" s="52"/>
      <c r="AT6" s="52"/>
      <c r="AU6" s="14"/>
      <c r="AV6" s="14">
        <v>10.0</v>
      </c>
      <c r="AW6" s="13"/>
      <c r="AX6" s="13"/>
      <c r="AY6" s="13"/>
      <c r="AZ6" s="13"/>
      <c r="BA6" s="13"/>
      <c r="BB6" s="52"/>
      <c r="BC6" s="55"/>
      <c r="BD6" s="52"/>
      <c r="BE6" s="52"/>
      <c r="BF6" s="52"/>
      <c r="BG6" s="52"/>
      <c r="BH6" s="52"/>
      <c r="BI6" s="13"/>
      <c r="BJ6" s="55"/>
      <c r="BK6" s="13"/>
      <c r="BL6" s="13"/>
      <c r="BM6" s="13"/>
      <c r="BN6" s="13"/>
      <c r="BO6" s="13"/>
      <c r="BP6" s="52"/>
      <c r="BQ6" s="55"/>
      <c r="BR6" s="52"/>
      <c r="BS6" s="52"/>
      <c r="BT6" s="52"/>
      <c r="BU6" s="52"/>
      <c r="BV6" s="52"/>
      <c r="BW6" s="13"/>
      <c r="BX6" s="55"/>
      <c r="BY6" s="13"/>
      <c r="BZ6" s="13"/>
      <c r="CA6" s="13"/>
      <c r="CB6" s="13"/>
      <c r="CC6" s="13"/>
      <c r="CD6" s="52"/>
      <c r="CE6" s="55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150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4">
        <v>140.0</v>
      </c>
      <c r="G7" s="13">
        <f>70+60+9</f>
        <v>139</v>
      </c>
      <c r="H7" s="13"/>
      <c r="I7" s="13"/>
      <c r="J7" s="13"/>
      <c r="K7" s="13"/>
      <c r="L7" s="52"/>
      <c r="M7" s="53">
        <v>140.0</v>
      </c>
      <c r="N7" s="52"/>
      <c r="O7" s="52"/>
      <c r="P7" s="52"/>
      <c r="Q7" s="52"/>
      <c r="R7" s="52"/>
      <c r="S7" s="13"/>
      <c r="T7" s="14">
        <v>140.0</v>
      </c>
      <c r="U7" s="14">
        <v>140.0</v>
      </c>
      <c r="V7" s="13"/>
      <c r="W7" s="13"/>
      <c r="X7" s="13"/>
      <c r="Y7" s="13"/>
      <c r="Z7" s="52"/>
      <c r="AA7" s="53">
        <v>70.0</v>
      </c>
      <c r="AB7" s="53">
        <v>210.0</v>
      </c>
      <c r="AC7" s="52"/>
      <c r="AD7" s="52"/>
      <c r="AE7" s="52"/>
      <c r="AF7" s="52"/>
      <c r="AG7" s="13"/>
      <c r="AH7" s="14">
        <v>70.0</v>
      </c>
      <c r="AI7" s="13"/>
      <c r="AJ7" s="13"/>
      <c r="AK7" s="13"/>
      <c r="AL7" s="13"/>
      <c r="AM7" s="13"/>
      <c r="AN7" s="52"/>
      <c r="AO7" s="53">
        <v>90.0</v>
      </c>
      <c r="AP7" s="53">
        <v>84.0</v>
      </c>
      <c r="AQ7" s="52"/>
      <c r="AR7" s="52"/>
      <c r="AS7" s="52"/>
      <c r="AT7" s="52"/>
      <c r="AU7" s="14"/>
      <c r="AV7" s="14">
        <v>100.0</v>
      </c>
      <c r="AW7" s="14">
        <v>106.0</v>
      </c>
      <c r="AX7" s="13"/>
      <c r="AY7" s="13"/>
      <c r="AZ7" s="13"/>
      <c r="BA7" s="13"/>
      <c r="BB7" s="52"/>
      <c r="BC7" s="54">
        <v>100.0</v>
      </c>
      <c r="BD7" s="53">
        <v>90.0</v>
      </c>
      <c r="BE7" s="52"/>
      <c r="BF7" s="52"/>
      <c r="BG7" s="52"/>
      <c r="BH7" s="52"/>
      <c r="BI7" s="13"/>
      <c r="BJ7" s="54">
        <v>100.0</v>
      </c>
      <c r="BK7" s="13"/>
      <c r="BL7" s="13"/>
      <c r="BM7" s="13"/>
      <c r="BN7" s="13"/>
      <c r="BO7" s="13"/>
      <c r="BP7" s="52"/>
      <c r="BQ7" s="55"/>
      <c r="BR7" s="52"/>
      <c r="BS7" s="52"/>
      <c r="BT7" s="52"/>
      <c r="BU7" s="52"/>
      <c r="BV7" s="52"/>
      <c r="BW7" s="13"/>
      <c r="BX7" s="55"/>
      <c r="BY7" s="13"/>
      <c r="BZ7" s="13"/>
      <c r="CA7" s="13"/>
      <c r="CB7" s="13"/>
      <c r="CC7" s="13"/>
      <c r="CD7" s="52"/>
      <c r="CE7" s="55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950</v>
      </c>
      <c r="CM7" s="56">
        <f t="shared" si="2"/>
        <v>769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5"/>
      <c r="BD8" s="52"/>
      <c r="BE8" s="52"/>
      <c r="BF8" s="52"/>
      <c r="BG8" s="52"/>
      <c r="BH8" s="52"/>
      <c r="BI8" s="13"/>
      <c r="BJ8" s="55"/>
      <c r="BK8" s="13"/>
      <c r="BL8" s="13"/>
      <c r="BM8" s="13"/>
      <c r="BN8" s="13"/>
      <c r="BO8" s="13"/>
      <c r="BP8" s="52"/>
      <c r="BQ8" s="55"/>
      <c r="BR8" s="52"/>
      <c r="BS8" s="52"/>
      <c r="BT8" s="52"/>
      <c r="BU8" s="52"/>
      <c r="BV8" s="52"/>
      <c r="BW8" s="13"/>
      <c r="BX8" s="55"/>
      <c r="BY8" s="13"/>
      <c r="BZ8" s="13"/>
      <c r="CA8" s="13"/>
      <c r="CB8" s="13"/>
      <c r="CC8" s="13"/>
      <c r="CD8" s="52"/>
      <c r="CE8" s="55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5"/>
      <c r="BD9" s="52"/>
      <c r="BE9" s="52"/>
      <c r="BF9" s="52"/>
      <c r="BG9" s="52"/>
      <c r="BH9" s="52"/>
      <c r="BI9" s="13"/>
      <c r="BJ9" s="55"/>
      <c r="BK9" s="13"/>
      <c r="BL9" s="13"/>
      <c r="BM9" s="13"/>
      <c r="BN9" s="13"/>
      <c r="BO9" s="13"/>
      <c r="BP9" s="52"/>
      <c r="BQ9" s="55"/>
      <c r="BR9" s="52"/>
      <c r="BS9" s="52"/>
      <c r="BT9" s="52"/>
      <c r="BU9" s="52"/>
      <c r="BV9" s="52"/>
      <c r="BW9" s="13"/>
      <c r="BX9" s="55"/>
      <c r="BY9" s="13"/>
      <c r="BZ9" s="13"/>
      <c r="CA9" s="13"/>
      <c r="CB9" s="13"/>
      <c r="CC9" s="13"/>
      <c r="CD9" s="52"/>
      <c r="CE9" s="55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5"/>
      <c r="BD10" s="52"/>
      <c r="BE10" s="52"/>
      <c r="BF10" s="52"/>
      <c r="BG10" s="52"/>
      <c r="BH10" s="52"/>
      <c r="BI10" s="13"/>
      <c r="BJ10" s="55"/>
      <c r="BK10" s="13"/>
      <c r="BL10" s="13"/>
      <c r="BM10" s="13"/>
      <c r="BN10" s="13"/>
      <c r="BO10" s="13"/>
      <c r="BP10" s="52"/>
      <c r="BQ10" s="55"/>
      <c r="BR10" s="52"/>
      <c r="BS10" s="52"/>
      <c r="BT10" s="52"/>
      <c r="BU10" s="52"/>
      <c r="BV10" s="52"/>
      <c r="BW10" s="13"/>
      <c r="BX10" s="55"/>
      <c r="BY10" s="13"/>
      <c r="BZ10" s="13"/>
      <c r="CA10" s="13"/>
      <c r="CB10" s="13"/>
      <c r="CC10" s="13"/>
      <c r="CD10" s="52"/>
      <c r="CE10" s="55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4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5"/>
      <c r="BD11" s="52"/>
      <c r="BE11" s="52"/>
      <c r="BF11" s="52"/>
      <c r="BG11" s="52"/>
      <c r="BH11" s="52"/>
      <c r="BI11" s="13"/>
      <c r="BJ11" s="55"/>
      <c r="BK11" s="13"/>
      <c r="BL11" s="13"/>
      <c r="BM11" s="13"/>
      <c r="BN11" s="13"/>
      <c r="BO11" s="13"/>
      <c r="BP11" s="52"/>
      <c r="BQ11" s="55"/>
      <c r="BR11" s="52"/>
      <c r="BS11" s="52"/>
      <c r="BT11" s="52"/>
      <c r="BU11" s="52"/>
      <c r="BV11" s="52"/>
      <c r="BW11" s="13"/>
      <c r="BX11" s="55"/>
      <c r="BY11" s="13"/>
      <c r="BZ11" s="13"/>
      <c r="CA11" s="13"/>
      <c r="CB11" s="13"/>
      <c r="CC11" s="13"/>
      <c r="CD11" s="52"/>
      <c r="CE11" s="55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5"/>
      <c r="BD12" s="52"/>
      <c r="BE12" s="52"/>
      <c r="BF12" s="52"/>
      <c r="BG12" s="52"/>
      <c r="BH12" s="52"/>
      <c r="BI12" s="13"/>
      <c r="BJ12" s="55"/>
      <c r="BK12" s="13"/>
      <c r="BL12" s="13"/>
      <c r="BM12" s="13"/>
      <c r="BN12" s="13"/>
      <c r="BO12" s="13"/>
      <c r="BP12" s="52"/>
      <c r="BQ12" s="55"/>
      <c r="BR12" s="52"/>
      <c r="BS12" s="52"/>
      <c r="BT12" s="52"/>
      <c r="BU12" s="52"/>
      <c r="BV12" s="52"/>
      <c r="BW12" s="13"/>
      <c r="BX12" s="55"/>
      <c r="BY12" s="13"/>
      <c r="BZ12" s="13"/>
      <c r="CA12" s="13"/>
      <c r="CB12" s="13"/>
      <c r="CC12" s="13"/>
      <c r="CD12" s="52"/>
      <c r="CE12" s="55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5"/>
      <c r="BD13" s="52"/>
      <c r="BE13" s="52"/>
      <c r="BF13" s="52"/>
      <c r="BG13" s="52"/>
      <c r="BH13" s="52"/>
      <c r="BI13" s="13"/>
      <c r="BJ13" s="55"/>
      <c r="BK13" s="13"/>
      <c r="BL13" s="13"/>
      <c r="BM13" s="13"/>
      <c r="BN13" s="13"/>
      <c r="BO13" s="13"/>
      <c r="BP13" s="52"/>
      <c r="BQ13" s="55"/>
      <c r="BR13" s="52"/>
      <c r="BS13" s="52"/>
      <c r="BT13" s="52"/>
      <c r="BU13" s="52"/>
      <c r="BV13" s="52"/>
      <c r="BW13" s="13"/>
      <c r="BX13" s="55"/>
      <c r="BY13" s="13"/>
      <c r="BZ13" s="13"/>
      <c r="CA13" s="13"/>
      <c r="CB13" s="13"/>
      <c r="CC13" s="13"/>
      <c r="CD13" s="52"/>
      <c r="CE13" s="55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5"/>
      <c r="BD14" s="52"/>
      <c r="BE14" s="52"/>
      <c r="BF14" s="52"/>
      <c r="BG14" s="52"/>
      <c r="BH14" s="52"/>
      <c r="BI14" s="13"/>
      <c r="BJ14" s="55"/>
      <c r="BK14" s="13"/>
      <c r="BL14" s="13"/>
      <c r="BM14" s="13"/>
      <c r="BN14" s="13"/>
      <c r="BO14" s="13"/>
      <c r="BP14" s="52"/>
      <c r="BQ14" s="55"/>
      <c r="BR14" s="52"/>
      <c r="BS14" s="52"/>
      <c r="BT14" s="52"/>
      <c r="BU14" s="52"/>
      <c r="BV14" s="52"/>
      <c r="BW14" s="13"/>
      <c r="BX14" s="55"/>
      <c r="BY14" s="13"/>
      <c r="BZ14" s="13"/>
      <c r="CA14" s="13"/>
      <c r="CB14" s="13"/>
      <c r="CC14" s="13"/>
      <c r="CD14" s="52"/>
      <c r="CE14" s="55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4">
        <v>1.0</v>
      </c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4"/>
      <c r="U15" s="14">
        <v>1.0</v>
      </c>
      <c r="V15" s="13"/>
      <c r="W15" s="13"/>
      <c r="X15" s="13"/>
      <c r="Y15" s="13"/>
      <c r="Z15" s="52"/>
      <c r="AA15" s="53">
        <v>2.0</v>
      </c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3">
        <v>1.0</v>
      </c>
      <c r="AP15" s="53">
        <v>1.0</v>
      </c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5"/>
      <c r="BD15" s="53">
        <v>2.0</v>
      </c>
      <c r="BE15" s="52"/>
      <c r="BF15" s="52"/>
      <c r="BG15" s="52"/>
      <c r="BH15" s="52"/>
      <c r="BI15" s="13"/>
      <c r="BJ15" s="55"/>
      <c r="BK15" s="13"/>
      <c r="BL15" s="13"/>
      <c r="BM15" s="13"/>
      <c r="BN15" s="13"/>
      <c r="BO15" s="13"/>
      <c r="BP15" s="52"/>
      <c r="BQ15" s="55"/>
      <c r="BR15" s="52"/>
      <c r="BS15" s="52"/>
      <c r="BT15" s="52"/>
      <c r="BU15" s="52"/>
      <c r="BV15" s="52"/>
      <c r="BW15" s="13"/>
      <c r="BX15" s="55"/>
      <c r="BY15" s="13"/>
      <c r="BZ15" s="13"/>
      <c r="CA15" s="13"/>
      <c r="CB15" s="13"/>
      <c r="CC15" s="13"/>
      <c r="CD15" s="52"/>
      <c r="CE15" s="55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4</v>
      </c>
      <c r="CM15" s="56">
        <f t="shared" si="10"/>
        <v>4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4">
        <v>1.0</v>
      </c>
      <c r="G16" s="13"/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5"/>
      <c r="BD16" s="52"/>
      <c r="BE16" s="52"/>
      <c r="BF16" s="52"/>
      <c r="BG16" s="52"/>
      <c r="BH16" s="52"/>
      <c r="BI16" s="13"/>
      <c r="BJ16" s="55"/>
      <c r="BK16" s="13"/>
      <c r="BL16" s="13"/>
      <c r="BM16" s="13"/>
      <c r="BN16" s="13"/>
      <c r="BO16" s="13"/>
      <c r="BP16" s="52"/>
      <c r="BQ16" s="55"/>
      <c r="BR16" s="52"/>
      <c r="BS16" s="52"/>
      <c r="BT16" s="52"/>
      <c r="BU16" s="52"/>
      <c r="BV16" s="52"/>
      <c r="BW16" s="13"/>
      <c r="BX16" s="55"/>
      <c r="BY16" s="13"/>
      <c r="BZ16" s="13"/>
      <c r="CA16" s="13"/>
      <c r="CB16" s="13"/>
      <c r="CC16" s="13"/>
      <c r="CD16" s="52"/>
      <c r="CE16" s="55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1</v>
      </c>
      <c r="CM16" s="56">
        <f t="shared" si="11"/>
        <v>0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5"/>
      <c r="BD17" s="52"/>
      <c r="BE17" s="52"/>
      <c r="BF17" s="52"/>
      <c r="BG17" s="52"/>
      <c r="BH17" s="52"/>
      <c r="BI17" s="13"/>
      <c r="BJ17" s="55"/>
      <c r="BK17" s="13"/>
      <c r="BL17" s="13"/>
      <c r="BM17" s="13"/>
      <c r="BN17" s="13"/>
      <c r="BO17" s="13"/>
      <c r="BP17" s="52"/>
      <c r="BQ17" s="55"/>
      <c r="BR17" s="52"/>
      <c r="BS17" s="52"/>
      <c r="BT17" s="52"/>
      <c r="BU17" s="52"/>
      <c r="BV17" s="52"/>
      <c r="BW17" s="13"/>
      <c r="BX17" s="55"/>
      <c r="BY17" s="13"/>
      <c r="BZ17" s="13"/>
      <c r="CA17" s="13"/>
      <c r="CB17" s="13"/>
      <c r="CC17" s="13"/>
      <c r="CD17" s="52"/>
      <c r="CE17" s="55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3">
        <v>1.0</v>
      </c>
      <c r="AB18" s="53">
        <v>1.0</v>
      </c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5"/>
      <c r="BD18" s="52"/>
      <c r="BE18" s="52"/>
      <c r="BF18" s="52"/>
      <c r="BG18" s="52"/>
      <c r="BH18" s="52"/>
      <c r="BI18" s="13"/>
      <c r="BJ18" s="55"/>
      <c r="BK18" s="13"/>
      <c r="BL18" s="13"/>
      <c r="BM18" s="13"/>
      <c r="BN18" s="13"/>
      <c r="BO18" s="13"/>
      <c r="BP18" s="52"/>
      <c r="BQ18" s="55"/>
      <c r="BR18" s="52"/>
      <c r="BS18" s="52"/>
      <c r="BT18" s="52"/>
      <c r="BU18" s="52"/>
      <c r="BV18" s="52"/>
      <c r="BW18" s="13"/>
      <c r="BX18" s="55"/>
      <c r="BY18" s="13"/>
      <c r="BZ18" s="13"/>
      <c r="CA18" s="13"/>
      <c r="CB18" s="13"/>
      <c r="CC18" s="13"/>
      <c r="CD18" s="52"/>
      <c r="CE18" s="55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1</v>
      </c>
      <c r="CM18" s="56">
        <f t="shared" si="13"/>
        <v>1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5"/>
      <c r="BD19" s="52"/>
      <c r="BE19" s="52"/>
      <c r="BF19" s="52"/>
      <c r="BG19" s="52"/>
      <c r="BH19" s="52"/>
      <c r="BI19" s="13"/>
      <c r="BJ19" s="55"/>
      <c r="BK19" s="13"/>
      <c r="BL19" s="13"/>
      <c r="BM19" s="13"/>
      <c r="BN19" s="13"/>
      <c r="BO19" s="13"/>
      <c r="BP19" s="52"/>
      <c r="BQ19" s="55"/>
      <c r="BR19" s="52"/>
      <c r="BS19" s="52"/>
      <c r="BT19" s="52"/>
      <c r="BU19" s="52"/>
      <c r="BV19" s="52"/>
      <c r="BW19" s="13"/>
      <c r="BX19" s="55"/>
      <c r="BY19" s="13"/>
      <c r="BZ19" s="13"/>
      <c r="CA19" s="13"/>
      <c r="CB19" s="13"/>
      <c r="CC19" s="13"/>
      <c r="CD19" s="52"/>
      <c r="CE19" s="55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5"/>
      <c r="BD20" s="52"/>
      <c r="BE20" s="52"/>
      <c r="BF20" s="52"/>
      <c r="BG20" s="52"/>
      <c r="BH20" s="52"/>
      <c r="BI20" s="13"/>
      <c r="BJ20" s="55"/>
      <c r="BK20" s="13"/>
      <c r="BL20" s="13"/>
      <c r="BM20" s="13"/>
      <c r="BN20" s="13"/>
      <c r="BO20" s="13"/>
      <c r="BP20" s="52"/>
      <c r="BQ20" s="55"/>
      <c r="BR20" s="52"/>
      <c r="BS20" s="52"/>
      <c r="BT20" s="52"/>
      <c r="BU20" s="52"/>
      <c r="BV20" s="52"/>
      <c r="BW20" s="13"/>
      <c r="BX20" s="55"/>
      <c r="BY20" s="13"/>
      <c r="BZ20" s="13"/>
      <c r="CA20" s="13"/>
      <c r="CB20" s="13"/>
      <c r="CC20" s="13"/>
      <c r="CD20" s="52"/>
      <c r="CE20" s="55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5"/>
      <c r="BD21" s="52"/>
      <c r="BE21" s="52"/>
      <c r="BF21" s="52"/>
      <c r="BG21" s="52"/>
      <c r="BH21" s="52"/>
      <c r="BI21" s="13"/>
      <c r="BJ21" s="55"/>
      <c r="BK21" s="13"/>
      <c r="BL21" s="13"/>
      <c r="BM21" s="13"/>
      <c r="BN21" s="13"/>
      <c r="BO21" s="13"/>
      <c r="BP21" s="52"/>
      <c r="BQ21" s="55"/>
      <c r="BR21" s="52"/>
      <c r="BS21" s="52"/>
      <c r="BT21" s="52"/>
      <c r="BU21" s="52"/>
      <c r="BV21" s="52"/>
      <c r="BW21" s="13"/>
      <c r="BX21" s="55"/>
      <c r="BY21" s="13"/>
      <c r="BZ21" s="13"/>
      <c r="CA21" s="13"/>
      <c r="CB21" s="13"/>
      <c r="CC21" s="13"/>
      <c r="CD21" s="52"/>
      <c r="CE21" s="55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5"/>
      <c r="BD22" s="52"/>
      <c r="BE22" s="52"/>
      <c r="BF22" s="52"/>
      <c r="BG22" s="52"/>
      <c r="BH22" s="52"/>
      <c r="BI22" s="13"/>
      <c r="BJ22" s="55"/>
      <c r="BK22" s="13"/>
      <c r="BL22" s="13"/>
      <c r="BM22" s="13"/>
      <c r="BN22" s="13"/>
      <c r="BO22" s="13"/>
      <c r="BP22" s="52"/>
      <c r="BQ22" s="55"/>
      <c r="BR22" s="52"/>
      <c r="BS22" s="52"/>
      <c r="BT22" s="52"/>
      <c r="BU22" s="52"/>
      <c r="BV22" s="52"/>
      <c r="BW22" s="13"/>
      <c r="BX22" s="55"/>
      <c r="BY22" s="13"/>
      <c r="BZ22" s="13"/>
      <c r="CA22" s="13"/>
      <c r="CB22" s="13"/>
      <c r="CC22" s="13"/>
      <c r="CD22" s="52"/>
      <c r="CE22" s="55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4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5"/>
      <c r="BD23" s="52"/>
      <c r="BE23" s="52"/>
      <c r="BF23" s="52"/>
      <c r="BG23" s="52"/>
      <c r="BH23" s="52"/>
      <c r="BI23" s="13"/>
      <c r="BJ23" s="55"/>
      <c r="BK23" s="13"/>
      <c r="BL23" s="13"/>
      <c r="BM23" s="13"/>
      <c r="BN23" s="13"/>
      <c r="BO23" s="13"/>
      <c r="BP23" s="52"/>
      <c r="BQ23" s="55"/>
      <c r="BR23" s="52"/>
      <c r="BS23" s="52"/>
      <c r="BT23" s="52"/>
      <c r="BU23" s="52"/>
      <c r="BV23" s="52"/>
      <c r="BW23" s="13"/>
      <c r="BX23" s="55"/>
      <c r="BY23" s="13"/>
      <c r="BZ23" s="13"/>
      <c r="CA23" s="13"/>
      <c r="CB23" s="13"/>
      <c r="CC23" s="13"/>
      <c r="CD23" s="52"/>
      <c r="CE23" s="55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4">
        <v>1.0</v>
      </c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5"/>
      <c r="BD24" s="52"/>
      <c r="BE24" s="52"/>
      <c r="BF24" s="52"/>
      <c r="BG24" s="52"/>
      <c r="BH24" s="52"/>
      <c r="BI24" s="13"/>
      <c r="BJ24" s="55"/>
      <c r="BK24" s="13"/>
      <c r="BL24" s="13"/>
      <c r="BM24" s="13"/>
      <c r="BN24" s="13"/>
      <c r="BO24" s="13"/>
      <c r="BP24" s="52"/>
      <c r="BQ24" s="55"/>
      <c r="BR24" s="52"/>
      <c r="BS24" s="52"/>
      <c r="BT24" s="52"/>
      <c r="BU24" s="52"/>
      <c r="BV24" s="52"/>
      <c r="BW24" s="13"/>
      <c r="BX24" s="55"/>
      <c r="BY24" s="13"/>
      <c r="BZ24" s="13"/>
      <c r="CA24" s="13"/>
      <c r="CB24" s="13"/>
      <c r="CC24" s="13"/>
      <c r="CD24" s="52"/>
      <c r="CE24" s="55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1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5"/>
      <c r="BD25" s="52"/>
      <c r="BE25" s="52"/>
      <c r="BF25" s="52"/>
      <c r="BG25" s="52"/>
      <c r="BH25" s="52"/>
      <c r="BI25" s="13"/>
      <c r="BJ25" s="55"/>
      <c r="BK25" s="13"/>
      <c r="BL25" s="13"/>
      <c r="BM25" s="13"/>
      <c r="BN25" s="13"/>
      <c r="BO25" s="13"/>
      <c r="BP25" s="52"/>
      <c r="BQ25" s="55"/>
      <c r="BR25" s="52"/>
      <c r="BS25" s="52"/>
      <c r="BT25" s="52"/>
      <c r="BU25" s="52"/>
      <c r="BV25" s="52"/>
      <c r="BW25" s="13"/>
      <c r="BX25" s="55"/>
      <c r="BY25" s="13"/>
      <c r="BZ25" s="13"/>
      <c r="CA25" s="13"/>
      <c r="CB25" s="13"/>
      <c r="CC25" s="13"/>
      <c r="CD25" s="52"/>
      <c r="CE25" s="55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5"/>
      <c r="BD26" s="52"/>
      <c r="BE26" s="52"/>
      <c r="BF26" s="52"/>
      <c r="BG26" s="52"/>
      <c r="BH26" s="52"/>
      <c r="BI26" s="13"/>
      <c r="BJ26" s="55"/>
      <c r="BK26" s="13"/>
      <c r="BL26" s="13"/>
      <c r="BM26" s="13"/>
      <c r="BN26" s="13"/>
      <c r="BO26" s="13"/>
      <c r="BP26" s="52"/>
      <c r="BQ26" s="55"/>
      <c r="BR26" s="52"/>
      <c r="BS26" s="52"/>
      <c r="BT26" s="52"/>
      <c r="BU26" s="52"/>
      <c r="BV26" s="52"/>
      <c r="BW26" s="13"/>
      <c r="BX26" s="55"/>
      <c r="BY26" s="13"/>
      <c r="BZ26" s="13"/>
      <c r="CA26" s="13"/>
      <c r="CB26" s="13"/>
      <c r="CC26" s="13"/>
      <c r="CD26" s="52"/>
      <c r="CE26" s="55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4">
        <v>1.0</v>
      </c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5"/>
      <c r="BD27" s="52"/>
      <c r="BE27" s="52"/>
      <c r="BF27" s="52"/>
      <c r="BG27" s="52"/>
      <c r="BH27" s="52"/>
      <c r="BI27" s="13"/>
      <c r="BJ27" s="55"/>
      <c r="BK27" s="13"/>
      <c r="BL27" s="13"/>
      <c r="BM27" s="13"/>
      <c r="BN27" s="13"/>
      <c r="BO27" s="13"/>
      <c r="BP27" s="52"/>
      <c r="BQ27" s="55"/>
      <c r="BR27" s="52"/>
      <c r="BS27" s="52"/>
      <c r="BT27" s="52"/>
      <c r="BU27" s="52"/>
      <c r="BV27" s="52"/>
      <c r="BW27" s="13"/>
      <c r="BX27" s="55"/>
      <c r="BY27" s="13"/>
      <c r="BZ27" s="13"/>
      <c r="CA27" s="13"/>
      <c r="CB27" s="13"/>
      <c r="CC27" s="13"/>
      <c r="CD27" s="52"/>
      <c r="CE27" s="55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1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4">
        <v>1.0</v>
      </c>
      <c r="G28" s="13"/>
      <c r="H28" s="13"/>
      <c r="I28" s="35"/>
      <c r="J28" s="35"/>
      <c r="K28" s="35"/>
      <c r="L28" s="52"/>
      <c r="M28" s="53"/>
      <c r="N28" s="52"/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3">
        <v>2.0</v>
      </c>
      <c r="AB28" s="52"/>
      <c r="AC28" s="52"/>
      <c r="AD28" s="58"/>
      <c r="AE28" s="58"/>
      <c r="AF28" s="58"/>
      <c r="AG28" s="13"/>
      <c r="AH28" s="13"/>
      <c r="AI28" s="13"/>
      <c r="AJ28" s="13"/>
      <c r="AK28" s="35"/>
      <c r="AL28" s="35"/>
      <c r="AM28" s="35"/>
      <c r="AN28" s="52"/>
      <c r="AO28" s="53">
        <v>2.0</v>
      </c>
      <c r="AP28" s="53">
        <v>2.0</v>
      </c>
      <c r="AQ28" s="52"/>
      <c r="AR28" s="58"/>
      <c r="AS28" s="58"/>
      <c r="AT28" s="58"/>
      <c r="AU28" s="13"/>
      <c r="AV28" s="14">
        <v>2.0</v>
      </c>
      <c r="AW28" s="13"/>
      <c r="AX28" s="13"/>
      <c r="AY28" s="35"/>
      <c r="AZ28" s="35"/>
      <c r="BA28" s="35"/>
      <c r="BB28" s="52"/>
      <c r="BC28" s="54">
        <v>1.0</v>
      </c>
      <c r="BD28" s="53">
        <v>2.0</v>
      </c>
      <c r="BE28" s="52"/>
      <c r="BF28" s="58"/>
      <c r="BG28" s="58"/>
      <c r="BH28" s="58"/>
      <c r="BI28" s="13"/>
      <c r="BJ28" s="55"/>
      <c r="BK28" s="13"/>
      <c r="BL28" s="13"/>
      <c r="BM28" s="35"/>
      <c r="BN28" s="35"/>
      <c r="BO28" s="35"/>
      <c r="BP28" s="52"/>
      <c r="BQ28" s="55"/>
      <c r="BR28" s="52"/>
      <c r="BS28" s="52"/>
      <c r="BT28" s="58"/>
      <c r="BU28" s="58"/>
      <c r="BV28" s="58"/>
      <c r="BW28" s="13"/>
      <c r="BX28" s="55"/>
      <c r="BY28" s="13"/>
      <c r="BZ28" s="13"/>
      <c r="CA28" s="35"/>
      <c r="CB28" s="35"/>
      <c r="CC28" s="35"/>
      <c r="CD28" s="52"/>
      <c r="CE28" s="55"/>
      <c r="CF28" s="52"/>
      <c r="CG28" s="52"/>
      <c r="CH28" s="58"/>
      <c r="CI28" s="58"/>
      <c r="CJ28" s="58"/>
      <c r="CK28" s="56">
        <f t="shared" ref="CK28:CQ28" si="23">SUM(E28,L28,S28,Z28,AG28,AN28,AU28,BB28,BI28,BP28,BW28,CD28)</f>
        <v>0</v>
      </c>
      <c r="CL28" s="56">
        <f t="shared" si="23"/>
        <v>8</v>
      </c>
      <c r="CM28" s="56">
        <f t="shared" si="23"/>
        <v>4</v>
      </c>
      <c r="CN28" s="56">
        <f t="shared" si="23"/>
        <v>0</v>
      </c>
      <c r="CO28" s="56">
        <f t="shared" si="23"/>
        <v>0</v>
      </c>
      <c r="CP28" s="56">
        <f t="shared" si="23"/>
        <v>0</v>
      </c>
      <c r="CQ28" s="56">
        <f t="shared" si="23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3"/>
      <c r="F29" s="13"/>
      <c r="G29" s="13"/>
      <c r="H29" s="13"/>
      <c r="I29" s="35"/>
      <c r="J29" s="35"/>
      <c r="K29" s="35"/>
      <c r="L29" s="52"/>
      <c r="M29" s="53"/>
      <c r="N29" s="52"/>
      <c r="O29" s="52"/>
      <c r="P29" s="58"/>
      <c r="Q29" s="58"/>
      <c r="R29" s="58"/>
      <c r="S29" s="13"/>
      <c r="T29" s="13"/>
      <c r="U29" s="14">
        <v>1.0</v>
      </c>
      <c r="V29" s="13"/>
      <c r="W29" s="35"/>
      <c r="X29" s="35"/>
      <c r="Y29" s="35"/>
      <c r="Z29" s="52"/>
      <c r="AA29" s="53">
        <v>1.0</v>
      </c>
      <c r="AB29" s="52"/>
      <c r="AC29" s="52"/>
      <c r="AD29" s="58"/>
      <c r="AE29" s="58"/>
      <c r="AF29" s="58"/>
      <c r="AG29" s="13"/>
      <c r="AH29" s="13"/>
      <c r="AI29" s="13"/>
      <c r="AJ29" s="13"/>
      <c r="AK29" s="35"/>
      <c r="AL29" s="35"/>
      <c r="AM29" s="35"/>
      <c r="AN29" s="52"/>
      <c r="AO29" s="53">
        <v>1.0</v>
      </c>
      <c r="AP29" s="53">
        <v>1.0</v>
      </c>
      <c r="AQ29" s="52"/>
      <c r="AR29" s="58"/>
      <c r="AS29" s="58"/>
      <c r="AT29" s="58"/>
      <c r="AU29" s="13"/>
      <c r="AV29" s="13"/>
      <c r="AW29" s="13"/>
      <c r="AX29" s="13"/>
      <c r="AY29" s="35"/>
      <c r="AZ29" s="35"/>
      <c r="BA29" s="35"/>
      <c r="BB29" s="52"/>
      <c r="BC29" s="55"/>
      <c r="BD29" s="53">
        <v>1.0</v>
      </c>
      <c r="BE29" s="52"/>
      <c r="BF29" s="58"/>
      <c r="BG29" s="58"/>
      <c r="BH29" s="58"/>
      <c r="BI29" s="13"/>
      <c r="BJ29" s="55"/>
      <c r="BK29" s="13"/>
      <c r="BL29" s="13"/>
      <c r="BM29" s="35"/>
      <c r="BN29" s="35"/>
      <c r="BO29" s="35"/>
      <c r="BP29" s="52"/>
      <c r="BQ29" s="55"/>
      <c r="BR29" s="52"/>
      <c r="BS29" s="52"/>
      <c r="BT29" s="58"/>
      <c r="BU29" s="58"/>
      <c r="BV29" s="58"/>
      <c r="BW29" s="13"/>
      <c r="BX29" s="55"/>
      <c r="BY29" s="13"/>
      <c r="BZ29" s="13"/>
      <c r="CA29" s="35"/>
      <c r="CB29" s="35"/>
      <c r="CC29" s="35"/>
      <c r="CD29" s="52"/>
      <c r="CE29" s="55"/>
      <c r="CF29" s="52"/>
      <c r="CG29" s="52"/>
      <c r="CH29" s="58"/>
      <c r="CI29" s="58"/>
      <c r="CJ29" s="58"/>
      <c r="CK29" s="56">
        <f t="shared" ref="CK29:CQ29" si="24">SUM(E29,L29,S29,Z29,AG29,AN29,AU29,BB29,BI29,BP29,BW29,CD29)</f>
        <v>0</v>
      </c>
      <c r="CL29" s="56">
        <f t="shared" si="24"/>
        <v>2</v>
      </c>
      <c r="CM29" s="56">
        <f t="shared" si="24"/>
        <v>3</v>
      </c>
      <c r="CN29" s="56">
        <f t="shared" si="24"/>
        <v>0</v>
      </c>
      <c r="CO29" s="56">
        <f t="shared" si="24"/>
        <v>0</v>
      </c>
      <c r="CP29" s="56">
        <f t="shared" si="24"/>
        <v>0</v>
      </c>
      <c r="CQ29" s="56">
        <f t="shared" si="24"/>
        <v>0</v>
      </c>
    </row>
    <row r="30" ht="15.75" customHeight="1">
      <c r="A30" s="4"/>
      <c r="B30" s="60"/>
      <c r="C30" s="4"/>
      <c r="D30" s="4"/>
      <c r="E30" s="13">
        <f t="shared" ref="E30:Z30" si="25">SUM(E6:E27)</f>
        <v>0</v>
      </c>
      <c r="F30" s="13">
        <f t="shared" si="25"/>
        <v>154</v>
      </c>
      <c r="G30" s="13">
        <f t="shared" si="25"/>
        <v>139</v>
      </c>
      <c r="H30" s="13">
        <f t="shared" si="25"/>
        <v>0</v>
      </c>
      <c r="I30" s="17">
        <f t="shared" si="25"/>
        <v>0</v>
      </c>
      <c r="J30" s="17">
        <f t="shared" si="25"/>
        <v>0</v>
      </c>
      <c r="K30" s="17">
        <f t="shared" si="25"/>
        <v>0</v>
      </c>
      <c r="L30" s="52">
        <f t="shared" si="25"/>
        <v>0</v>
      </c>
      <c r="M30" s="52">
        <f t="shared" si="25"/>
        <v>140</v>
      </c>
      <c r="N30" s="52">
        <f t="shared" si="25"/>
        <v>0</v>
      </c>
      <c r="O30" s="52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13">
        <f t="shared" si="25"/>
        <v>0</v>
      </c>
      <c r="T30" s="13">
        <f t="shared" si="25"/>
        <v>150</v>
      </c>
      <c r="U30" s="13">
        <f t="shared" si="25"/>
        <v>141</v>
      </c>
      <c r="V30" s="13">
        <f t="shared" si="25"/>
        <v>0</v>
      </c>
      <c r="W30" s="17">
        <f t="shared" si="25"/>
        <v>0</v>
      </c>
      <c r="X30" s="17">
        <f t="shared" si="25"/>
        <v>0</v>
      </c>
      <c r="Y30" s="17">
        <f t="shared" si="25"/>
        <v>0</v>
      </c>
      <c r="Z30" s="52">
        <f t="shared" si="25"/>
        <v>0</v>
      </c>
      <c r="AA30" s="52">
        <f>SUM(AA6:AA29)</f>
        <v>166</v>
      </c>
      <c r="AB30" s="52">
        <f t="shared" ref="AB30:AG30" si="26">SUM(AB6:AB27)</f>
        <v>211</v>
      </c>
      <c r="AC30" s="52">
        <f t="shared" si="26"/>
        <v>0</v>
      </c>
      <c r="AD30" s="61">
        <f t="shared" si="26"/>
        <v>0</v>
      </c>
      <c r="AE30" s="61">
        <f t="shared" si="26"/>
        <v>0</v>
      </c>
      <c r="AF30" s="61">
        <f t="shared" si="26"/>
        <v>0</v>
      </c>
      <c r="AG30" s="13">
        <f t="shared" si="26"/>
        <v>0</v>
      </c>
      <c r="AH30" s="13">
        <f>SUM(AH6:AH29)</f>
        <v>90</v>
      </c>
      <c r="AI30" s="13">
        <f t="shared" ref="AI30:AN30" si="27">SUM(AI6:AI27)</f>
        <v>0</v>
      </c>
      <c r="AJ30" s="13">
        <f t="shared" si="27"/>
        <v>0</v>
      </c>
      <c r="AK30" s="17">
        <f t="shared" si="27"/>
        <v>0</v>
      </c>
      <c r="AL30" s="17">
        <f t="shared" si="27"/>
        <v>0</v>
      </c>
      <c r="AM30" s="17">
        <f t="shared" si="27"/>
        <v>0</v>
      </c>
      <c r="AN30" s="52">
        <f t="shared" si="27"/>
        <v>0</v>
      </c>
      <c r="AO30" s="52">
        <f>SUM(AO6:AO29)</f>
        <v>104</v>
      </c>
      <c r="AP30" s="52">
        <f t="shared" ref="AP30:AU30" si="28">SUM(AP6:AP27)</f>
        <v>85</v>
      </c>
      <c r="AQ30" s="52">
        <f t="shared" si="28"/>
        <v>0</v>
      </c>
      <c r="AR30" s="61">
        <f t="shared" si="28"/>
        <v>0</v>
      </c>
      <c r="AS30" s="61">
        <f t="shared" si="28"/>
        <v>0</v>
      </c>
      <c r="AT30" s="61">
        <f t="shared" si="28"/>
        <v>0</v>
      </c>
      <c r="AU30" s="13">
        <f t="shared" si="28"/>
        <v>0</v>
      </c>
      <c r="AV30" s="13">
        <f>SUM(AV6:AV29)</f>
        <v>112</v>
      </c>
      <c r="AW30" s="13">
        <f t="shared" ref="AW30:BB30" si="29">SUM(AW6:AW27)</f>
        <v>106</v>
      </c>
      <c r="AX30" s="13">
        <f t="shared" si="29"/>
        <v>0</v>
      </c>
      <c r="AY30" s="17">
        <f t="shared" si="29"/>
        <v>0</v>
      </c>
      <c r="AZ30" s="17">
        <f t="shared" si="29"/>
        <v>0</v>
      </c>
      <c r="BA30" s="17">
        <f t="shared" si="29"/>
        <v>0</v>
      </c>
      <c r="BB30" s="52">
        <f t="shared" si="29"/>
        <v>0</v>
      </c>
      <c r="BC30" s="52">
        <f>SUM(BC6:BC29)</f>
        <v>101</v>
      </c>
      <c r="BD30" s="52">
        <f t="shared" ref="BD30:BI30" si="30">SUM(BD6:BD27)</f>
        <v>92</v>
      </c>
      <c r="BE30" s="52">
        <f t="shared" si="30"/>
        <v>0</v>
      </c>
      <c r="BF30" s="61">
        <f t="shared" si="30"/>
        <v>0</v>
      </c>
      <c r="BG30" s="61">
        <f t="shared" si="30"/>
        <v>0</v>
      </c>
      <c r="BH30" s="61">
        <f t="shared" si="30"/>
        <v>0</v>
      </c>
      <c r="BI30" s="13">
        <f t="shared" si="30"/>
        <v>0</v>
      </c>
      <c r="BJ30" s="13">
        <f>SUM(BJ6:BJ29)</f>
        <v>100</v>
      </c>
      <c r="BK30" s="13">
        <f t="shared" ref="BK30:BP30" si="31">SUM(BK6:BK27)</f>
        <v>0</v>
      </c>
      <c r="BL30" s="13">
        <f t="shared" si="31"/>
        <v>0</v>
      </c>
      <c r="BM30" s="17">
        <f t="shared" si="31"/>
        <v>0</v>
      </c>
      <c r="BN30" s="17">
        <f t="shared" si="31"/>
        <v>0</v>
      </c>
      <c r="BO30" s="17">
        <f t="shared" si="31"/>
        <v>0</v>
      </c>
      <c r="BP30" s="52">
        <f t="shared" si="31"/>
        <v>0</v>
      </c>
      <c r="BQ30" s="52">
        <f>SUM(BQ6:BQ29)</f>
        <v>0</v>
      </c>
      <c r="BR30" s="52">
        <f t="shared" ref="BR30:BW30" si="32">SUM(BR6:BR27)</f>
        <v>0</v>
      </c>
      <c r="BS30" s="52">
        <f t="shared" si="32"/>
        <v>0</v>
      </c>
      <c r="BT30" s="61">
        <f t="shared" si="32"/>
        <v>0</v>
      </c>
      <c r="BU30" s="61">
        <f t="shared" si="32"/>
        <v>0</v>
      </c>
      <c r="BV30" s="61">
        <f t="shared" si="32"/>
        <v>0</v>
      </c>
      <c r="BW30" s="13">
        <f t="shared" si="32"/>
        <v>0</v>
      </c>
      <c r="BX30" s="13">
        <f>SUM(BX6:BX29)</f>
        <v>0</v>
      </c>
      <c r="BY30" s="13">
        <f t="shared" ref="BY30:CD30" si="33">SUM(BY6:BY27)</f>
        <v>0</v>
      </c>
      <c r="BZ30" s="13">
        <f t="shared" si="33"/>
        <v>0</v>
      </c>
      <c r="CA30" s="17">
        <f t="shared" si="33"/>
        <v>0</v>
      </c>
      <c r="CB30" s="17">
        <f t="shared" si="33"/>
        <v>0</v>
      </c>
      <c r="CC30" s="17">
        <f t="shared" si="33"/>
        <v>0</v>
      </c>
      <c r="CD30" s="52">
        <f t="shared" si="33"/>
        <v>0</v>
      </c>
      <c r="CE30" s="52">
        <f>SUM(CE6:CE29)</f>
        <v>0</v>
      </c>
      <c r="CF30" s="52">
        <f t="shared" ref="CF30:CK30" si="34">SUM(CF6:CF27)</f>
        <v>0</v>
      </c>
      <c r="CG30" s="52">
        <f t="shared" si="34"/>
        <v>0</v>
      </c>
      <c r="CH30" s="61">
        <f t="shared" si="34"/>
        <v>0</v>
      </c>
      <c r="CI30" s="61">
        <f t="shared" si="34"/>
        <v>0</v>
      </c>
      <c r="CJ30" s="61">
        <f t="shared" si="34"/>
        <v>0</v>
      </c>
      <c r="CK30" s="62">
        <f t="shared" si="34"/>
        <v>0</v>
      </c>
      <c r="CL30" s="62">
        <f>SUM(CL6:CL29)</f>
        <v>1118</v>
      </c>
      <c r="CM30" s="62">
        <f t="shared" ref="CM30:CQ30" si="35">SUM(CM6:CM27)</f>
        <v>774</v>
      </c>
      <c r="CN30" s="62">
        <f t="shared" si="35"/>
        <v>0</v>
      </c>
      <c r="CO30" s="62">
        <f t="shared" si="35"/>
        <v>0</v>
      </c>
      <c r="CP30" s="62">
        <f t="shared" si="35"/>
        <v>0</v>
      </c>
      <c r="CQ30" s="62">
        <f t="shared" si="35"/>
        <v>0</v>
      </c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63"/>
      <c r="CH31" s="40"/>
      <c r="CI31" s="40"/>
      <c r="CJ31" s="40"/>
      <c r="CK31" s="4"/>
      <c r="CL31" s="4"/>
      <c r="CM31" s="4"/>
      <c r="CN31" s="4"/>
      <c r="CO31" s="40"/>
      <c r="CP31" s="40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17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1:CG31"/>
    <mergeCell ref="CE32:CG32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29">
    <cfRule type="cellIs" dxfId="0" priority="1" operator="greaterThan">
      <formula>0</formula>
    </cfRule>
  </conditionalFormatting>
  <conditionalFormatting sqref="W6:Y29">
    <cfRule type="cellIs" dxfId="0" priority="2" operator="greaterThan">
      <formula>0</formula>
    </cfRule>
  </conditionalFormatting>
  <conditionalFormatting sqref="AY6:BA29">
    <cfRule type="cellIs" dxfId="0" priority="3" operator="greaterThan">
      <formula>0</formula>
    </cfRule>
  </conditionalFormatting>
  <conditionalFormatting sqref="CA6:CC29">
    <cfRule type="cellIs" dxfId="0" priority="4" operator="greaterThan">
      <formula>0</formula>
    </cfRule>
  </conditionalFormatting>
  <conditionalFormatting sqref="AD6:AF29">
    <cfRule type="cellIs" dxfId="0" priority="5" operator="greaterThan">
      <formula>0</formula>
    </cfRule>
  </conditionalFormatting>
  <conditionalFormatting sqref="AR6:AT29">
    <cfRule type="cellIs" dxfId="0" priority="6" operator="greaterThan">
      <formula>0</formula>
    </cfRule>
  </conditionalFormatting>
  <conditionalFormatting sqref="BF6:BH29">
    <cfRule type="cellIs" dxfId="0" priority="7" operator="greaterThan">
      <formula>0</formula>
    </cfRule>
  </conditionalFormatting>
  <conditionalFormatting sqref="BT6:BV29">
    <cfRule type="cellIs" dxfId="0" priority="8" operator="greaterThan">
      <formula>0</formula>
    </cfRule>
  </conditionalFormatting>
  <conditionalFormatting sqref="CH6:CJ29">
    <cfRule type="cellIs" dxfId="0" priority="9" operator="greaterThan">
      <formula>0</formula>
    </cfRule>
  </conditionalFormatting>
  <conditionalFormatting sqref="P6:R29">
    <cfRule type="cellIs" dxfId="0" priority="10" operator="greaterThan">
      <formula>0</formula>
    </cfRule>
  </conditionalFormatting>
  <conditionalFormatting sqref="AK6:AM29">
    <cfRule type="cellIs" dxfId="0" priority="11" operator="greaterThan">
      <formula>0</formula>
    </cfRule>
  </conditionalFormatting>
  <conditionalFormatting sqref="BM6:BO29">
    <cfRule type="cellIs" dxfId="0" priority="12" operator="greaterThan">
      <formula>0</formula>
    </cfRule>
  </conditionalFormatting>
  <conditionalFormatting sqref="E6:H30 L6:O30 S6:V30 AG6:AJ30 AU6:AX30 BI6:BL30 BW6:BZ30">
    <cfRule type="cellIs" dxfId="0" priority="13" operator="greaterThan">
      <formula>0</formula>
    </cfRule>
  </conditionalFormatting>
  <conditionalFormatting sqref="Z6:AC30">
    <cfRule type="cellIs" dxfId="0" priority="14" operator="greaterThan">
      <formula>0</formula>
    </cfRule>
  </conditionalFormatting>
  <conditionalFormatting sqref="AN6:AQ30">
    <cfRule type="cellIs" dxfId="0" priority="15" operator="greaterThan">
      <formula>0</formula>
    </cfRule>
  </conditionalFormatting>
  <conditionalFormatting sqref="BB6:BE30">
    <cfRule type="cellIs" dxfId="0" priority="16" operator="greaterThan">
      <formula>0</formula>
    </cfRule>
  </conditionalFormatting>
  <conditionalFormatting sqref="BP6:BS30">
    <cfRule type="cellIs" dxfId="0" priority="17" operator="greaterThan">
      <formula>0</formula>
    </cfRule>
  </conditionalFormatting>
  <conditionalFormatting sqref="CD6:CG30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6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4">
        <v>30.0</v>
      </c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4">
        <v>20.0</v>
      </c>
      <c r="U6" s="13"/>
      <c r="V6" s="13"/>
      <c r="W6" s="13"/>
      <c r="X6" s="13"/>
      <c r="Y6" s="13"/>
      <c r="Z6" s="52"/>
      <c r="AA6" s="53">
        <v>100.0</v>
      </c>
      <c r="AB6" s="52"/>
      <c r="AC6" s="52"/>
      <c r="AD6" s="52"/>
      <c r="AE6" s="52"/>
      <c r="AF6" s="52"/>
      <c r="AG6" s="13"/>
      <c r="AH6" s="13"/>
      <c r="AI6" s="13"/>
      <c r="AJ6" s="13"/>
      <c r="AK6" s="13"/>
      <c r="AL6" s="13"/>
      <c r="AM6" s="13"/>
      <c r="AN6" s="52"/>
      <c r="AO6" s="53"/>
      <c r="AP6" s="52"/>
      <c r="AQ6" s="52"/>
      <c r="AR6" s="52"/>
      <c r="AS6" s="52"/>
      <c r="AT6" s="52"/>
      <c r="AU6" s="13"/>
      <c r="AV6" s="14">
        <v>20.0</v>
      </c>
      <c r="AW6" s="13"/>
      <c r="AX6" s="13"/>
      <c r="AY6" s="13"/>
      <c r="AZ6" s="13"/>
      <c r="BA6" s="13"/>
      <c r="BB6" s="52"/>
      <c r="BC6" s="55"/>
      <c r="BD6" s="52"/>
      <c r="BE6" s="52"/>
      <c r="BF6" s="52"/>
      <c r="BG6" s="52"/>
      <c r="BH6" s="52"/>
      <c r="BI6" s="13"/>
      <c r="BJ6" s="55"/>
      <c r="BK6" s="13"/>
      <c r="BL6" s="13"/>
      <c r="BM6" s="13"/>
      <c r="BN6" s="13"/>
      <c r="BO6" s="13"/>
      <c r="BP6" s="52"/>
      <c r="BQ6" s="55"/>
      <c r="BR6" s="52"/>
      <c r="BS6" s="52"/>
      <c r="BT6" s="52"/>
      <c r="BU6" s="52"/>
      <c r="BV6" s="52"/>
      <c r="BW6" s="13"/>
      <c r="BX6" s="55"/>
      <c r="BY6" s="13"/>
      <c r="BZ6" s="13"/>
      <c r="CA6" s="13"/>
      <c r="CB6" s="13"/>
      <c r="CC6" s="13"/>
      <c r="CD6" s="52"/>
      <c r="CE6" s="55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170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4">
        <v>80.0</v>
      </c>
      <c r="G7" s="14">
        <v>80.0</v>
      </c>
      <c r="H7" s="13"/>
      <c r="I7" s="13"/>
      <c r="J7" s="13"/>
      <c r="K7" s="13"/>
      <c r="L7" s="52"/>
      <c r="M7" s="53">
        <v>80.0</v>
      </c>
      <c r="N7" s="52"/>
      <c r="O7" s="52"/>
      <c r="P7" s="52"/>
      <c r="Q7" s="52"/>
      <c r="R7" s="52"/>
      <c r="S7" s="13"/>
      <c r="T7" s="14">
        <v>80.0</v>
      </c>
      <c r="U7" s="13"/>
      <c r="V7" s="13"/>
      <c r="W7" s="13"/>
      <c r="X7" s="13"/>
      <c r="Y7" s="13"/>
      <c r="Z7" s="52"/>
      <c r="AA7" s="53">
        <v>70.0</v>
      </c>
      <c r="AB7" s="53">
        <v>79.0</v>
      </c>
      <c r="AC7" s="52"/>
      <c r="AD7" s="52"/>
      <c r="AE7" s="52"/>
      <c r="AF7" s="52"/>
      <c r="AG7" s="13"/>
      <c r="AH7" s="14">
        <v>10.0</v>
      </c>
      <c r="AI7" s="14">
        <v>62.0</v>
      </c>
      <c r="AJ7" s="13"/>
      <c r="AK7" s="13"/>
      <c r="AL7" s="13"/>
      <c r="AM7" s="13"/>
      <c r="AN7" s="52"/>
      <c r="AO7" s="53">
        <v>70.0</v>
      </c>
      <c r="AP7" s="53">
        <v>70.0</v>
      </c>
      <c r="AQ7" s="52"/>
      <c r="AR7" s="52"/>
      <c r="AS7" s="52"/>
      <c r="AT7" s="52"/>
      <c r="AU7" s="13"/>
      <c r="AV7" s="14">
        <v>70.0</v>
      </c>
      <c r="AW7" s="14">
        <v>70.0</v>
      </c>
      <c r="AX7" s="13"/>
      <c r="AY7" s="13"/>
      <c r="AZ7" s="13"/>
      <c r="BA7" s="13"/>
      <c r="BB7" s="52"/>
      <c r="BC7" s="54">
        <v>70.0</v>
      </c>
      <c r="BD7" s="53">
        <v>67.0</v>
      </c>
      <c r="BE7" s="52"/>
      <c r="BF7" s="52"/>
      <c r="BG7" s="52"/>
      <c r="BH7" s="52"/>
      <c r="BI7" s="13"/>
      <c r="BJ7" s="54">
        <v>70.0</v>
      </c>
      <c r="BK7" s="14"/>
      <c r="BL7" s="13"/>
      <c r="BM7" s="13"/>
      <c r="BN7" s="13"/>
      <c r="BO7" s="13"/>
      <c r="BP7" s="52"/>
      <c r="BQ7" s="55"/>
      <c r="BR7" s="52"/>
      <c r="BS7" s="52"/>
      <c r="BT7" s="52"/>
      <c r="BU7" s="52"/>
      <c r="BV7" s="52"/>
      <c r="BW7" s="13"/>
      <c r="BX7" s="55"/>
      <c r="BY7" s="13"/>
      <c r="BZ7" s="13"/>
      <c r="CA7" s="13"/>
      <c r="CB7" s="13"/>
      <c r="CC7" s="13"/>
      <c r="CD7" s="52"/>
      <c r="CE7" s="55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600</v>
      </c>
      <c r="CM7" s="56">
        <f t="shared" si="2"/>
        <v>428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5"/>
      <c r="BD8" s="52"/>
      <c r="BE8" s="52"/>
      <c r="BF8" s="52"/>
      <c r="BG8" s="52"/>
      <c r="BH8" s="52"/>
      <c r="BI8" s="13"/>
      <c r="BJ8" s="55"/>
      <c r="BK8" s="13"/>
      <c r="BL8" s="13"/>
      <c r="BM8" s="13"/>
      <c r="BN8" s="13"/>
      <c r="BO8" s="13"/>
      <c r="BP8" s="52"/>
      <c r="BQ8" s="55"/>
      <c r="BR8" s="52"/>
      <c r="BS8" s="52"/>
      <c r="BT8" s="52"/>
      <c r="BU8" s="52"/>
      <c r="BV8" s="52"/>
      <c r="BW8" s="13"/>
      <c r="BX8" s="55"/>
      <c r="BY8" s="13"/>
      <c r="BZ8" s="13"/>
      <c r="CA8" s="13"/>
      <c r="CB8" s="13"/>
      <c r="CC8" s="13"/>
      <c r="CD8" s="52"/>
      <c r="CE8" s="55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5"/>
      <c r="BD9" s="52"/>
      <c r="BE9" s="52"/>
      <c r="BF9" s="52"/>
      <c r="BG9" s="52"/>
      <c r="BH9" s="52"/>
      <c r="BI9" s="13"/>
      <c r="BJ9" s="55"/>
      <c r="BK9" s="13"/>
      <c r="BL9" s="13"/>
      <c r="BM9" s="13"/>
      <c r="BN9" s="13"/>
      <c r="BO9" s="13"/>
      <c r="BP9" s="52"/>
      <c r="BQ9" s="55"/>
      <c r="BR9" s="52"/>
      <c r="BS9" s="52"/>
      <c r="BT9" s="52"/>
      <c r="BU9" s="52"/>
      <c r="BV9" s="52"/>
      <c r="BW9" s="13"/>
      <c r="BX9" s="55"/>
      <c r="BY9" s="13"/>
      <c r="BZ9" s="13"/>
      <c r="CA9" s="13"/>
      <c r="CB9" s="13"/>
      <c r="CC9" s="13"/>
      <c r="CD9" s="52"/>
      <c r="CE9" s="55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5"/>
      <c r="BD10" s="52"/>
      <c r="BE10" s="52"/>
      <c r="BF10" s="52"/>
      <c r="BG10" s="52"/>
      <c r="BH10" s="52"/>
      <c r="BI10" s="13"/>
      <c r="BJ10" s="55"/>
      <c r="BK10" s="13"/>
      <c r="BL10" s="13"/>
      <c r="BM10" s="13"/>
      <c r="BN10" s="13"/>
      <c r="BO10" s="13"/>
      <c r="BP10" s="52"/>
      <c r="BQ10" s="55"/>
      <c r="BR10" s="52"/>
      <c r="BS10" s="52"/>
      <c r="BT10" s="52"/>
      <c r="BU10" s="52"/>
      <c r="BV10" s="52"/>
      <c r="BW10" s="13"/>
      <c r="BX10" s="55"/>
      <c r="BY10" s="13"/>
      <c r="BZ10" s="13"/>
      <c r="CA10" s="13"/>
      <c r="CB10" s="13"/>
      <c r="CC10" s="13"/>
      <c r="CD10" s="52"/>
      <c r="CE10" s="55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3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5"/>
      <c r="BD11" s="52"/>
      <c r="BE11" s="52"/>
      <c r="BF11" s="52"/>
      <c r="BG11" s="52"/>
      <c r="BH11" s="52"/>
      <c r="BI11" s="13"/>
      <c r="BJ11" s="55"/>
      <c r="BK11" s="13"/>
      <c r="BL11" s="13"/>
      <c r="BM11" s="13"/>
      <c r="BN11" s="13"/>
      <c r="BO11" s="13"/>
      <c r="BP11" s="52"/>
      <c r="BQ11" s="55"/>
      <c r="BR11" s="52"/>
      <c r="BS11" s="52"/>
      <c r="BT11" s="52"/>
      <c r="BU11" s="52"/>
      <c r="BV11" s="52"/>
      <c r="BW11" s="13"/>
      <c r="BX11" s="55"/>
      <c r="BY11" s="13"/>
      <c r="BZ11" s="13"/>
      <c r="CA11" s="13"/>
      <c r="CB11" s="13"/>
      <c r="CC11" s="13"/>
      <c r="CD11" s="52"/>
      <c r="CE11" s="55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5"/>
      <c r="BD12" s="52"/>
      <c r="BE12" s="52"/>
      <c r="BF12" s="52"/>
      <c r="BG12" s="52"/>
      <c r="BH12" s="52"/>
      <c r="BI12" s="13"/>
      <c r="BJ12" s="55"/>
      <c r="BK12" s="13"/>
      <c r="BL12" s="13"/>
      <c r="BM12" s="13"/>
      <c r="BN12" s="13"/>
      <c r="BO12" s="13"/>
      <c r="BP12" s="52"/>
      <c r="BQ12" s="55"/>
      <c r="BR12" s="52"/>
      <c r="BS12" s="52"/>
      <c r="BT12" s="52"/>
      <c r="BU12" s="52"/>
      <c r="BV12" s="52"/>
      <c r="BW12" s="13"/>
      <c r="BX12" s="55"/>
      <c r="BY12" s="13"/>
      <c r="BZ12" s="13"/>
      <c r="CA12" s="13"/>
      <c r="CB12" s="13"/>
      <c r="CC12" s="13"/>
      <c r="CD12" s="52"/>
      <c r="CE12" s="55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4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5"/>
      <c r="BD13" s="52"/>
      <c r="BE13" s="52"/>
      <c r="BF13" s="52"/>
      <c r="BG13" s="52"/>
      <c r="BH13" s="52"/>
      <c r="BI13" s="13"/>
      <c r="BJ13" s="55"/>
      <c r="BK13" s="13"/>
      <c r="BL13" s="13"/>
      <c r="BM13" s="13"/>
      <c r="BN13" s="13"/>
      <c r="BO13" s="13"/>
      <c r="BP13" s="52"/>
      <c r="BQ13" s="55"/>
      <c r="BR13" s="52"/>
      <c r="BS13" s="52"/>
      <c r="BT13" s="52"/>
      <c r="BU13" s="52"/>
      <c r="BV13" s="52"/>
      <c r="BW13" s="13"/>
      <c r="BX13" s="55"/>
      <c r="BY13" s="13"/>
      <c r="BZ13" s="13"/>
      <c r="CA13" s="13"/>
      <c r="CB13" s="13"/>
      <c r="CC13" s="13"/>
      <c r="CD13" s="52"/>
      <c r="CE13" s="55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5"/>
      <c r="BD14" s="52"/>
      <c r="BE14" s="52"/>
      <c r="BF14" s="52"/>
      <c r="BG14" s="52"/>
      <c r="BH14" s="52"/>
      <c r="BI14" s="13"/>
      <c r="BJ14" s="55"/>
      <c r="BK14" s="13"/>
      <c r="BL14" s="13"/>
      <c r="BM14" s="13"/>
      <c r="BN14" s="13"/>
      <c r="BO14" s="13"/>
      <c r="BP14" s="52"/>
      <c r="BQ14" s="55"/>
      <c r="BR14" s="52"/>
      <c r="BS14" s="52"/>
      <c r="BT14" s="52"/>
      <c r="BU14" s="52"/>
      <c r="BV14" s="52"/>
      <c r="BW14" s="13"/>
      <c r="BX14" s="55"/>
      <c r="BY14" s="13"/>
      <c r="BZ14" s="13"/>
      <c r="CA14" s="13"/>
      <c r="CB14" s="13"/>
      <c r="CC14" s="13"/>
      <c r="CD14" s="52"/>
      <c r="CE14" s="55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3"/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2"/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2"/>
      <c r="AP15" s="52"/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5"/>
      <c r="BD15" s="52"/>
      <c r="BE15" s="52"/>
      <c r="BF15" s="52"/>
      <c r="BG15" s="52"/>
      <c r="BH15" s="52"/>
      <c r="BI15" s="13"/>
      <c r="BJ15" s="55"/>
      <c r="BK15" s="13"/>
      <c r="BL15" s="13"/>
      <c r="BM15" s="13"/>
      <c r="BN15" s="13"/>
      <c r="BO15" s="13"/>
      <c r="BP15" s="52"/>
      <c r="BQ15" s="55"/>
      <c r="BR15" s="52"/>
      <c r="BS15" s="52"/>
      <c r="BT15" s="52"/>
      <c r="BU15" s="52"/>
      <c r="BV15" s="52"/>
      <c r="BW15" s="13"/>
      <c r="BX15" s="55"/>
      <c r="BY15" s="13"/>
      <c r="BZ15" s="13"/>
      <c r="CA15" s="13"/>
      <c r="CB15" s="13"/>
      <c r="CC15" s="13"/>
      <c r="CD15" s="52"/>
      <c r="CE15" s="55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0</v>
      </c>
      <c r="CM15" s="56">
        <f t="shared" si="10"/>
        <v>0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3"/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5"/>
      <c r="BD16" s="52"/>
      <c r="BE16" s="52"/>
      <c r="BF16" s="52"/>
      <c r="BG16" s="52"/>
      <c r="BH16" s="52"/>
      <c r="BI16" s="13"/>
      <c r="BJ16" s="55"/>
      <c r="BK16" s="13"/>
      <c r="BL16" s="13"/>
      <c r="BM16" s="13"/>
      <c r="BN16" s="13"/>
      <c r="BO16" s="13"/>
      <c r="BP16" s="52"/>
      <c r="BQ16" s="55"/>
      <c r="BR16" s="52"/>
      <c r="BS16" s="52"/>
      <c r="BT16" s="52"/>
      <c r="BU16" s="52"/>
      <c r="BV16" s="52"/>
      <c r="BW16" s="13"/>
      <c r="BX16" s="55"/>
      <c r="BY16" s="13"/>
      <c r="BZ16" s="13"/>
      <c r="CA16" s="13"/>
      <c r="CB16" s="13"/>
      <c r="CC16" s="13"/>
      <c r="CD16" s="52"/>
      <c r="CE16" s="55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0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5"/>
      <c r="BD17" s="52"/>
      <c r="BE17" s="52"/>
      <c r="BF17" s="52"/>
      <c r="BG17" s="52"/>
      <c r="BH17" s="52"/>
      <c r="BI17" s="13"/>
      <c r="BJ17" s="55"/>
      <c r="BK17" s="13"/>
      <c r="BL17" s="13"/>
      <c r="BM17" s="13"/>
      <c r="BN17" s="13"/>
      <c r="BO17" s="13"/>
      <c r="BP17" s="52"/>
      <c r="BQ17" s="55"/>
      <c r="BR17" s="52"/>
      <c r="BS17" s="52"/>
      <c r="BT17" s="52"/>
      <c r="BU17" s="52"/>
      <c r="BV17" s="52"/>
      <c r="BW17" s="13"/>
      <c r="BX17" s="55"/>
      <c r="BY17" s="13"/>
      <c r="BZ17" s="13"/>
      <c r="CA17" s="13"/>
      <c r="CB17" s="13"/>
      <c r="CC17" s="13"/>
      <c r="CD17" s="52"/>
      <c r="CE17" s="55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4">
        <v>1.0</v>
      </c>
      <c r="BD18" s="53">
        <v>1.0</v>
      </c>
      <c r="BE18" s="52"/>
      <c r="BF18" s="52"/>
      <c r="BG18" s="52"/>
      <c r="BH18" s="52"/>
      <c r="BI18" s="13"/>
      <c r="BJ18" s="55"/>
      <c r="BK18" s="13"/>
      <c r="BL18" s="13"/>
      <c r="BM18" s="13"/>
      <c r="BN18" s="13"/>
      <c r="BO18" s="13"/>
      <c r="BP18" s="52"/>
      <c r="BQ18" s="55"/>
      <c r="BR18" s="52"/>
      <c r="BS18" s="52"/>
      <c r="BT18" s="52"/>
      <c r="BU18" s="52"/>
      <c r="BV18" s="52"/>
      <c r="BW18" s="13"/>
      <c r="BX18" s="55"/>
      <c r="BY18" s="13"/>
      <c r="BZ18" s="13"/>
      <c r="CA18" s="13"/>
      <c r="CB18" s="13"/>
      <c r="CC18" s="13"/>
      <c r="CD18" s="52"/>
      <c r="CE18" s="55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1</v>
      </c>
      <c r="CM18" s="56">
        <f t="shared" si="13"/>
        <v>1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5"/>
      <c r="BD19" s="52"/>
      <c r="BE19" s="52"/>
      <c r="BF19" s="52"/>
      <c r="BG19" s="52"/>
      <c r="BH19" s="52"/>
      <c r="BI19" s="13"/>
      <c r="BJ19" s="55"/>
      <c r="BK19" s="13"/>
      <c r="BL19" s="13"/>
      <c r="BM19" s="13"/>
      <c r="BN19" s="13"/>
      <c r="BO19" s="13"/>
      <c r="BP19" s="52"/>
      <c r="BQ19" s="55"/>
      <c r="BR19" s="52"/>
      <c r="BS19" s="52"/>
      <c r="BT19" s="52"/>
      <c r="BU19" s="52"/>
      <c r="BV19" s="52"/>
      <c r="BW19" s="13"/>
      <c r="BX19" s="55"/>
      <c r="BY19" s="13"/>
      <c r="BZ19" s="13"/>
      <c r="CA19" s="13"/>
      <c r="CB19" s="13"/>
      <c r="CC19" s="13"/>
      <c r="CD19" s="52"/>
      <c r="CE19" s="55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5"/>
      <c r="BD20" s="52"/>
      <c r="BE20" s="52"/>
      <c r="BF20" s="52"/>
      <c r="BG20" s="52"/>
      <c r="BH20" s="52"/>
      <c r="BI20" s="13"/>
      <c r="BJ20" s="55"/>
      <c r="BK20" s="13"/>
      <c r="BL20" s="13"/>
      <c r="BM20" s="13"/>
      <c r="BN20" s="13"/>
      <c r="BO20" s="13"/>
      <c r="BP20" s="52"/>
      <c r="BQ20" s="55"/>
      <c r="BR20" s="52"/>
      <c r="BS20" s="52"/>
      <c r="BT20" s="52"/>
      <c r="BU20" s="52"/>
      <c r="BV20" s="52"/>
      <c r="BW20" s="13"/>
      <c r="BX20" s="55"/>
      <c r="BY20" s="13"/>
      <c r="BZ20" s="13"/>
      <c r="CA20" s="13"/>
      <c r="CB20" s="13"/>
      <c r="CC20" s="13"/>
      <c r="CD20" s="52"/>
      <c r="CE20" s="55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3">
        <v>1.0</v>
      </c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5"/>
      <c r="BD21" s="52"/>
      <c r="BE21" s="52"/>
      <c r="BF21" s="52"/>
      <c r="BG21" s="52"/>
      <c r="BH21" s="52"/>
      <c r="BI21" s="13"/>
      <c r="BJ21" s="55"/>
      <c r="BK21" s="13"/>
      <c r="BL21" s="13"/>
      <c r="BM21" s="13"/>
      <c r="BN21" s="13"/>
      <c r="BO21" s="13"/>
      <c r="BP21" s="52"/>
      <c r="BQ21" s="55"/>
      <c r="BR21" s="52"/>
      <c r="BS21" s="52"/>
      <c r="BT21" s="52"/>
      <c r="BU21" s="52"/>
      <c r="BV21" s="52"/>
      <c r="BW21" s="13"/>
      <c r="BX21" s="55"/>
      <c r="BY21" s="13"/>
      <c r="BZ21" s="13"/>
      <c r="CA21" s="13"/>
      <c r="CB21" s="13"/>
      <c r="CC21" s="13"/>
      <c r="CD21" s="52"/>
      <c r="CE21" s="55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1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5"/>
      <c r="BD22" s="52"/>
      <c r="BE22" s="52"/>
      <c r="BF22" s="52"/>
      <c r="BG22" s="52"/>
      <c r="BH22" s="52"/>
      <c r="BI22" s="13"/>
      <c r="BJ22" s="55"/>
      <c r="BK22" s="13"/>
      <c r="BL22" s="13"/>
      <c r="BM22" s="13"/>
      <c r="BN22" s="13"/>
      <c r="BO22" s="13"/>
      <c r="BP22" s="52"/>
      <c r="BQ22" s="55"/>
      <c r="BR22" s="52"/>
      <c r="BS22" s="52"/>
      <c r="BT22" s="52"/>
      <c r="BU22" s="52"/>
      <c r="BV22" s="52"/>
      <c r="BW22" s="13"/>
      <c r="BX22" s="55"/>
      <c r="BY22" s="13"/>
      <c r="BZ22" s="13"/>
      <c r="CA22" s="13"/>
      <c r="CB22" s="13"/>
      <c r="CC22" s="13"/>
      <c r="CD22" s="52"/>
      <c r="CE22" s="55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5"/>
      <c r="BD23" s="52"/>
      <c r="BE23" s="52"/>
      <c r="BF23" s="52"/>
      <c r="BG23" s="52"/>
      <c r="BH23" s="52"/>
      <c r="BI23" s="13"/>
      <c r="BJ23" s="55"/>
      <c r="BK23" s="13"/>
      <c r="BL23" s="13"/>
      <c r="BM23" s="13"/>
      <c r="BN23" s="13"/>
      <c r="BO23" s="13"/>
      <c r="BP23" s="52"/>
      <c r="BQ23" s="55"/>
      <c r="BR23" s="52"/>
      <c r="BS23" s="52"/>
      <c r="BT23" s="52"/>
      <c r="BU23" s="52"/>
      <c r="BV23" s="52"/>
      <c r="BW23" s="13"/>
      <c r="BX23" s="55"/>
      <c r="BY23" s="13"/>
      <c r="BZ23" s="13"/>
      <c r="CA23" s="13"/>
      <c r="CB23" s="13"/>
      <c r="CC23" s="13"/>
      <c r="CD23" s="52"/>
      <c r="CE23" s="55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5"/>
      <c r="BD24" s="52"/>
      <c r="BE24" s="52"/>
      <c r="BF24" s="52"/>
      <c r="BG24" s="52"/>
      <c r="BH24" s="52"/>
      <c r="BI24" s="13"/>
      <c r="BJ24" s="55"/>
      <c r="BK24" s="13"/>
      <c r="BL24" s="13"/>
      <c r="BM24" s="13"/>
      <c r="BN24" s="13"/>
      <c r="BO24" s="13"/>
      <c r="BP24" s="52"/>
      <c r="BQ24" s="55"/>
      <c r="BR24" s="52"/>
      <c r="BS24" s="52"/>
      <c r="BT24" s="52"/>
      <c r="BU24" s="52"/>
      <c r="BV24" s="52"/>
      <c r="BW24" s="13"/>
      <c r="BX24" s="55"/>
      <c r="BY24" s="13"/>
      <c r="BZ24" s="13"/>
      <c r="CA24" s="13"/>
      <c r="CB24" s="13"/>
      <c r="CC24" s="13"/>
      <c r="CD24" s="52"/>
      <c r="CE24" s="55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0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5"/>
      <c r="BD25" s="52"/>
      <c r="BE25" s="52"/>
      <c r="BF25" s="52"/>
      <c r="BG25" s="52"/>
      <c r="BH25" s="52"/>
      <c r="BI25" s="13"/>
      <c r="BJ25" s="55"/>
      <c r="BK25" s="13"/>
      <c r="BL25" s="13"/>
      <c r="BM25" s="13"/>
      <c r="BN25" s="13"/>
      <c r="BO25" s="13"/>
      <c r="BP25" s="52"/>
      <c r="BQ25" s="55"/>
      <c r="BR25" s="52"/>
      <c r="BS25" s="52"/>
      <c r="BT25" s="52"/>
      <c r="BU25" s="52"/>
      <c r="BV25" s="52"/>
      <c r="BW25" s="13"/>
      <c r="BX25" s="55"/>
      <c r="BY25" s="13"/>
      <c r="BZ25" s="13"/>
      <c r="CA25" s="13"/>
      <c r="CB25" s="13"/>
      <c r="CC25" s="13"/>
      <c r="CD25" s="52"/>
      <c r="CE25" s="55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5"/>
      <c r="BD26" s="52"/>
      <c r="BE26" s="52"/>
      <c r="BF26" s="52"/>
      <c r="BG26" s="52"/>
      <c r="BH26" s="52"/>
      <c r="BI26" s="13"/>
      <c r="BJ26" s="55"/>
      <c r="BK26" s="13"/>
      <c r="BL26" s="13"/>
      <c r="BM26" s="13"/>
      <c r="BN26" s="13"/>
      <c r="BO26" s="13"/>
      <c r="BP26" s="52"/>
      <c r="BQ26" s="55"/>
      <c r="BR26" s="52"/>
      <c r="BS26" s="52"/>
      <c r="BT26" s="52"/>
      <c r="BU26" s="52"/>
      <c r="BV26" s="52"/>
      <c r="BW26" s="13"/>
      <c r="BX26" s="55"/>
      <c r="BY26" s="13"/>
      <c r="BZ26" s="13"/>
      <c r="CA26" s="13"/>
      <c r="CB26" s="13"/>
      <c r="CC26" s="13"/>
      <c r="CD26" s="52"/>
      <c r="CE26" s="55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5"/>
      <c r="BD27" s="52"/>
      <c r="BE27" s="52"/>
      <c r="BF27" s="52"/>
      <c r="BG27" s="52"/>
      <c r="BH27" s="52"/>
      <c r="BI27" s="13"/>
      <c r="BJ27" s="55"/>
      <c r="BK27" s="13"/>
      <c r="BL27" s="13"/>
      <c r="BM27" s="13"/>
      <c r="BN27" s="13"/>
      <c r="BO27" s="13"/>
      <c r="BP27" s="52"/>
      <c r="BQ27" s="55"/>
      <c r="BR27" s="52"/>
      <c r="BS27" s="52"/>
      <c r="BT27" s="52"/>
      <c r="BU27" s="52"/>
      <c r="BV27" s="52"/>
      <c r="BW27" s="13"/>
      <c r="BX27" s="55"/>
      <c r="BY27" s="13"/>
      <c r="BZ27" s="13"/>
      <c r="CA27" s="13"/>
      <c r="CB27" s="13"/>
      <c r="CC27" s="13"/>
      <c r="CD27" s="52"/>
      <c r="CE27" s="55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3"/>
      <c r="G28" s="13"/>
      <c r="H28" s="13"/>
      <c r="I28" s="35"/>
      <c r="J28" s="35"/>
      <c r="K28" s="35"/>
      <c r="L28" s="52"/>
      <c r="M28" s="52"/>
      <c r="N28" s="52"/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2"/>
      <c r="AB28" s="52"/>
      <c r="AC28" s="52"/>
      <c r="AD28" s="58"/>
      <c r="AE28" s="58"/>
      <c r="AF28" s="58"/>
      <c r="AG28" s="13"/>
      <c r="AH28" s="13"/>
      <c r="AI28" s="13"/>
      <c r="AJ28" s="13"/>
      <c r="AK28" s="35"/>
      <c r="AL28" s="35"/>
      <c r="AM28" s="35"/>
      <c r="AN28" s="52"/>
      <c r="AO28" s="52"/>
      <c r="AP28" s="52"/>
      <c r="AQ28" s="52"/>
      <c r="AR28" s="58"/>
      <c r="AS28" s="58"/>
      <c r="AT28" s="58"/>
      <c r="AU28" s="13"/>
      <c r="AV28" s="13"/>
      <c r="AW28" s="13"/>
      <c r="AX28" s="13"/>
      <c r="AY28" s="35"/>
      <c r="AZ28" s="35"/>
      <c r="BA28" s="35"/>
      <c r="BB28" s="52"/>
      <c r="BC28" s="55"/>
      <c r="BD28" s="52"/>
      <c r="BE28" s="52"/>
      <c r="BF28" s="58"/>
      <c r="BG28" s="58"/>
      <c r="BH28" s="58"/>
      <c r="BI28" s="13"/>
      <c r="BJ28" s="55"/>
      <c r="BK28" s="13"/>
      <c r="BL28" s="13"/>
      <c r="BM28" s="35"/>
      <c r="BN28" s="35"/>
      <c r="BO28" s="35"/>
      <c r="BP28" s="52"/>
      <c r="BQ28" s="55"/>
      <c r="BR28" s="52"/>
      <c r="BS28" s="52"/>
      <c r="BT28" s="58"/>
      <c r="BU28" s="58"/>
      <c r="BV28" s="58"/>
      <c r="BW28" s="13"/>
      <c r="BX28" s="55"/>
      <c r="BY28" s="13"/>
      <c r="BZ28" s="13"/>
      <c r="CA28" s="35"/>
      <c r="CB28" s="35"/>
      <c r="CC28" s="35"/>
      <c r="CD28" s="52"/>
      <c r="CE28" s="55"/>
      <c r="CF28" s="52"/>
      <c r="CG28" s="52"/>
      <c r="CH28" s="58"/>
      <c r="CI28" s="58"/>
      <c r="CJ28" s="58"/>
      <c r="CK28" s="56">
        <f t="shared" ref="CK28:CQ28" si="23">SUM(E28,L28,S28,Z28,AG28,AN28,AU28,BB28,BI28,BP28,BW28,CD28)</f>
        <v>0</v>
      </c>
      <c r="CL28" s="56">
        <f t="shared" si="23"/>
        <v>0</v>
      </c>
      <c r="CM28" s="56">
        <f t="shared" si="23"/>
        <v>0</v>
      </c>
      <c r="CN28" s="56">
        <f t="shared" si="23"/>
        <v>0</v>
      </c>
      <c r="CO28" s="56">
        <f t="shared" si="23"/>
        <v>0</v>
      </c>
      <c r="CP28" s="56">
        <f t="shared" si="23"/>
        <v>0</v>
      </c>
      <c r="CQ28" s="56">
        <f t="shared" si="23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4">
        <v>1.0</v>
      </c>
      <c r="F29" s="13"/>
      <c r="G29" s="13"/>
      <c r="H29" s="13"/>
      <c r="I29" s="35"/>
      <c r="J29" s="35"/>
      <c r="K29" s="35"/>
      <c r="L29" s="52"/>
      <c r="M29" s="52"/>
      <c r="N29" s="52"/>
      <c r="O29" s="52"/>
      <c r="P29" s="58"/>
      <c r="Q29" s="58"/>
      <c r="R29" s="58"/>
      <c r="S29" s="13"/>
      <c r="T29" s="13"/>
      <c r="U29" s="13"/>
      <c r="V29" s="13"/>
      <c r="W29" s="35"/>
      <c r="X29" s="35"/>
      <c r="Y29" s="35"/>
      <c r="Z29" s="52"/>
      <c r="AA29" s="53">
        <v>1.0</v>
      </c>
      <c r="AB29" s="52"/>
      <c r="AC29" s="52"/>
      <c r="AD29" s="58"/>
      <c r="AE29" s="58"/>
      <c r="AF29" s="58"/>
      <c r="AG29" s="13"/>
      <c r="AH29" s="13"/>
      <c r="AI29" s="13"/>
      <c r="AJ29" s="13"/>
      <c r="AK29" s="35"/>
      <c r="AL29" s="35"/>
      <c r="AM29" s="35"/>
      <c r="AN29" s="52"/>
      <c r="AO29" s="52"/>
      <c r="AP29" s="52"/>
      <c r="AQ29" s="52"/>
      <c r="AR29" s="58"/>
      <c r="AS29" s="58"/>
      <c r="AT29" s="58"/>
      <c r="AU29" s="13"/>
      <c r="AV29" s="13"/>
      <c r="AW29" s="13"/>
      <c r="AX29" s="13"/>
      <c r="AY29" s="35"/>
      <c r="AZ29" s="35"/>
      <c r="BA29" s="35"/>
      <c r="BB29" s="52"/>
      <c r="BC29" s="55"/>
      <c r="BD29" s="52"/>
      <c r="BE29" s="52"/>
      <c r="BF29" s="58"/>
      <c r="BG29" s="58"/>
      <c r="BH29" s="58"/>
      <c r="BI29" s="13"/>
      <c r="BJ29" s="55"/>
      <c r="BK29" s="13"/>
      <c r="BL29" s="13"/>
      <c r="BM29" s="35"/>
      <c r="BN29" s="35"/>
      <c r="BO29" s="35"/>
      <c r="BP29" s="52"/>
      <c r="BQ29" s="55"/>
      <c r="BR29" s="52"/>
      <c r="BS29" s="52"/>
      <c r="BT29" s="58"/>
      <c r="BU29" s="58"/>
      <c r="BV29" s="58"/>
      <c r="BW29" s="13"/>
      <c r="BX29" s="55"/>
      <c r="BY29" s="13"/>
      <c r="BZ29" s="13"/>
      <c r="CA29" s="35"/>
      <c r="CB29" s="35"/>
      <c r="CC29" s="35"/>
      <c r="CD29" s="52"/>
      <c r="CE29" s="55"/>
      <c r="CF29" s="52"/>
      <c r="CG29" s="52"/>
      <c r="CH29" s="58"/>
      <c r="CI29" s="58"/>
      <c r="CJ29" s="58"/>
      <c r="CK29" s="56">
        <f t="shared" ref="CK29:CQ29" si="24">SUM(E29,L29,S29,Z29,AG29,AN29,AU29,BB29,BI29,BP29,BW29,CD29)</f>
        <v>1</v>
      </c>
      <c r="CL29" s="56">
        <f t="shared" si="24"/>
        <v>1</v>
      </c>
      <c r="CM29" s="56">
        <f t="shared" si="24"/>
        <v>0</v>
      </c>
      <c r="CN29" s="56">
        <f t="shared" si="24"/>
        <v>0</v>
      </c>
      <c r="CO29" s="56">
        <f t="shared" si="24"/>
        <v>0</v>
      </c>
      <c r="CP29" s="56">
        <f t="shared" si="24"/>
        <v>0</v>
      </c>
      <c r="CQ29" s="56">
        <f t="shared" si="24"/>
        <v>0</v>
      </c>
    </row>
    <row r="30" ht="15.75" customHeight="1">
      <c r="A30" s="4"/>
      <c r="B30" s="60"/>
      <c r="C30" s="4"/>
      <c r="D30" s="4"/>
      <c r="E30" s="13">
        <f t="shared" ref="E30:Z30" si="25">SUM(E6:E27)</f>
        <v>0</v>
      </c>
      <c r="F30" s="13">
        <f t="shared" si="25"/>
        <v>110</v>
      </c>
      <c r="G30" s="13">
        <f t="shared" si="25"/>
        <v>80</v>
      </c>
      <c r="H30" s="13">
        <f t="shared" si="25"/>
        <v>0</v>
      </c>
      <c r="I30" s="17">
        <f t="shared" si="25"/>
        <v>0</v>
      </c>
      <c r="J30" s="17">
        <f t="shared" si="25"/>
        <v>0</v>
      </c>
      <c r="K30" s="17">
        <f t="shared" si="25"/>
        <v>0</v>
      </c>
      <c r="L30" s="52">
        <f t="shared" si="25"/>
        <v>0</v>
      </c>
      <c r="M30" s="52">
        <f t="shared" si="25"/>
        <v>81</v>
      </c>
      <c r="N30" s="52">
        <f t="shared" si="25"/>
        <v>0</v>
      </c>
      <c r="O30" s="52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13">
        <f t="shared" si="25"/>
        <v>0</v>
      </c>
      <c r="T30" s="13">
        <f t="shared" si="25"/>
        <v>100</v>
      </c>
      <c r="U30" s="13">
        <f t="shared" si="25"/>
        <v>0</v>
      </c>
      <c r="V30" s="13">
        <f t="shared" si="25"/>
        <v>0</v>
      </c>
      <c r="W30" s="17">
        <f t="shared" si="25"/>
        <v>0</v>
      </c>
      <c r="X30" s="17">
        <f t="shared" si="25"/>
        <v>0</v>
      </c>
      <c r="Y30" s="17">
        <f t="shared" si="25"/>
        <v>0</v>
      </c>
      <c r="Z30" s="52">
        <f t="shared" si="25"/>
        <v>0</v>
      </c>
      <c r="AA30" s="52">
        <f>SUM(AA6:AA29)</f>
        <v>171</v>
      </c>
      <c r="AB30" s="52">
        <f t="shared" ref="AB30:AG30" si="26">SUM(AB6:AB27)</f>
        <v>79</v>
      </c>
      <c r="AC30" s="52">
        <f t="shared" si="26"/>
        <v>0</v>
      </c>
      <c r="AD30" s="61">
        <f t="shared" si="26"/>
        <v>0</v>
      </c>
      <c r="AE30" s="61">
        <f t="shared" si="26"/>
        <v>0</v>
      </c>
      <c r="AF30" s="61">
        <f t="shared" si="26"/>
        <v>0</v>
      </c>
      <c r="AG30" s="13">
        <f t="shared" si="26"/>
        <v>0</v>
      </c>
      <c r="AH30" s="13">
        <f>SUM(AH6:AH29)</f>
        <v>10</v>
      </c>
      <c r="AI30" s="13">
        <f t="shared" ref="AI30:AN30" si="27">SUM(AI6:AI27)</f>
        <v>62</v>
      </c>
      <c r="AJ30" s="13">
        <f t="shared" si="27"/>
        <v>0</v>
      </c>
      <c r="AK30" s="17">
        <f t="shared" si="27"/>
        <v>0</v>
      </c>
      <c r="AL30" s="17">
        <f t="shared" si="27"/>
        <v>0</v>
      </c>
      <c r="AM30" s="17">
        <f t="shared" si="27"/>
        <v>0</v>
      </c>
      <c r="AN30" s="52">
        <f t="shared" si="27"/>
        <v>0</v>
      </c>
      <c r="AO30" s="52">
        <f>SUM(AO6:AO29)</f>
        <v>70</v>
      </c>
      <c r="AP30" s="52">
        <f t="shared" ref="AP30:AU30" si="28">SUM(AP6:AP27)</f>
        <v>70</v>
      </c>
      <c r="AQ30" s="52">
        <f t="shared" si="28"/>
        <v>0</v>
      </c>
      <c r="AR30" s="61">
        <f t="shared" si="28"/>
        <v>0</v>
      </c>
      <c r="AS30" s="61">
        <f t="shared" si="28"/>
        <v>0</v>
      </c>
      <c r="AT30" s="61">
        <f t="shared" si="28"/>
        <v>0</v>
      </c>
      <c r="AU30" s="13">
        <f t="shared" si="28"/>
        <v>0</v>
      </c>
      <c r="AV30" s="13">
        <f>SUM(AV6:AV29)</f>
        <v>90</v>
      </c>
      <c r="AW30" s="13">
        <f t="shared" ref="AW30:BB30" si="29">SUM(AW6:AW27)</f>
        <v>70</v>
      </c>
      <c r="AX30" s="13">
        <f t="shared" si="29"/>
        <v>0</v>
      </c>
      <c r="AY30" s="17">
        <f t="shared" si="29"/>
        <v>0</v>
      </c>
      <c r="AZ30" s="17">
        <f t="shared" si="29"/>
        <v>0</v>
      </c>
      <c r="BA30" s="17">
        <f t="shared" si="29"/>
        <v>0</v>
      </c>
      <c r="BB30" s="52">
        <f t="shared" si="29"/>
        <v>0</v>
      </c>
      <c r="BC30" s="52">
        <f>SUM(BC6:BC29)</f>
        <v>71</v>
      </c>
      <c r="BD30" s="52">
        <f t="shared" ref="BD30:BI30" si="30">SUM(BD6:BD27)</f>
        <v>68</v>
      </c>
      <c r="BE30" s="52">
        <f t="shared" si="30"/>
        <v>0</v>
      </c>
      <c r="BF30" s="61">
        <f t="shared" si="30"/>
        <v>0</v>
      </c>
      <c r="BG30" s="61">
        <f t="shared" si="30"/>
        <v>0</v>
      </c>
      <c r="BH30" s="61">
        <f t="shared" si="30"/>
        <v>0</v>
      </c>
      <c r="BI30" s="13">
        <f t="shared" si="30"/>
        <v>0</v>
      </c>
      <c r="BJ30" s="13">
        <f>SUM(BJ6:BJ29)</f>
        <v>70</v>
      </c>
      <c r="BK30" s="13">
        <f t="shared" ref="BK30:BP30" si="31">SUM(BK6:BK27)</f>
        <v>0</v>
      </c>
      <c r="BL30" s="13">
        <f t="shared" si="31"/>
        <v>0</v>
      </c>
      <c r="BM30" s="17">
        <f t="shared" si="31"/>
        <v>0</v>
      </c>
      <c r="BN30" s="17">
        <f t="shared" si="31"/>
        <v>0</v>
      </c>
      <c r="BO30" s="17">
        <f t="shared" si="31"/>
        <v>0</v>
      </c>
      <c r="BP30" s="52">
        <f t="shared" si="31"/>
        <v>0</v>
      </c>
      <c r="BQ30" s="52">
        <f>SUM(BQ6:BQ29)</f>
        <v>0</v>
      </c>
      <c r="BR30" s="52">
        <f t="shared" ref="BR30:BX30" si="32">SUM(BR6:BR27)</f>
        <v>0</v>
      </c>
      <c r="BS30" s="52">
        <f t="shared" si="32"/>
        <v>0</v>
      </c>
      <c r="BT30" s="61">
        <f t="shared" si="32"/>
        <v>0</v>
      </c>
      <c r="BU30" s="61">
        <f t="shared" si="32"/>
        <v>0</v>
      </c>
      <c r="BV30" s="61">
        <f t="shared" si="32"/>
        <v>0</v>
      </c>
      <c r="BW30" s="13">
        <f t="shared" si="32"/>
        <v>0</v>
      </c>
      <c r="BX30" s="13">
        <f t="shared" si="32"/>
        <v>0</v>
      </c>
      <c r="BY30" s="13">
        <f>SUM(BY6:BY29)</f>
        <v>0</v>
      </c>
      <c r="BZ30" s="13">
        <f t="shared" ref="BZ30:CD30" si="33">SUM(BZ6:BZ27)</f>
        <v>0</v>
      </c>
      <c r="CA30" s="17">
        <f t="shared" si="33"/>
        <v>0</v>
      </c>
      <c r="CB30" s="17">
        <f t="shared" si="33"/>
        <v>0</v>
      </c>
      <c r="CC30" s="17">
        <f t="shared" si="33"/>
        <v>0</v>
      </c>
      <c r="CD30" s="52">
        <f t="shared" si="33"/>
        <v>0</v>
      </c>
      <c r="CE30" s="52">
        <f>SUM(CE6:CE29)</f>
        <v>0</v>
      </c>
      <c r="CF30" s="52">
        <f t="shared" ref="CF30:CK30" si="34">SUM(CF6:CF27)</f>
        <v>0</v>
      </c>
      <c r="CG30" s="52">
        <f t="shared" si="34"/>
        <v>0</v>
      </c>
      <c r="CH30" s="61">
        <f t="shared" si="34"/>
        <v>0</v>
      </c>
      <c r="CI30" s="61">
        <f t="shared" si="34"/>
        <v>0</v>
      </c>
      <c r="CJ30" s="61">
        <f t="shared" si="34"/>
        <v>0</v>
      </c>
      <c r="CK30" s="62">
        <f t="shared" si="34"/>
        <v>0</v>
      </c>
      <c r="CL30" s="62">
        <f>SUM(CL6:CL29)</f>
        <v>773</v>
      </c>
      <c r="CM30" s="62">
        <f t="shared" ref="CM30:CQ30" si="35">SUM(CM6:CM27)</f>
        <v>429</v>
      </c>
      <c r="CN30" s="62">
        <f t="shared" si="35"/>
        <v>0</v>
      </c>
      <c r="CO30" s="62">
        <f t="shared" si="35"/>
        <v>0</v>
      </c>
      <c r="CP30" s="62">
        <f t="shared" si="35"/>
        <v>0</v>
      </c>
      <c r="CQ30" s="62">
        <f t="shared" si="35"/>
        <v>0</v>
      </c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63"/>
      <c r="CH31" s="40"/>
      <c r="CI31" s="40"/>
      <c r="CJ31" s="40"/>
      <c r="CK31" s="4"/>
      <c r="CL31" s="4"/>
      <c r="CM31" s="4"/>
      <c r="CN31" s="4"/>
      <c r="CO31" s="40"/>
      <c r="CP31" s="40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17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1:CG31"/>
    <mergeCell ref="CE32:CG32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29">
    <cfRule type="cellIs" dxfId="0" priority="1" operator="greaterThan">
      <formula>0</formula>
    </cfRule>
  </conditionalFormatting>
  <conditionalFormatting sqref="W6:Y29">
    <cfRule type="cellIs" dxfId="0" priority="2" operator="greaterThan">
      <formula>0</formula>
    </cfRule>
  </conditionalFormatting>
  <conditionalFormatting sqref="AY6:BA29">
    <cfRule type="cellIs" dxfId="0" priority="3" operator="greaterThan">
      <formula>0</formula>
    </cfRule>
  </conditionalFormatting>
  <conditionalFormatting sqref="CA6:CC29">
    <cfRule type="cellIs" dxfId="0" priority="4" operator="greaterThan">
      <formula>0</formula>
    </cfRule>
  </conditionalFormatting>
  <conditionalFormatting sqref="AD6:AF29">
    <cfRule type="cellIs" dxfId="0" priority="5" operator="greaterThan">
      <formula>0</formula>
    </cfRule>
  </conditionalFormatting>
  <conditionalFormatting sqref="AR6:AT29">
    <cfRule type="cellIs" dxfId="0" priority="6" operator="greaterThan">
      <formula>0</formula>
    </cfRule>
  </conditionalFormatting>
  <conditionalFormatting sqref="BF6:BH29">
    <cfRule type="cellIs" dxfId="0" priority="7" operator="greaterThan">
      <formula>0</formula>
    </cfRule>
  </conditionalFormatting>
  <conditionalFormatting sqref="BT6:BV29">
    <cfRule type="cellIs" dxfId="0" priority="8" operator="greaterThan">
      <formula>0</formula>
    </cfRule>
  </conditionalFormatting>
  <conditionalFormatting sqref="CH6:CJ29">
    <cfRule type="cellIs" dxfId="0" priority="9" operator="greaterThan">
      <formula>0</formula>
    </cfRule>
  </conditionalFormatting>
  <conditionalFormatting sqref="P6:R29">
    <cfRule type="cellIs" dxfId="0" priority="10" operator="greaterThan">
      <formula>0</formula>
    </cfRule>
  </conditionalFormatting>
  <conditionalFormatting sqref="AK6:AM29">
    <cfRule type="cellIs" dxfId="0" priority="11" operator="greaterThan">
      <formula>0</formula>
    </cfRule>
  </conditionalFormatting>
  <conditionalFormatting sqref="BM6:BO29">
    <cfRule type="cellIs" dxfId="0" priority="12" operator="greaterThan">
      <formula>0</formula>
    </cfRule>
  </conditionalFormatting>
  <conditionalFormatting sqref="E6:H30 L6:O30 S6:V30 AG6:AJ30 AU6:AX30 BI6:BL30 BW6:BZ30">
    <cfRule type="cellIs" dxfId="0" priority="13" operator="greaterThan">
      <formula>0</formula>
    </cfRule>
  </conditionalFormatting>
  <conditionalFormatting sqref="Z6:AC30">
    <cfRule type="cellIs" dxfId="0" priority="14" operator="greaterThan">
      <formula>0</formula>
    </cfRule>
  </conditionalFormatting>
  <conditionalFormatting sqref="AN6:AQ30">
    <cfRule type="cellIs" dxfId="0" priority="15" operator="greaterThan">
      <formula>0</formula>
    </cfRule>
  </conditionalFormatting>
  <conditionalFormatting sqref="BB6:BE30">
    <cfRule type="cellIs" dxfId="0" priority="16" operator="greaterThan">
      <formula>0</formula>
    </cfRule>
  </conditionalFormatting>
  <conditionalFormatting sqref="BP6:BS30">
    <cfRule type="cellIs" dxfId="0" priority="17" operator="greaterThan">
      <formula>0</formula>
    </cfRule>
  </conditionalFormatting>
  <conditionalFormatting sqref="CD6:CG30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3"/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4">
        <v>30.0</v>
      </c>
      <c r="U6" s="13"/>
      <c r="V6" s="13"/>
      <c r="W6" s="13"/>
      <c r="X6" s="13"/>
      <c r="Y6" s="13"/>
      <c r="Z6" s="52"/>
      <c r="AA6" s="53">
        <v>20.0</v>
      </c>
      <c r="AB6" s="52"/>
      <c r="AC6" s="52"/>
      <c r="AD6" s="52"/>
      <c r="AE6" s="52"/>
      <c r="AF6" s="52"/>
      <c r="AG6" s="13"/>
      <c r="AH6" s="13"/>
      <c r="AI6" s="13"/>
      <c r="AJ6" s="13"/>
      <c r="AK6" s="13"/>
      <c r="AL6" s="13"/>
      <c r="AM6" s="13"/>
      <c r="AN6" s="52"/>
      <c r="AO6" s="52"/>
      <c r="AP6" s="52"/>
      <c r="AQ6" s="52"/>
      <c r="AR6" s="52"/>
      <c r="AS6" s="52"/>
      <c r="AT6" s="52"/>
      <c r="AU6" s="13"/>
      <c r="AV6" s="13"/>
      <c r="AW6" s="13"/>
      <c r="AX6" s="13"/>
      <c r="AY6" s="13"/>
      <c r="AZ6" s="13"/>
      <c r="BA6" s="13"/>
      <c r="BB6" s="52"/>
      <c r="BC6" s="55"/>
      <c r="BD6" s="52"/>
      <c r="BE6" s="52"/>
      <c r="BF6" s="52"/>
      <c r="BG6" s="52"/>
      <c r="BH6" s="52"/>
      <c r="BI6" s="13"/>
      <c r="BJ6" s="55"/>
      <c r="BK6" s="13"/>
      <c r="BL6" s="13"/>
      <c r="BM6" s="13"/>
      <c r="BN6" s="13"/>
      <c r="BO6" s="13"/>
      <c r="BP6" s="52"/>
      <c r="BQ6" s="55"/>
      <c r="BR6" s="52"/>
      <c r="BS6" s="52"/>
      <c r="BT6" s="52"/>
      <c r="BU6" s="52"/>
      <c r="BV6" s="52"/>
      <c r="BW6" s="13"/>
      <c r="BX6" s="55"/>
      <c r="BY6" s="13"/>
      <c r="BZ6" s="13"/>
      <c r="CA6" s="13"/>
      <c r="CB6" s="13"/>
      <c r="CC6" s="13"/>
      <c r="CD6" s="52"/>
      <c r="CE6" s="55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50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64" t="s">
        <v>28</v>
      </c>
      <c r="D7" s="12" t="s">
        <v>26</v>
      </c>
      <c r="E7" s="13"/>
      <c r="F7" s="14">
        <v>50.0</v>
      </c>
      <c r="G7" s="14">
        <v>50.0</v>
      </c>
      <c r="H7" s="13"/>
      <c r="I7" s="13"/>
      <c r="J7" s="13"/>
      <c r="K7" s="13"/>
      <c r="L7" s="52"/>
      <c r="M7" s="53">
        <v>50.0</v>
      </c>
      <c r="N7" s="52"/>
      <c r="O7" s="52"/>
      <c r="P7" s="52"/>
      <c r="Q7" s="52"/>
      <c r="R7" s="52"/>
      <c r="S7" s="13"/>
      <c r="T7" s="14">
        <v>50.0</v>
      </c>
      <c r="U7" s="13"/>
      <c r="V7" s="13"/>
      <c r="W7" s="13"/>
      <c r="X7" s="13"/>
      <c r="Y7" s="13"/>
      <c r="Z7" s="52"/>
      <c r="AA7" s="53">
        <v>50.0</v>
      </c>
      <c r="AB7" s="53">
        <v>70.0</v>
      </c>
      <c r="AC7" s="52"/>
      <c r="AD7" s="52"/>
      <c r="AE7" s="52"/>
      <c r="AF7" s="52"/>
      <c r="AG7" s="13"/>
      <c r="AH7" s="14">
        <v>10.0</v>
      </c>
      <c r="AI7" s="13"/>
      <c r="AJ7" s="13"/>
      <c r="AK7" s="13"/>
      <c r="AL7" s="13"/>
      <c r="AM7" s="13"/>
      <c r="AN7" s="52"/>
      <c r="AO7" s="53">
        <v>10.0</v>
      </c>
      <c r="AP7" s="52"/>
      <c r="AQ7" s="52"/>
      <c r="AR7" s="52"/>
      <c r="AS7" s="52"/>
      <c r="AT7" s="52"/>
      <c r="AU7" s="13"/>
      <c r="AV7" s="14">
        <v>30.0</v>
      </c>
      <c r="AW7" s="14">
        <v>30.0</v>
      </c>
      <c r="AX7" s="13"/>
      <c r="AY7" s="13"/>
      <c r="AZ7" s="13"/>
      <c r="BA7" s="13"/>
      <c r="BB7" s="52"/>
      <c r="BC7" s="54">
        <v>30.0</v>
      </c>
      <c r="BD7" s="53">
        <v>30.0</v>
      </c>
      <c r="BE7" s="52"/>
      <c r="BF7" s="52"/>
      <c r="BG7" s="52"/>
      <c r="BH7" s="52"/>
      <c r="BI7" s="13"/>
      <c r="BJ7" s="54">
        <v>30.0</v>
      </c>
      <c r="BK7" s="13"/>
      <c r="BL7" s="13"/>
      <c r="BM7" s="13"/>
      <c r="BN7" s="13"/>
      <c r="BO7" s="13"/>
      <c r="BP7" s="52"/>
      <c r="BQ7" s="55"/>
      <c r="BR7" s="52"/>
      <c r="BS7" s="52"/>
      <c r="BT7" s="52"/>
      <c r="BU7" s="52"/>
      <c r="BV7" s="52"/>
      <c r="BW7" s="13"/>
      <c r="BX7" s="55"/>
      <c r="BY7" s="13"/>
      <c r="BZ7" s="13"/>
      <c r="CA7" s="13"/>
      <c r="CB7" s="13"/>
      <c r="CC7" s="13"/>
      <c r="CD7" s="52"/>
      <c r="CE7" s="55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310</v>
      </c>
      <c r="CM7" s="56">
        <f t="shared" si="2"/>
        <v>180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5"/>
      <c r="BD8" s="52"/>
      <c r="BE8" s="52"/>
      <c r="BF8" s="52"/>
      <c r="BG8" s="52"/>
      <c r="BH8" s="52"/>
      <c r="BI8" s="13"/>
      <c r="BJ8" s="55"/>
      <c r="BK8" s="13"/>
      <c r="BL8" s="13"/>
      <c r="BM8" s="13"/>
      <c r="BN8" s="13"/>
      <c r="BO8" s="13"/>
      <c r="BP8" s="52"/>
      <c r="BQ8" s="55"/>
      <c r="BR8" s="52"/>
      <c r="BS8" s="52"/>
      <c r="BT8" s="52"/>
      <c r="BU8" s="52"/>
      <c r="BV8" s="52"/>
      <c r="BW8" s="13"/>
      <c r="BX8" s="55"/>
      <c r="BY8" s="13"/>
      <c r="BZ8" s="13"/>
      <c r="CA8" s="13"/>
      <c r="CB8" s="13"/>
      <c r="CC8" s="13"/>
      <c r="CD8" s="52"/>
      <c r="CE8" s="55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5"/>
      <c r="BD9" s="52"/>
      <c r="BE9" s="52"/>
      <c r="BF9" s="52"/>
      <c r="BG9" s="52"/>
      <c r="BH9" s="52"/>
      <c r="BI9" s="13"/>
      <c r="BJ9" s="55"/>
      <c r="BK9" s="13"/>
      <c r="BL9" s="13"/>
      <c r="BM9" s="13"/>
      <c r="BN9" s="13"/>
      <c r="BO9" s="13"/>
      <c r="BP9" s="52"/>
      <c r="BQ9" s="55"/>
      <c r="BR9" s="52"/>
      <c r="BS9" s="52"/>
      <c r="BT9" s="52"/>
      <c r="BU9" s="52"/>
      <c r="BV9" s="52"/>
      <c r="BW9" s="13"/>
      <c r="BX9" s="55"/>
      <c r="BY9" s="13"/>
      <c r="BZ9" s="13"/>
      <c r="CA9" s="13"/>
      <c r="CB9" s="13"/>
      <c r="CC9" s="13"/>
      <c r="CD9" s="52"/>
      <c r="CE9" s="55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5"/>
      <c r="BD10" s="52"/>
      <c r="BE10" s="52"/>
      <c r="BF10" s="52"/>
      <c r="BG10" s="52"/>
      <c r="BH10" s="52"/>
      <c r="BI10" s="13"/>
      <c r="BJ10" s="55"/>
      <c r="BK10" s="13"/>
      <c r="BL10" s="13"/>
      <c r="BM10" s="13"/>
      <c r="BN10" s="13"/>
      <c r="BO10" s="13"/>
      <c r="BP10" s="52"/>
      <c r="BQ10" s="55"/>
      <c r="BR10" s="52"/>
      <c r="BS10" s="52"/>
      <c r="BT10" s="52"/>
      <c r="BU10" s="52"/>
      <c r="BV10" s="52"/>
      <c r="BW10" s="13"/>
      <c r="BX10" s="55"/>
      <c r="BY10" s="13"/>
      <c r="BZ10" s="13"/>
      <c r="CA10" s="13"/>
      <c r="CB10" s="13"/>
      <c r="CC10" s="13"/>
      <c r="CD10" s="52"/>
      <c r="CE10" s="55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3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5"/>
      <c r="BD11" s="52"/>
      <c r="BE11" s="52"/>
      <c r="BF11" s="52"/>
      <c r="BG11" s="52"/>
      <c r="BH11" s="52"/>
      <c r="BI11" s="13"/>
      <c r="BJ11" s="55"/>
      <c r="BK11" s="13"/>
      <c r="BL11" s="13"/>
      <c r="BM11" s="13"/>
      <c r="BN11" s="13"/>
      <c r="BO11" s="13"/>
      <c r="BP11" s="52"/>
      <c r="BQ11" s="55"/>
      <c r="BR11" s="52"/>
      <c r="BS11" s="52"/>
      <c r="BT11" s="52"/>
      <c r="BU11" s="52"/>
      <c r="BV11" s="52"/>
      <c r="BW11" s="13"/>
      <c r="BX11" s="55"/>
      <c r="BY11" s="13"/>
      <c r="BZ11" s="13"/>
      <c r="CA11" s="13"/>
      <c r="CB11" s="13"/>
      <c r="CC11" s="13"/>
      <c r="CD11" s="52"/>
      <c r="CE11" s="55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5"/>
      <c r="BD12" s="52"/>
      <c r="BE12" s="52"/>
      <c r="BF12" s="52"/>
      <c r="BG12" s="52"/>
      <c r="BH12" s="52"/>
      <c r="BI12" s="13"/>
      <c r="BJ12" s="55"/>
      <c r="BK12" s="13"/>
      <c r="BL12" s="13"/>
      <c r="BM12" s="13"/>
      <c r="BN12" s="13"/>
      <c r="BO12" s="13"/>
      <c r="BP12" s="52"/>
      <c r="BQ12" s="55"/>
      <c r="BR12" s="52"/>
      <c r="BS12" s="52"/>
      <c r="BT12" s="52"/>
      <c r="BU12" s="52"/>
      <c r="BV12" s="52"/>
      <c r="BW12" s="13"/>
      <c r="BX12" s="55"/>
      <c r="BY12" s="13"/>
      <c r="BZ12" s="13"/>
      <c r="CA12" s="13"/>
      <c r="CB12" s="13"/>
      <c r="CC12" s="13"/>
      <c r="CD12" s="52"/>
      <c r="CE12" s="55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4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5"/>
      <c r="BD13" s="52"/>
      <c r="BE13" s="52"/>
      <c r="BF13" s="52"/>
      <c r="BG13" s="52"/>
      <c r="BH13" s="52"/>
      <c r="BI13" s="13"/>
      <c r="BJ13" s="55"/>
      <c r="BK13" s="13"/>
      <c r="BL13" s="13"/>
      <c r="BM13" s="13"/>
      <c r="BN13" s="13"/>
      <c r="BO13" s="13"/>
      <c r="BP13" s="52"/>
      <c r="BQ13" s="55"/>
      <c r="BR13" s="52"/>
      <c r="BS13" s="52"/>
      <c r="BT13" s="52"/>
      <c r="BU13" s="52"/>
      <c r="BV13" s="52"/>
      <c r="BW13" s="13"/>
      <c r="BX13" s="55"/>
      <c r="BY13" s="13"/>
      <c r="BZ13" s="13"/>
      <c r="CA13" s="13"/>
      <c r="CB13" s="13"/>
      <c r="CC13" s="13"/>
      <c r="CD13" s="52"/>
      <c r="CE13" s="55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5"/>
      <c r="BD14" s="52"/>
      <c r="BE14" s="52"/>
      <c r="BF14" s="52"/>
      <c r="BG14" s="52"/>
      <c r="BH14" s="52"/>
      <c r="BI14" s="13"/>
      <c r="BJ14" s="55"/>
      <c r="BK14" s="13"/>
      <c r="BL14" s="13"/>
      <c r="BM14" s="13"/>
      <c r="BN14" s="13"/>
      <c r="BO14" s="13"/>
      <c r="BP14" s="52"/>
      <c r="BQ14" s="55"/>
      <c r="BR14" s="52"/>
      <c r="BS14" s="52"/>
      <c r="BT14" s="52"/>
      <c r="BU14" s="52"/>
      <c r="BV14" s="52"/>
      <c r="BW14" s="13"/>
      <c r="BX14" s="55"/>
      <c r="BY14" s="13"/>
      <c r="BZ14" s="13"/>
      <c r="CA14" s="13"/>
      <c r="CB14" s="13"/>
      <c r="CC14" s="13"/>
      <c r="CD14" s="52"/>
      <c r="CE14" s="55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4">
        <v>1.0</v>
      </c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3">
        <v>1.0</v>
      </c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3">
        <v>1.0</v>
      </c>
      <c r="AP15" s="52"/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5"/>
      <c r="BD15" s="53">
        <v>1.0</v>
      </c>
      <c r="BE15" s="52"/>
      <c r="BF15" s="52"/>
      <c r="BG15" s="52"/>
      <c r="BH15" s="52"/>
      <c r="BI15" s="13"/>
      <c r="BJ15" s="55"/>
      <c r="BK15" s="13"/>
      <c r="BL15" s="13"/>
      <c r="BM15" s="13"/>
      <c r="BN15" s="13"/>
      <c r="BO15" s="13"/>
      <c r="BP15" s="52"/>
      <c r="BQ15" s="55"/>
      <c r="BR15" s="52"/>
      <c r="BS15" s="52"/>
      <c r="BT15" s="52"/>
      <c r="BU15" s="52"/>
      <c r="BV15" s="52"/>
      <c r="BW15" s="13"/>
      <c r="BX15" s="55"/>
      <c r="BY15" s="13"/>
      <c r="BZ15" s="13"/>
      <c r="CA15" s="13"/>
      <c r="CB15" s="13"/>
      <c r="CC15" s="13"/>
      <c r="CD15" s="52"/>
      <c r="CE15" s="55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3</v>
      </c>
      <c r="CM15" s="56">
        <f t="shared" si="10"/>
        <v>1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3"/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5"/>
      <c r="BD16" s="52"/>
      <c r="BE16" s="52"/>
      <c r="BF16" s="52"/>
      <c r="BG16" s="52"/>
      <c r="BH16" s="52"/>
      <c r="BI16" s="13"/>
      <c r="BJ16" s="55"/>
      <c r="BK16" s="13"/>
      <c r="BL16" s="13"/>
      <c r="BM16" s="13"/>
      <c r="BN16" s="13"/>
      <c r="BO16" s="13"/>
      <c r="BP16" s="52"/>
      <c r="BQ16" s="55"/>
      <c r="BR16" s="52"/>
      <c r="BS16" s="52"/>
      <c r="BT16" s="52"/>
      <c r="BU16" s="52"/>
      <c r="BV16" s="52"/>
      <c r="BW16" s="13"/>
      <c r="BX16" s="55"/>
      <c r="BY16" s="13"/>
      <c r="BZ16" s="13"/>
      <c r="CA16" s="13"/>
      <c r="CB16" s="13"/>
      <c r="CC16" s="13"/>
      <c r="CD16" s="52"/>
      <c r="CE16" s="55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0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5"/>
      <c r="BD17" s="52"/>
      <c r="BE17" s="52"/>
      <c r="BF17" s="52"/>
      <c r="BG17" s="52"/>
      <c r="BH17" s="52"/>
      <c r="BI17" s="13"/>
      <c r="BJ17" s="55"/>
      <c r="BK17" s="13"/>
      <c r="BL17" s="13"/>
      <c r="BM17" s="13"/>
      <c r="BN17" s="13"/>
      <c r="BO17" s="13"/>
      <c r="BP17" s="52"/>
      <c r="BQ17" s="55"/>
      <c r="BR17" s="52"/>
      <c r="BS17" s="52"/>
      <c r="BT17" s="52"/>
      <c r="BU17" s="52"/>
      <c r="BV17" s="52"/>
      <c r="BW17" s="13"/>
      <c r="BX17" s="55"/>
      <c r="BY17" s="13"/>
      <c r="BZ17" s="13"/>
      <c r="CA17" s="13"/>
      <c r="CB17" s="13"/>
      <c r="CC17" s="13"/>
      <c r="CD17" s="52"/>
      <c r="CE17" s="55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5"/>
      <c r="BD18" s="52"/>
      <c r="BE18" s="52"/>
      <c r="BF18" s="52"/>
      <c r="BG18" s="52"/>
      <c r="BH18" s="52"/>
      <c r="BI18" s="13"/>
      <c r="BJ18" s="55"/>
      <c r="BK18" s="13"/>
      <c r="BL18" s="13"/>
      <c r="BM18" s="13"/>
      <c r="BN18" s="13"/>
      <c r="BO18" s="13"/>
      <c r="BP18" s="52"/>
      <c r="BQ18" s="55"/>
      <c r="BR18" s="52"/>
      <c r="BS18" s="52"/>
      <c r="BT18" s="52"/>
      <c r="BU18" s="52"/>
      <c r="BV18" s="52"/>
      <c r="BW18" s="13"/>
      <c r="BX18" s="55"/>
      <c r="BY18" s="13"/>
      <c r="BZ18" s="13"/>
      <c r="CA18" s="13"/>
      <c r="CB18" s="13"/>
      <c r="CC18" s="13"/>
      <c r="CD18" s="52"/>
      <c r="CE18" s="55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5"/>
      <c r="BD19" s="52"/>
      <c r="BE19" s="52"/>
      <c r="BF19" s="52"/>
      <c r="BG19" s="52"/>
      <c r="BH19" s="52"/>
      <c r="BI19" s="13"/>
      <c r="BJ19" s="55"/>
      <c r="BK19" s="13"/>
      <c r="BL19" s="13"/>
      <c r="BM19" s="13"/>
      <c r="BN19" s="13"/>
      <c r="BO19" s="13"/>
      <c r="BP19" s="52"/>
      <c r="BQ19" s="55"/>
      <c r="BR19" s="52"/>
      <c r="BS19" s="52"/>
      <c r="BT19" s="52"/>
      <c r="BU19" s="52"/>
      <c r="BV19" s="52"/>
      <c r="BW19" s="13"/>
      <c r="BX19" s="55"/>
      <c r="BY19" s="13"/>
      <c r="BZ19" s="13"/>
      <c r="CA19" s="13"/>
      <c r="CB19" s="13"/>
      <c r="CC19" s="13"/>
      <c r="CD19" s="52"/>
      <c r="CE19" s="55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5"/>
      <c r="BD20" s="52"/>
      <c r="BE20" s="52"/>
      <c r="BF20" s="52"/>
      <c r="BG20" s="52"/>
      <c r="BH20" s="52"/>
      <c r="BI20" s="13"/>
      <c r="BJ20" s="55"/>
      <c r="BK20" s="13"/>
      <c r="BL20" s="13"/>
      <c r="BM20" s="13"/>
      <c r="BN20" s="13"/>
      <c r="BO20" s="13"/>
      <c r="BP20" s="52"/>
      <c r="BQ20" s="55"/>
      <c r="BR20" s="52"/>
      <c r="BS20" s="52"/>
      <c r="BT20" s="52"/>
      <c r="BU20" s="52"/>
      <c r="BV20" s="52"/>
      <c r="BW20" s="13"/>
      <c r="BX20" s="55"/>
      <c r="BY20" s="13"/>
      <c r="BZ20" s="13"/>
      <c r="CA20" s="13"/>
      <c r="CB20" s="13"/>
      <c r="CC20" s="13"/>
      <c r="CD20" s="52"/>
      <c r="CE20" s="55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5"/>
      <c r="BD21" s="52"/>
      <c r="BE21" s="52"/>
      <c r="BF21" s="52"/>
      <c r="BG21" s="52"/>
      <c r="BH21" s="52"/>
      <c r="BI21" s="13"/>
      <c r="BJ21" s="55"/>
      <c r="BK21" s="13"/>
      <c r="BL21" s="13"/>
      <c r="BM21" s="13"/>
      <c r="BN21" s="13"/>
      <c r="BO21" s="13"/>
      <c r="BP21" s="52"/>
      <c r="BQ21" s="55"/>
      <c r="BR21" s="52"/>
      <c r="BS21" s="52"/>
      <c r="BT21" s="52"/>
      <c r="BU21" s="52"/>
      <c r="BV21" s="52"/>
      <c r="BW21" s="13"/>
      <c r="BX21" s="55"/>
      <c r="BY21" s="13"/>
      <c r="BZ21" s="13"/>
      <c r="CA21" s="13"/>
      <c r="CB21" s="13"/>
      <c r="CC21" s="13"/>
      <c r="CD21" s="52"/>
      <c r="CE21" s="55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5"/>
      <c r="BD22" s="52"/>
      <c r="BE22" s="52"/>
      <c r="BF22" s="52"/>
      <c r="BG22" s="52"/>
      <c r="BH22" s="52"/>
      <c r="BI22" s="13"/>
      <c r="BJ22" s="55"/>
      <c r="BK22" s="13"/>
      <c r="BL22" s="13"/>
      <c r="BM22" s="13"/>
      <c r="BN22" s="13"/>
      <c r="BO22" s="13"/>
      <c r="BP22" s="52"/>
      <c r="BQ22" s="55"/>
      <c r="BR22" s="52"/>
      <c r="BS22" s="52"/>
      <c r="BT22" s="52"/>
      <c r="BU22" s="52"/>
      <c r="BV22" s="52"/>
      <c r="BW22" s="13"/>
      <c r="BX22" s="55"/>
      <c r="BY22" s="13"/>
      <c r="BZ22" s="13"/>
      <c r="CA22" s="13"/>
      <c r="CB22" s="13"/>
      <c r="CC22" s="13"/>
      <c r="CD22" s="52"/>
      <c r="CE22" s="55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5"/>
      <c r="BD23" s="52"/>
      <c r="BE23" s="52"/>
      <c r="BF23" s="52"/>
      <c r="BG23" s="52"/>
      <c r="BH23" s="52"/>
      <c r="BI23" s="13"/>
      <c r="BJ23" s="55"/>
      <c r="BK23" s="13"/>
      <c r="BL23" s="13"/>
      <c r="BM23" s="13"/>
      <c r="BN23" s="13"/>
      <c r="BO23" s="13"/>
      <c r="BP23" s="52"/>
      <c r="BQ23" s="55"/>
      <c r="BR23" s="52"/>
      <c r="BS23" s="52"/>
      <c r="BT23" s="52"/>
      <c r="BU23" s="52"/>
      <c r="BV23" s="52"/>
      <c r="BW23" s="13"/>
      <c r="BX23" s="55"/>
      <c r="BY23" s="13"/>
      <c r="BZ23" s="13"/>
      <c r="CA23" s="13"/>
      <c r="CB23" s="13"/>
      <c r="CC23" s="13"/>
      <c r="CD23" s="52"/>
      <c r="CE23" s="55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5"/>
      <c r="BD24" s="52"/>
      <c r="BE24" s="52"/>
      <c r="BF24" s="52"/>
      <c r="BG24" s="52"/>
      <c r="BH24" s="52"/>
      <c r="BI24" s="13"/>
      <c r="BJ24" s="55"/>
      <c r="BK24" s="13"/>
      <c r="BL24" s="13"/>
      <c r="BM24" s="13"/>
      <c r="BN24" s="13"/>
      <c r="BO24" s="13"/>
      <c r="BP24" s="52"/>
      <c r="BQ24" s="55"/>
      <c r="BR24" s="52"/>
      <c r="BS24" s="52"/>
      <c r="BT24" s="52"/>
      <c r="BU24" s="52"/>
      <c r="BV24" s="52"/>
      <c r="BW24" s="13"/>
      <c r="BX24" s="55"/>
      <c r="BY24" s="13"/>
      <c r="BZ24" s="13"/>
      <c r="CA24" s="13"/>
      <c r="CB24" s="13"/>
      <c r="CC24" s="13"/>
      <c r="CD24" s="52"/>
      <c r="CE24" s="55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0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5"/>
      <c r="BD25" s="52"/>
      <c r="BE25" s="52"/>
      <c r="BF25" s="52"/>
      <c r="BG25" s="52"/>
      <c r="BH25" s="52"/>
      <c r="BI25" s="13"/>
      <c r="BJ25" s="55"/>
      <c r="BK25" s="13"/>
      <c r="BL25" s="13"/>
      <c r="BM25" s="13"/>
      <c r="BN25" s="13"/>
      <c r="BO25" s="13"/>
      <c r="BP25" s="52"/>
      <c r="BQ25" s="55"/>
      <c r="BR25" s="52"/>
      <c r="BS25" s="52"/>
      <c r="BT25" s="52"/>
      <c r="BU25" s="52"/>
      <c r="BV25" s="52"/>
      <c r="BW25" s="13"/>
      <c r="BX25" s="55"/>
      <c r="BY25" s="13"/>
      <c r="BZ25" s="13"/>
      <c r="CA25" s="13"/>
      <c r="CB25" s="13"/>
      <c r="CC25" s="13"/>
      <c r="CD25" s="52"/>
      <c r="CE25" s="55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5"/>
      <c r="BD26" s="52"/>
      <c r="BE26" s="52"/>
      <c r="BF26" s="52"/>
      <c r="BG26" s="52"/>
      <c r="BH26" s="52"/>
      <c r="BI26" s="13"/>
      <c r="BJ26" s="55"/>
      <c r="BK26" s="13"/>
      <c r="BL26" s="13"/>
      <c r="BM26" s="13"/>
      <c r="BN26" s="13"/>
      <c r="BO26" s="13"/>
      <c r="BP26" s="52"/>
      <c r="BQ26" s="55"/>
      <c r="BR26" s="52"/>
      <c r="BS26" s="52"/>
      <c r="BT26" s="52"/>
      <c r="BU26" s="52"/>
      <c r="BV26" s="52"/>
      <c r="BW26" s="13"/>
      <c r="BX26" s="55"/>
      <c r="BY26" s="13"/>
      <c r="BZ26" s="13"/>
      <c r="CA26" s="13"/>
      <c r="CB26" s="13"/>
      <c r="CC26" s="13"/>
      <c r="CD26" s="52"/>
      <c r="CE26" s="55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5"/>
      <c r="BD27" s="52"/>
      <c r="BE27" s="52"/>
      <c r="BF27" s="52"/>
      <c r="BG27" s="52"/>
      <c r="BH27" s="52"/>
      <c r="BI27" s="13"/>
      <c r="BJ27" s="55"/>
      <c r="BK27" s="13"/>
      <c r="BL27" s="13"/>
      <c r="BM27" s="13"/>
      <c r="BN27" s="13"/>
      <c r="BO27" s="13"/>
      <c r="BP27" s="52"/>
      <c r="BQ27" s="55"/>
      <c r="BR27" s="52"/>
      <c r="BS27" s="52"/>
      <c r="BT27" s="52"/>
      <c r="BU27" s="52"/>
      <c r="BV27" s="52"/>
      <c r="BW27" s="13"/>
      <c r="BX27" s="55"/>
      <c r="BY27" s="13"/>
      <c r="BZ27" s="13"/>
      <c r="CA27" s="13"/>
      <c r="CB27" s="13"/>
      <c r="CC27" s="13"/>
      <c r="CD27" s="52"/>
      <c r="CE27" s="55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3"/>
      <c r="G28" s="13"/>
      <c r="H28" s="13"/>
      <c r="I28" s="35"/>
      <c r="J28" s="35"/>
      <c r="K28" s="35"/>
      <c r="L28" s="52"/>
      <c r="M28" s="52"/>
      <c r="N28" s="52"/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2"/>
      <c r="AB28" s="52"/>
      <c r="AC28" s="52"/>
      <c r="AD28" s="58"/>
      <c r="AE28" s="58"/>
      <c r="AF28" s="58"/>
      <c r="AG28" s="13"/>
      <c r="AH28" s="13"/>
      <c r="AI28" s="13"/>
      <c r="AJ28" s="13"/>
      <c r="AK28" s="35"/>
      <c r="AL28" s="35"/>
      <c r="AM28" s="35"/>
      <c r="AN28" s="52"/>
      <c r="AO28" s="52"/>
      <c r="AP28" s="52"/>
      <c r="AQ28" s="52"/>
      <c r="AR28" s="58"/>
      <c r="AS28" s="58"/>
      <c r="AT28" s="58"/>
      <c r="AU28" s="13"/>
      <c r="AV28" s="13"/>
      <c r="AW28" s="13"/>
      <c r="AX28" s="13"/>
      <c r="AY28" s="35"/>
      <c r="AZ28" s="35"/>
      <c r="BA28" s="35"/>
      <c r="BB28" s="52"/>
      <c r="BC28" s="55"/>
      <c r="BD28" s="52"/>
      <c r="BE28" s="52"/>
      <c r="BF28" s="58"/>
      <c r="BG28" s="58"/>
      <c r="BH28" s="58"/>
      <c r="BI28" s="13"/>
      <c r="BJ28" s="55"/>
      <c r="BK28" s="13"/>
      <c r="BL28" s="13"/>
      <c r="BM28" s="35"/>
      <c r="BN28" s="35"/>
      <c r="BO28" s="35"/>
      <c r="BP28" s="52"/>
      <c r="BQ28" s="55"/>
      <c r="BR28" s="52"/>
      <c r="BS28" s="52"/>
      <c r="BT28" s="58"/>
      <c r="BU28" s="58"/>
      <c r="BV28" s="58"/>
      <c r="BW28" s="13"/>
      <c r="BX28" s="55"/>
      <c r="BY28" s="13"/>
      <c r="BZ28" s="13"/>
      <c r="CA28" s="35"/>
      <c r="CB28" s="35"/>
      <c r="CC28" s="35"/>
      <c r="CD28" s="52"/>
      <c r="CE28" s="55"/>
      <c r="CF28" s="52"/>
      <c r="CG28" s="52"/>
      <c r="CH28" s="58"/>
      <c r="CI28" s="58"/>
      <c r="CJ28" s="58"/>
      <c r="CK28" s="56">
        <f t="shared" ref="CK28:CQ28" si="23">SUM(E28,L28,S28,Z28,AG28,AN28,AU28,BB28,BI28,BP28,BW28,CD28)</f>
        <v>0</v>
      </c>
      <c r="CL28" s="56">
        <f t="shared" si="23"/>
        <v>0</v>
      </c>
      <c r="CM28" s="56">
        <f t="shared" si="23"/>
        <v>0</v>
      </c>
      <c r="CN28" s="56">
        <f t="shared" si="23"/>
        <v>0</v>
      </c>
      <c r="CO28" s="56">
        <f t="shared" si="23"/>
        <v>0</v>
      </c>
      <c r="CP28" s="56">
        <f t="shared" si="23"/>
        <v>0</v>
      </c>
      <c r="CQ28" s="56">
        <f t="shared" si="23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3"/>
      <c r="F29" s="14">
        <v>1.0</v>
      </c>
      <c r="G29" s="13"/>
      <c r="H29" s="13"/>
      <c r="I29" s="35"/>
      <c r="J29" s="35"/>
      <c r="K29" s="35"/>
      <c r="L29" s="52"/>
      <c r="M29" s="52"/>
      <c r="N29" s="52"/>
      <c r="O29" s="52"/>
      <c r="P29" s="58"/>
      <c r="Q29" s="58"/>
      <c r="R29" s="58"/>
      <c r="S29" s="13"/>
      <c r="T29" s="13"/>
      <c r="U29" s="13"/>
      <c r="V29" s="13"/>
      <c r="W29" s="35"/>
      <c r="X29" s="35"/>
      <c r="Y29" s="35"/>
      <c r="Z29" s="52"/>
      <c r="AA29" s="52"/>
      <c r="AB29" s="52"/>
      <c r="AC29" s="52"/>
      <c r="AD29" s="58"/>
      <c r="AE29" s="58"/>
      <c r="AF29" s="58"/>
      <c r="AG29" s="13"/>
      <c r="AH29" s="14">
        <v>2.0</v>
      </c>
      <c r="AI29" s="13"/>
      <c r="AJ29" s="13"/>
      <c r="AK29" s="35"/>
      <c r="AL29" s="35"/>
      <c r="AM29" s="35"/>
      <c r="AN29" s="52"/>
      <c r="AO29" s="52"/>
      <c r="AP29" s="52"/>
      <c r="AQ29" s="52"/>
      <c r="AR29" s="58"/>
      <c r="AS29" s="58"/>
      <c r="AT29" s="58"/>
      <c r="AU29" s="13"/>
      <c r="AV29" s="13"/>
      <c r="AW29" s="13"/>
      <c r="AX29" s="13"/>
      <c r="AY29" s="35"/>
      <c r="AZ29" s="35"/>
      <c r="BA29" s="35"/>
      <c r="BB29" s="52"/>
      <c r="BC29" s="55"/>
      <c r="BD29" s="52"/>
      <c r="BE29" s="52"/>
      <c r="BF29" s="58"/>
      <c r="BG29" s="58"/>
      <c r="BH29" s="58"/>
      <c r="BI29" s="13"/>
      <c r="BJ29" s="55"/>
      <c r="BK29" s="13"/>
      <c r="BL29" s="13"/>
      <c r="BM29" s="35"/>
      <c r="BN29" s="35"/>
      <c r="BO29" s="35"/>
      <c r="BP29" s="52"/>
      <c r="BQ29" s="55"/>
      <c r="BR29" s="52"/>
      <c r="BS29" s="52"/>
      <c r="BT29" s="58"/>
      <c r="BU29" s="58"/>
      <c r="BV29" s="58"/>
      <c r="BW29" s="13"/>
      <c r="BX29" s="55"/>
      <c r="BY29" s="13"/>
      <c r="BZ29" s="13"/>
      <c r="CA29" s="35"/>
      <c r="CB29" s="35"/>
      <c r="CC29" s="35"/>
      <c r="CD29" s="52"/>
      <c r="CE29" s="55"/>
      <c r="CF29" s="52"/>
      <c r="CG29" s="52"/>
      <c r="CH29" s="58"/>
      <c r="CI29" s="58"/>
      <c r="CJ29" s="58"/>
      <c r="CK29" s="56">
        <f t="shared" ref="CK29:CQ29" si="24">SUM(E29,L29,S29,Z29,AG29,AN29,AU29,BB29,BI29,BP29,BW29,CD29)</f>
        <v>0</v>
      </c>
      <c r="CL29" s="56">
        <f t="shared" si="24"/>
        <v>3</v>
      </c>
      <c r="CM29" s="56">
        <f t="shared" si="24"/>
        <v>0</v>
      </c>
      <c r="CN29" s="56">
        <f t="shared" si="24"/>
        <v>0</v>
      </c>
      <c r="CO29" s="56">
        <f t="shared" si="24"/>
        <v>0</v>
      </c>
      <c r="CP29" s="56">
        <f t="shared" si="24"/>
        <v>0</v>
      </c>
      <c r="CQ29" s="56">
        <f t="shared" si="24"/>
        <v>0</v>
      </c>
    </row>
    <row r="30" ht="15.75" customHeight="1">
      <c r="A30" s="4"/>
      <c r="B30" s="60"/>
      <c r="C30" s="4"/>
      <c r="D30" s="4"/>
      <c r="E30" s="13">
        <f t="shared" ref="E30:Z30" si="25">SUM(E6:E27)</f>
        <v>0</v>
      </c>
      <c r="F30" s="13">
        <f t="shared" si="25"/>
        <v>51</v>
      </c>
      <c r="G30" s="13">
        <f t="shared" si="25"/>
        <v>50</v>
      </c>
      <c r="H30" s="13">
        <f t="shared" si="25"/>
        <v>0</v>
      </c>
      <c r="I30" s="17">
        <f t="shared" si="25"/>
        <v>0</v>
      </c>
      <c r="J30" s="17">
        <f t="shared" si="25"/>
        <v>0</v>
      </c>
      <c r="K30" s="17">
        <f t="shared" si="25"/>
        <v>0</v>
      </c>
      <c r="L30" s="52">
        <f t="shared" si="25"/>
        <v>0</v>
      </c>
      <c r="M30" s="52">
        <f t="shared" si="25"/>
        <v>50</v>
      </c>
      <c r="N30" s="52">
        <f t="shared" si="25"/>
        <v>0</v>
      </c>
      <c r="O30" s="52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13">
        <f t="shared" si="25"/>
        <v>0</v>
      </c>
      <c r="T30" s="13">
        <f t="shared" si="25"/>
        <v>80</v>
      </c>
      <c r="U30" s="13">
        <f t="shared" si="25"/>
        <v>0</v>
      </c>
      <c r="V30" s="13">
        <f t="shared" si="25"/>
        <v>0</v>
      </c>
      <c r="W30" s="17">
        <f t="shared" si="25"/>
        <v>0</v>
      </c>
      <c r="X30" s="17">
        <f t="shared" si="25"/>
        <v>0</v>
      </c>
      <c r="Y30" s="17">
        <f t="shared" si="25"/>
        <v>0</v>
      </c>
      <c r="Z30" s="52">
        <f t="shared" si="25"/>
        <v>0</v>
      </c>
      <c r="AA30" s="52">
        <f>SUM(AA6:AA29)</f>
        <v>71</v>
      </c>
      <c r="AB30" s="52">
        <f t="shared" ref="AB30:AG30" si="26">SUM(AB6:AB27)</f>
        <v>70</v>
      </c>
      <c r="AC30" s="52">
        <f t="shared" si="26"/>
        <v>0</v>
      </c>
      <c r="AD30" s="61">
        <f t="shared" si="26"/>
        <v>0</v>
      </c>
      <c r="AE30" s="61">
        <f t="shared" si="26"/>
        <v>0</v>
      </c>
      <c r="AF30" s="61">
        <f t="shared" si="26"/>
        <v>0</v>
      </c>
      <c r="AG30" s="13">
        <f t="shared" si="26"/>
        <v>0</v>
      </c>
      <c r="AH30" s="13">
        <f>SUM(AH6:AH29)</f>
        <v>12</v>
      </c>
      <c r="AI30" s="13">
        <f t="shared" ref="AI30:AN30" si="27">SUM(AI6:AI27)</f>
        <v>0</v>
      </c>
      <c r="AJ30" s="13">
        <f t="shared" si="27"/>
        <v>0</v>
      </c>
      <c r="AK30" s="17">
        <f t="shared" si="27"/>
        <v>0</v>
      </c>
      <c r="AL30" s="17">
        <f t="shared" si="27"/>
        <v>0</v>
      </c>
      <c r="AM30" s="17">
        <f t="shared" si="27"/>
        <v>0</v>
      </c>
      <c r="AN30" s="52">
        <f t="shared" si="27"/>
        <v>0</v>
      </c>
      <c r="AO30" s="52">
        <f>SUM(AO6:AO29)</f>
        <v>11</v>
      </c>
      <c r="AP30" s="52">
        <f t="shared" ref="AP30:AU30" si="28">SUM(AP6:AP27)</f>
        <v>0</v>
      </c>
      <c r="AQ30" s="52">
        <f t="shared" si="28"/>
        <v>0</v>
      </c>
      <c r="AR30" s="61">
        <f t="shared" si="28"/>
        <v>0</v>
      </c>
      <c r="AS30" s="61">
        <f t="shared" si="28"/>
        <v>0</v>
      </c>
      <c r="AT30" s="61">
        <f t="shared" si="28"/>
        <v>0</v>
      </c>
      <c r="AU30" s="13">
        <f t="shared" si="28"/>
        <v>0</v>
      </c>
      <c r="AV30" s="13">
        <f>SUM(AV6:AV29)</f>
        <v>30</v>
      </c>
      <c r="AW30" s="13">
        <f t="shared" ref="AW30:BB30" si="29">SUM(AW6:AW27)</f>
        <v>30</v>
      </c>
      <c r="AX30" s="13">
        <f t="shared" si="29"/>
        <v>0</v>
      </c>
      <c r="AY30" s="17">
        <f t="shared" si="29"/>
        <v>0</v>
      </c>
      <c r="AZ30" s="17">
        <f t="shared" si="29"/>
        <v>0</v>
      </c>
      <c r="BA30" s="17">
        <f t="shared" si="29"/>
        <v>0</v>
      </c>
      <c r="BB30" s="52">
        <f t="shared" si="29"/>
        <v>0</v>
      </c>
      <c r="BC30" s="52">
        <f>SUM(BC6:BC29)</f>
        <v>30</v>
      </c>
      <c r="BD30" s="52">
        <f t="shared" ref="BD30:BI30" si="30">SUM(BD6:BD27)</f>
        <v>31</v>
      </c>
      <c r="BE30" s="52">
        <f t="shared" si="30"/>
        <v>0</v>
      </c>
      <c r="BF30" s="61">
        <f t="shared" si="30"/>
        <v>0</v>
      </c>
      <c r="BG30" s="61">
        <f t="shared" si="30"/>
        <v>0</v>
      </c>
      <c r="BH30" s="61">
        <f t="shared" si="30"/>
        <v>0</v>
      </c>
      <c r="BI30" s="13">
        <f t="shared" si="30"/>
        <v>0</v>
      </c>
      <c r="BJ30" s="13">
        <f>SUM(BJ6:BJ29)</f>
        <v>30</v>
      </c>
      <c r="BK30" s="13">
        <f t="shared" ref="BK30:BP30" si="31">SUM(BK6:BK27)</f>
        <v>0</v>
      </c>
      <c r="BL30" s="13">
        <f t="shared" si="31"/>
        <v>0</v>
      </c>
      <c r="BM30" s="17">
        <f t="shared" si="31"/>
        <v>0</v>
      </c>
      <c r="BN30" s="17">
        <f t="shared" si="31"/>
        <v>0</v>
      </c>
      <c r="BO30" s="17">
        <f t="shared" si="31"/>
        <v>0</v>
      </c>
      <c r="BP30" s="52">
        <f t="shared" si="31"/>
        <v>0</v>
      </c>
      <c r="BQ30" s="52">
        <f>SUM(BQ6:BQ29)</f>
        <v>0</v>
      </c>
      <c r="BR30" s="52">
        <f t="shared" ref="BR30:BW30" si="32">SUM(BR6:BR27)</f>
        <v>0</v>
      </c>
      <c r="BS30" s="52">
        <f t="shared" si="32"/>
        <v>0</v>
      </c>
      <c r="BT30" s="61">
        <f t="shared" si="32"/>
        <v>0</v>
      </c>
      <c r="BU30" s="61">
        <f t="shared" si="32"/>
        <v>0</v>
      </c>
      <c r="BV30" s="61">
        <f t="shared" si="32"/>
        <v>0</v>
      </c>
      <c r="BW30" s="13">
        <f t="shared" si="32"/>
        <v>0</v>
      </c>
      <c r="BX30" s="13">
        <f>SUM(BX6:BX29)</f>
        <v>0</v>
      </c>
      <c r="BY30" s="13">
        <f t="shared" ref="BY30:CD30" si="33">SUM(BY6:BY27)</f>
        <v>0</v>
      </c>
      <c r="BZ30" s="13">
        <f t="shared" si="33"/>
        <v>0</v>
      </c>
      <c r="CA30" s="17">
        <f t="shared" si="33"/>
        <v>0</v>
      </c>
      <c r="CB30" s="17">
        <f t="shared" si="33"/>
        <v>0</v>
      </c>
      <c r="CC30" s="17">
        <f t="shared" si="33"/>
        <v>0</v>
      </c>
      <c r="CD30" s="52">
        <f t="shared" si="33"/>
        <v>0</v>
      </c>
      <c r="CE30" s="52">
        <f>SUM(CE6:CE29)</f>
        <v>0</v>
      </c>
      <c r="CF30" s="52">
        <f t="shared" ref="CF30:CK30" si="34">SUM(CF6:CF27)</f>
        <v>0</v>
      </c>
      <c r="CG30" s="52">
        <f t="shared" si="34"/>
        <v>0</v>
      </c>
      <c r="CH30" s="61">
        <f t="shared" si="34"/>
        <v>0</v>
      </c>
      <c r="CI30" s="61">
        <f t="shared" si="34"/>
        <v>0</v>
      </c>
      <c r="CJ30" s="61">
        <f t="shared" si="34"/>
        <v>0</v>
      </c>
      <c r="CK30" s="62">
        <f t="shared" si="34"/>
        <v>0</v>
      </c>
      <c r="CL30" s="62">
        <f>SUM(CL6:CL29)</f>
        <v>366</v>
      </c>
      <c r="CM30" s="62">
        <f t="shared" ref="CM30:CQ30" si="35">SUM(CM6:CM27)</f>
        <v>181</v>
      </c>
      <c r="CN30" s="62">
        <f t="shared" si="35"/>
        <v>0</v>
      </c>
      <c r="CO30" s="62">
        <f t="shared" si="35"/>
        <v>0</v>
      </c>
      <c r="CP30" s="62">
        <f t="shared" si="35"/>
        <v>0</v>
      </c>
      <c r="CQ30" s="62">
        <f t="shared" si="35"/>
        <v>0</v>
      </c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63"/>
      <c r="CH31" s="40"/>
      <c r="CI31" s="40"/>
      <c r="CJ31" s="40"/>
      <c r="CK31" s="4"/>
      <c r="CL31" s="4"/>
      <c r="CM31" s="4"/>
      <c r="CN31" s="4"/>
      <c r="CO31" s="40"/>
      <c r="CP31" s="40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17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1:CG31"/>
    <mergeCell ref="CE32:CG32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29">
    <cfRule type="cellIs" dxfId="0" priority="1" operator="greaterThan">
      <formula>0</formula>
    </cfRule>
  </conditionalFormatting>
  <conditionalFormatting sqref="W6:Y29">
    <cfRule type="cellIs" dxfId="0" priority="2" operator="greaterThan">
      <formula>0</formula>
    </cfRule>
  </conditionalFormatting>
  <conditionalFormatting sqref="AY6:BA29">
    <cfRule type="cellIs" dxfId="0" priority="3" operator="greaterThan">
      <formula>0</formula>
    </cfRule>
  </conditionalFormatting>
  <conditionalFormatting sqref="CA6:CC29">
    <cfRule type="cellIs" dxfId="0" priority="4" operator="greaterThan">
      <formula>0</formula>
    </cfRule>
  </conditionalFormatting>
  <conditionalFormatting sqref="AD6:AF29">
    <cfRule type="cellIs" dxfId="0" priority="5" operator="greaterThan">
      <formula>0</formula>
    </cfRule>
  </conditionalFormatting>
  <conditionalFormatting sqref="AR6:AT29">
    <cfRule type="cellIs" dxfId="0" priority="6" operator="greaterThan">
      <formula>0</formula>
    </cfRule>
  </conditionalFormatting>
  <conditionalFormatting sqref="BF6:BH29">
    <cfRule type="cellIs" dxfId="0" priority="7" operator="greaterThan">
      <formula>0</formula>
    </cfRule>
  </conditionalFormatting>
  <conditionalFormatting sqref="BT6:BV29">
    <cfRule type="cellIs" dxfId="0" priority="8" operator="greaterThan">
      <formula>0</formula>
    </cfRule>
  </conditionalFormatting>
  <conditionalFormatting sqref="CH6:CJ29">
    <cfRule type="cellIs" dxfId="0" priority="9" operator="greaterThan">
      <formula>0</formula>
    </cfRule>
  </conditionalFormatting>
  <conditionalFormatting sqref="P6:R29">
    <cfRule type="cellIs" dxfId="0" priority="10" operator="greaterThan">
      <formula>0</formula>
    </cfRule>
  </conditionalFormatting>
  <conditionalFormatting sqref="AK6:AM29">
    <cfRule type="cellIs" dxfId="0" priority="11" operator="greaterThan">
      <formula>0</formula>
    </cfRule>
  </conditionalFormatting>
  <conditionalFormatting sqref="BM6:BO29">
    <cfRule type="cellIs" dxfId="0" priority="12" operator="greaterThan">
      <formula>0</formula>
    </cfRule>
  </conditionalFormatting>
  <conditionalFormatting sqref="E6:H30 L6:O30 S6:V30 AG6:AJ30 AU6:AX30 BI6:BL30 BW6:BZ30">
    <cfRule type="cellIs" dxfId="0" priority="13" operator="greaterThan">
      <formula>0</formula>
    </cfRule>
  </conditionalFormatting>
  <conditionalFormatting sqref="Z6:AC30">
    <cfRule type="cellIs" dxfId="0" priority="14" operator="greaterThan">
      <formula>0</formula>
    </cfRule>
  </conditionalFormatting>
  <conditionalFormatting sqref="AN6:AQ30">
    <cfRule type="cellIs" dxfId="0" priority="15" operator="greaterThan">
      <formula>0</formula>
    </cfRule>
  </conditionalFormatting>
  <conditionalFormatting sqref="BB6:BE30">
    <cfRule type="cellIs" dxfId="0" priority="16" operator="greaterThan">
      <formula>0</formula>
    </cfRule>
  </conditionalFormatting>
  <conditionalFormatting sqref="BP6:BS30">
    <cfRule type="cellIs" dxfId="0" priority="17" operator="greaterThan">
      <formula>0</formula>
    </cfRule>
  </conditionalFormatting>
  <conditionalFormatting sqref="CD6:CG30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6" t="s">
        <v>0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3"/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3"/>
      <c r="U6" s="13"/>
      <c r="V6" s="13"/>
      <c r="W6" s="13"/>
      <c r="X6" s="13"/>
      <c r="Y6" s="13"/>
      <c r="Z6" s="52"/>
      <c r="AA6" s="53">
        <v>20.0</v>
      </c>
      <c r="AB6" s="52"/>
      <c r="AC6" s="52"/>
      <c r="AD6" s="52"/>
      <c r="AE6" s="52"/>
      <c r="AF6" s="52"/>
      <c r="AG6" s="13"/>
      <c r="AH6" s="13"/>
      <c r="AI6" s="13"/>
      <c r="AJ6" s="13"/>
      <c r="AK6" s="13"/>
      <c r="AL6" s="13"/>
      <c r="AM6" s="13"/>
      <c r="AN6" s="52"/>
      <c r="AO6" s="53">
        <v>10.0</v>
      </c>
      <c r="AP6" s="52"/>
      <c r="AQ6" s="52"/>
      <c r="AR6" s="52"/>
      <c r="AS6" s="52"/>
      <c r="AT6" s="52"/>
      <c r="AU6" s="13"/>
      <c r="AV6" s="13"/>
      <c r="AW6" s="13"/>
      <c r="AX6" s="13"/>
      <c r="AY6" s="13"/>
      <c r="AZ6" s="13"/>
      <c r="BA6" s="13"/>
      <c r="BB6" s="52"/>
      <c r="BC6" s="53">
        <v>10.0</v>
      </c>
      <c r="BD6" s="52"/>
      <c r="BE6" s="52"/>
      <c r="BF6" s="52"/>
      <c r="BG6" s="52"/>
      <c r="BH6" s="52"/>
      <c r="BI6" s="13"/>
      <c r="BJ6" s="13"/>
      <c r="BK6" s="13"/>
      <c r="BL6" s="13"/>
      <c r="BM6" s="13"/>
      <c r="BN6" s="13"/>
      <c r="BO6" s="13"/>
      <c r="BP6" s="52"/>
      <c r="BQ6" s="52"/>
      <c r="BR6" s="52"/>
      <c r="BS6" s="52"/>
      <c r="BT6" s="52"/>
      <c r="BU6" s="52"/>
      <c r="BV6" s="52"/>
      <c r="BW6" s="13"/>
      <c r="BX6" s="13"/>
      <c r="BY6" s="13"/>
      <c r="BZ6" s="13"/>
      <c r="CA6" s="13"/>
      <c r="CB6" s="13"/>
      <c r="CC6" s="13"/>
      <c r="CD6" s="52"/>
      <c r="CE6" s="52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40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4">
        <v>10.0</v>
      </c>
      <c r="G7" s="14">
        <v>10.0</v>
      </c>
      <c r="H7" s="13"/>
      <c r="I7" s="13"/>
      <c r="J7" s="13"/>
      <c r="K7" s="13"/>
      <c r="L7" s="52"/>
      <c r="M7" s="53">
        <v>10.0</v>
      </c>
      <c r="N7" s="53">
        <v>10.0</v>
      </c>
      <c r="O7" s="52"/>
      <c r="P7" s="52"/>
      <c r="Q7" s="52"/>
      <c r="R7" s="52"/>
      <c r="S7" s="13"/>
      <c r="T7" s="14">
        <v>10.0</v>
      </c>
      <c r="U7" s="13"/>
      <c r="V7" s="13"/>
      <c r="W7" s="13"/>
      <c r="X7" s="13"/>
      <c r="Y7" s="13"/>
      <c r="Z7" s="52"/>
      <c r="AA7" s="53">
        <v>10.0</v>
      </c>
      <c r="AB7" s="53">
        <v>20.0</v>
      </c>
      <c r="AC7" s="52"/>
      <c r="AD7" s="52"/>
      <c r="AE7" s="52"/>
      <c r="AF7" s="52"/>
      <c r="AG7" s="13"/>
      <c r="AH7" s="14"/>
      <c r="AI7" s="13"/>
      <c r="AJ7" s="13"/>
      <c r="AK7" s="13"/>
      <c r="AL7" s="13"/>
      <c r="AM7" s="13"/>
      <c r="AN7" s="52"/>
      <c r="AO7" s="53">
        <v>10.0</v>
      </c>
      <c r="AP7" s="53">
        <v>10.0</v>
      </c>
      <c r="AQ7" s="52"/>
      <c r="AR7" s="52"/>
      <c r="AS7" s="52"/>
      <c r="AT7" s="52"/>
      <c r="AU7" s="13"/>
      <c r="AV7" s="14">
        <v>10.0</v>
      </c>
      <c r="AW7" s="14">
        <v>10.0</v>
      </c>
      <c r="AX7" s="13"/>
      <c r="AY7" s="13"/>
      <c r="AZ7" s="13"/>
      <c r="BA7" s="13"/>
      <c r="BB7" s="52"/>
      <c r="BC7" s="53">
        <v>10.0</v>
      </c>
      <c r="BD7" s="53">
        <v>10.0</v>
      </c>
      <c r="BE7" s="52"/>
      <c r="BF7" s="52"/>
      <c r="BG7" s="52"/>
      <c r="BH7" s="52"/>
      <c r="BI7" s="13"/>
      <c r="BJ7" s="14">
        <v>10.0</v>
      </c>
      <c r="BK7" s="13"/>
      <c r="BL7" s="13"/>
      <c r="BM7" s="13"/>
      <c r="BN7" s="13"/>
      <c r="BO7" s="13"/>
      <c r="BP7" s="52"/>
      <c r="BQ7" s="52"/>
      <c r="BR7" s="52"/>
      <c r="BS7" s="52"/>
      <c r="BT7" s="52"/>
      <c r="BU7" s="52"/>
      <c r="BV7" s="52"/>
      <c r="BW7" s="13"/>
      <c r="BX7" s="13"/>
      <c r="BY7" s="13"/>
      <c r="BZ7" s="13"/>
      <c r="CA7" s="13"/>
      <c r="CB7" s="13"/>
      <c r="CC7" s="13"/>
      <c r="CD7" s="52"/>
      <c r="CE7" s="52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80</v>
      </c>
      <c r="CM7" s="56">
        <f t="shared" si="2"/>
        <v>70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2"/>
      <c r="BD8" s="52"/>
      <c r="BE8" s="52"/>
      <c r="BF8" s="52"/>
      <c r="BG8" s="52"/>
      <c r="BH8" s="52"/>
      <c r="BI8" s="13"/>
      <c r="BJ8" s="13"/>
      <c r="BK8" s="13"/>
      <c r="BL8" s="13"/>
      <c r="BM8" s="13"/>
      <c r="BN8" s="13"/>
      <c r="BO8" s="13"/>
      <c r="BP8" s="52"/>
      <c r="BQ8" s="52"/>
      <c r="BR8" s="52"/>
      <c r="BS8" s="52"/>
      <c r="BT8" s="52"/>
      <c r="BU8" s="52"/>
      <c r="BV8" s="52"/>
      <c r="BW8" s="13"/>
      <c r="BX8" s="13"/>
      <c r="BY8" s="13"/>
      <c r="BZ8" s="13"/>
      <c r="CA8" s="13"/>
      <c r="CB8" s="13"/>
      <c r="CC8" s="13"/>
      <c r="CD8" s="52"/>
      <c r="CE8" s="52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2"/>
      <c r="BD9" s="52"/>
      <c r="BE9" s="52"/>
      <c r="BF9" s="52"/>
      <c r="BG9" s="52"/>
      <c r="BH9" s="52"/>
      <c r="BI9" s="13"/>
      <c r="BJ9" s="13"/>
      <c r="BK9" s="13"/>
      <c r="BL9" s="13"/>
      <c r="BM9" s="13"/>
      <c r="BN9" s="13"/>
      <c r="BO9" s="13"/>
      <c r="BP9" s="52"/>
      <c r="BQ9" s="52"/>
      <c r="BR9" s="52"/>
      <c r="BS9" s="52"/>
      <c r="BT9" s="52"/>
      <c r="BU9" s="52"/>
      <c r="BV9" s="52"/>
      <c r="BW9" s="13"/>
      <c r="BX9" s="13"/>
      <c r="BY9" s="13"/>
      <c r="BZ9" s="13"/>
      <c r="CA9" s="13"/>
      <c r="CB9" s="13"/>
      <c r="CC9" s="13"/>
      <c r="CD9" s="52"/>
      <c r="CE9" s="52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2"/>
      <c r="BD10" s="52"/>
      <c r="BE10" s="52"/>
      <c r="BF10" s="52"/>
      <c r="BG10" s="52"/>
      <c r="BH10" s="52"/>
      <c r="BI10" s="13"/>
      <c r="BJ10" s="13"/>
      <c r="BK10" s="13"/>
      <c r="BL10" s="13"/>
      <c r="BM10" s="13"/>
      <c r="BN10" s="13"/>
      <c r="BO10" s="13"/>
      <c r="BP10" s="52"/>
      <c r="BQ10" s="52"/>
      <c r="BR10" s="52"/>
      <c r="BS10" s="52"/>
      <c r="BT10" s="52"/>
      <c r="BU10" s="52"/>
      <c r="BV10" s="52"/>
      <c r="BW10" s="13"/>
      <c r="BX10" s="13"/>
      <c r="BY10" s="13"/>
      <c r="BZ10" s="13"/>
      <c r="CA10" s="13"/>
      <c r="CB10" s="13"/>
      <c r="CC10" s="13"/>
      <c r="CD10" s="52"/>
      <c r="CE10" s="52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3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2"/>
      <c r="BD11" s="52"/>
      <c r="BE11" s="52"/>
      <c r="BF11" s="52"/>
      <c r="BG11" s="52"/>
      <c r="BH11" s="52"/>
      <c r="BI11" s="13"/>
      <c r="BJ11" s="13"/>
      <c r="BK11" s="13"/>
      <c r="BL11" s="13"/>
      <c r="BM11" s="13"/>
      <c r="BN11" s="13"/>
      <c r="BO11" s="13"/>
      <c r="BP11" s="52"/>
      <c r="BQ11" s="52"/>
      <c r="BR11" s="52"/>
      <c r="BS11" s="52"/>
      <c r="BT11" s="52"/>
      <c r="BU11" s="52"/>
      <c r="BV11" s="52"/>
      <c r="BW11" s="13"/>
      <c r="BX11" s="13"/>
      <c r="BY11" s="13"/>
      <c r="BZ11" s="13"/>
      <c r="CA11" s="13"/>
      <c r="CB11" s="13"/>
      <c r="CC11" s="13"/>
      <c r="CD11" s="52"/>
      <c r="CE11" s="52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2"/>
      <c r="BD12" s="52"/>
      <c r="BE12" s="52"/>
      <c r="BF12" s="52"/>
      <c r="BG12" s="52"/>
      <c r="BH12" s="52"/>
      <c r="BI12" s="13"/>
      <c r="BJ12" s="13"/>
      <c r="BK12" s="13"/>
      <c r="BL12" s="13"/>
      <c r="BM12" s="13"/>
      <c r="BN12" s="13"/>
      <c r="BO12" s="13"/>
      <c r="BP12" s="52"/>
      <c r="BQ12" s="52"/>
      <c r="BR12" s="52"/>
      <c r="BS12" s="52"/>
      <c r="BT12" s="52"/>
      <c r="BU12" s="52"/>
      <c r="BV12" s="52"/>
      <c r="BW12" s="13"/>
      <c r="BX12" s="13"/>
      <c r="BY12" s="13"/>
      <c r="BZ12" s="13"/>
      <c r="CA12" s="13"/>
      <c r="CB12" s="13"/>
      <c r="CC12" s="13"/>
      <c r="CD12" s="52"/>
      <c r="CE12" s="52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2"/>
      <c r="BD13" s="52"/>
      <c r="BE13" s="52"/>
      <c r="BF13" s="52"/>
      <c r="BG13" s="52"/>
      <c r="BH13" s="52"/>
      <c r="BI13" s="13"/>
      <c r="BJ13" s="13"/>
      <c r="BK13" s="13"/>
      <c r="BL13" s="13"/>
      <c r="BM13" s="13"/>
      <c r="BN13" s="13"/>
      <c r="BO13" s="13"/>
      <c r="BP13" s="52"/>
      <c r="BQ13" s="52"/>
      <c r="BR13" s="52"/>
      <c r="BS13" s="52"/>
      <c r="BT13" s="52"/>
      <c r="BU13" s="52"/>
      <c r="BV13" s="52"/>
      <c r="BW13" s="13"/>
      <c r="BX13" s="13"/>
      <c r="BY13" s="13"/>
      <c r="BZ13" s="13"/>
      <c r="CA13" s="13"/>
      <c r="CB13" s="13"/>
      <c r="CC13" s="13"/>
      <c r="CD13" s="52"/>
      <c r="CE13" s="52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2"/>
      <c r="BD14" s="52"/>
      <c r="BE14" s="52"/>
      <c r="BF14" s="52"/>
      <c r="BG14" s="52"/>
      <c r="BH14" s="52"/>
      <c r="BI14" s="13"/>
      <c r="BJ14" s="13"/>
      <c r="BK14" s="13"/>
      <c r="BL14" s="13"/>
      <c r="BM14" s="13"/>
      <c r="BN14" s="13"/>
      <c r="BO14" s="13"/>
      <c r="BP14" s="52"/>
      <c r="BQ14" s="52"/>
      <c r="BR14" s="52"/>
      <c r="BS14" s="52"/>
      <c r="BT14" s="52"/>
      <c r="BU14" s="52"/>
      <c r="BV14" s="52"/>
      <c r="BW14" s="13"/>
      <c r="BX14" s="13"/>
      <c r="BY14" s="13"/>
      <c r="BZ14" s="13"/>
      <c r="CA14" s="13"/>
      <c r="CB14" s="13"/>
      <c r="CC14" s="13"/>
      <c r="CD14" s="52"/>
      <c r="CE14" s="52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3"/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2"/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2"/>
      <c r="AP15" s="52"/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2"/>
      <c r="BD15" s="52"/>
      <c r="BE15" s="52"/>
      <c r="BF15" s="52"/>
      <c r="BG15" s="52"/>
      <c r="BH15" s="52"/>
      <c r="BI15" s="13"/>
      <c r="BJ15" s="13"/>
      <c r="BK15" s="13"/>
      <c r="BL15" s="13"/>
      <c r="BM15" s="13"/>
      <c r="BN15" s="13"/>
      <c r="BO15" s="13"/>
      <c r="BP15" s="52"/>
      <c r="BQ15" s="52"/>
      <c r="BR15" s="52"/>
      <c r="BS15" s="52"/>
      <c r="BT15" s="52"/>
      <c r="BU15" s="52"/>
      <c r="BV15" s="52"/>
      <c r="BW15" s="13"/>
      <c r="BX15" s="13"/>
      <c r="BY15" s="13"/>
      <c r="BZ15" s="13"/>
      <c r="CA15" s="13"/>
      <c r="CB15" s="13"/>
      <c r="CC15" s="13"/>
      <c r="CD15" s="52"/>
      <c r="CE15" s="52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0</v>
      </c>
      <c r="CM15" s="56">
        <f t="shared" si="10"/>
        <v>0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3"/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2"/>
      <c r="BD16" s="52"/>
      <c r="BE16" s="52"/>
      <c r="BF16" s="52"/>
      <c r="BG16" s="52"/>
      <c r="BH16" s="52"/>
      <c r="BI16" s="13"/>
      <c r="BJ16" s="13"/>
      <c r="BK16" s="13"/>
      <c r="BL16" s="13"/>
      <c r="BM16" s="13"/>
      <c r="BN16" s="13"/>
      <c r="BO16" s="13"/>
      <c r="BP16" s="52"/>
      <c r="BQ16" s="52"/>
      <c r="BR16" s="52"/>
      <c r="BS16" s="52"/>
      <c r="BT16" s="52"/>
      <c r="BU16" s="52"/>
      <c r="BV16" s="52"/>
      <c r="BW16" s="13"/>
      <c r="BX16" s="13"/>
      <c r="BY16" s="13"/>
      <c r="BZ16" s="13"/>
      <c r="CA16" s="13"/>
      <c r="CB16" s="13"/>
      <c r="CC16" s="13"/>
      <c r="CD16" s="52"/>
      <c r="CE16" s="52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0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2"/>
      <c r="BD17" s="52"/>
      <c r="BE17" s="52"/>
      <c r="BF17" s="52"/>
      <c r="BG17" s="52"/>
      <c r="BH17" s="52"/>
      <c r="BI17" s="13"/>
      <c r="BJ17" s="13"/>
      <c r="BK17" s="13"/>
      <c r="BL17" s="13"/>
      <c r="BM17" s="13"/>
      <c r="BN17" s="13"/>
      <c r="BO17" s="13"/>
      <c r="BP17" s="52"/>
      <c r="BQ17" s="52"/>
      <c r="BR17" s="52"/>
      <c r="BS17" s="52"/>
      <c r="BT17" s="52"/>
      <c r="BU17" s="52"/>
      <c r="BV17" s="52"/>
      <c r="BW17" s="13"/>
      <c r="BX17" s="13"/>
      <c r="BY17" s="13"/>
      <c r="BZ17" s="13"/>
      <c r="CA17" s="13"/>
      <c r="CB17" s="13"/>
      <c r="CC17" s="13"/>
      <c r="CD17" s="52"/>
      <c r="CE17" s="52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2"/>
      <c r="BD18" s="52"/>
      <c r="BE18" s="52"/>
      <c r="BF18" s="52"/>
      <c r="BG18" s="52"/>
      <c r="BH18" s="52"/>
      <c r="BI18" s="13"/>
      <c r="BJ18" s="13"/>
      <c r="BK18" s="13"/>
      <c r="BL18" s="13"/>
      <c r="BM18" s="13"/>
      <c r="BN18" s="13"/>
      <c r="BO18" s="13"/>
      <c r="BP18" s="52"/>
      <c r="BQ18" s="52"/>
      <c r="BR18" s="52"/>
      <c r="BS18" s="52"/>
      <c r="BT18" s="52"/>
      <c r="BU18" s="52"/>
      <c r="BV18" s="52"/>
      <c r="BW18" s="13"/>
      <c r="BX18" s="13"/>
      <c r="BY18" s="13"/>
      <c r="BZ18" s="13"/>
      <c r="CA18" s="13"/>
      <c r="CB18" s="13"/>
      <c r="CC18" s="13"/>
      <c r="CD18" s="52"/>
      <c r="CE18" s="52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2"/>
      <c r="BD19" s="52"/>
      <c r="BE19" s="52"/>
      <c r="BF19" s="52"/>
      <c r="BG19" s="52"/>
      <c r="BH19" s="52"/>
      <c r="BI19" s="13"/>
      <c r="BJ19" s="13"/>
      <c r="BK19" s="13"/>
      <c r="BL19" s="13"/>
      <c r="BM19" s="13"/>
      <c r="BN19" s="13"/>
      <c r="BO19" s="13"/>
      <c r="BP19" s="52"/>
      <c r="BQ19" s="52"/>
      <c r="BR19" s="52"/>
      <c r="BS19" s="52"/>
      <c r="BT19" s="52"/>
      <c r="BU19" s="52"/>
      <c r="BV19" s="52"/>
      <c r="BW19" s="13"/>
      <c r="BX19" s="13"/>
      <c r="BY19" s="13"/>
      <c r="BZ19" s="13"/>
      <c r="CA19" s="13"/>
      <c r="CB19" s="13"/>
      <c r="CC19" s="13"/>
      <c r="CD19" s="52"/>
      <c r="CE19" s="52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2"/>
      <c r="BD20" s="52"/>
      <c r="BE20" s="52"/>
      <c r="BF20" s="52"/>
      <c r="BG20" s="52"/>
      <c r="BH20" s="52"/>
      <c r="BI20" s="13"/>
      <c r="BJ20" s="13"/>
      <c r="BK20" s="13"/>
      <c r="BL20" s="13"/>
      <c r="BM20" s="13"/>
      <c r="BN20" s="13"/>
      <c r="BO20" s="13"/>
      <c r="BP20" s="52"/>
      <c r="BQ20" s="52"/>
      <c r="BR20" s="52"/>
      <c r="BS20" s="52"/>
      <c r="BT20" s="52"/>
      <c r="BU20" s="52"/>
      <c r="BV20" s="52"/>
      <c r="BW20" s="13"/>
      <c r="BX20" s="13"/>
      <c r="BY20" s="13"/>
      <c r="BZ20" s="13"/>
      <c r="CA20" s="13"/>
      <c r="CB20" s="13"/>
      <c r="CC20" s="13"/>
      <c r="CD20" s="52"/>
      <c r="CE20" s="52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2"/>
      <c r="BD21" s="52"/>
      <c r="BE21" s="52"/>
      <c r="BF21" s="52"/>
      <c r="BG21" s="52"/>
      <c r="BH21" s="52"/>
      <c r="BI21" s="13"/>
      <c r="BJ21" s="13"/>
      <c r="BK21" s="13"/>
      <c r="BL21" s="13"/>
      <c r="BM21" s="13"/>
      <c r="BN21" s="13"/>
      <c r="BO21" s="13"/>
      <c r="BP21" s="52"/>
      <c r="BQ21" s="52"/>
      <c r="BR21" s="52"/>
      <c r="BS21" s="52"/>
      <c r="BT21" s="52"/>
      <c r="BU21" s="52"/>
      <c r="BV21" s="52"/>
      <c r="BW21" s="13"/>
      <c r="BX21" s="13"/>
      <c r="BY21" s="13"/>
      <c r="BZ21" s="13"/>
      <c r="CA21" s="13"/>
      <c r="CB21" s="13"/>
      <c r="CC21" s="13"/>
      <c r="CD21" s="52"/>
      <c r="CE21" s="52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2"/>
      <c r="BD22" s="52"/>
      <c r="BE22" s="52"/>
      <c r="BF22" s="52"/>
      <c r="BG22" s="52"/>
      <c r="BH22" s="52"/>
      <c r="BI22" s="13"/>
      <c r="BJ22" s="13"/>
      <c r="BK22" s="13"/>
      <c r="BL22" s="13"/>
      <c r="BM22" s="13"/>
      <c r="BN22" s="13"/>
      <c r="BO22" s="13"/>
      <c r="BP22" s="52"/>
      <c r="BQ22" s="52"/>
      <c r="BR22" s="52"/>
      <c r="BS22" s="52"/>
      <c r="BT22" s="52"/>
      <c r="BU22" s="52"/>
      <c r="BV22" s="52"/>
      <c r="BW22" s="13"/>
      <c r="BX22" s="13"/>
      <c r="BY22" s="13"/>
      <c r="BZ22" s="13"/>
      <c r="CA22" s="13"/>
      <c r="CB22" s="13"/>
      <c r="CC22" s="13"/>
      <c r="CD22" s="52"/>
      <c r="CE22" s="52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4">
        <v>1.0</v>
      </c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2"/>
      <c r="BD23" s="52"/>
      <c r="BE23" s="52"/>
      <c r="BF23" s="52"/>
      <c r="BG23" s="52"/>
      <c r="BH23" s="52"/>
      <c r="BI23" s="13"/>
      <c r="BJ23" s="13"/>
      <c r="BK23" s="13"/>
      <c r="BL23" s="13"/>
      <c r="BM23" s="13"/>
      <c r="BN23" s="13"/>
      <c r="BO23" s="13"/>
      <c r="BP23" s="52"/>
      <c r="BQ23" s="52"/>
      <c r="BR23" s="52"/>
      <c r="BS23" s="52"/>
      <c r="BT23" s="52"/>
      <c r="BU23" s="52"/>
      <c r="BV23" s="52"/>
      <c r="BW23" s="13"/>
      <c r="BX23" s="13"/>
      <c r="BY23" s="13"/>
      <c r="BZ23" s="13"/>
      <c r="CA23" s="13"/>
      <c r="CB23" s="13"/>
      <c r="CC23" s="13"/>
      <c r="CD23" s="52"/>
      <c r="CE23" s="52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1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2"/>
      <c r="BD24" s="52"/>
      <c r="BE24" s="52"/>
      <c r="BF24" s="52"/>
      <c r="BG24" s="52"/>
      <c r="BH24" s="52"/>
      <c r="BI24" s="13"/>
      <c r="BJ24" s="13"/>
      <c r="BK24" s="13"/>
      <c r="BL24" s="13"/>
      <c r="BM24" s="13"/>
      <c r="BN24" s="13"/>
      <c r="BO24" s="13"/>
      <c r="BP24" s="52"/>
      <c r="BQ24" s="52"/>
      <c r="BR24" s="52"/>
      <c r="BS24" s="52"/>
      <c r="BT24" s="52"/>
      <c r="BU24" s="52"/>
      <c r="BV24" s="52"/>
      <c r="BW24" s="13"/>
      <c r="BX24" s="13"/>
      <c r="BY24" s="13"/>
      <c r="BZ24" s="13"/>
      <c r="CA24" s="13"/>
      <c r="CB24" s="13"/>
      <c r="CC24" s="13"/>
      <c r="CD24" s="52"/>
      <c r="CE24" s="52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0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2"/>
      <c r="BD25" s="52"/>
      <c r="BE25" s="52"/>
      <c r="BF25" s="52"/>
      <c r="BG25" s="52"/>
      <c r="BH25" s="52"/>
      <c r="BI25" s="13"/>
      <c r="BJ25" s="13"/>
      <c r="BK25" s="13"/>
      <c r="BL25" s="13"/>
      <c r="BM25" s="13"/>
      <c r="BN25" s="13"/>
      <c r="BO25" s="13"/>
      <c r="BP25" s="52"/>
      <c r="BQ25" s="52"/>
      <c r="BR25" s="52"/>
      <c r="BS25" s="52"/>
      <c r="BT25" s="52"/>
      <c r="BU25" s="52"/>
      <c r="BV25" s="52"/>
      <c r="BW25" s="13"/>
      <c r="BX25" s="13"/>
      <c r="BY25" s="13"/>
      <c r="BZ25" s="13"/>
      <c r="CA25" s="13"/>
      <c r="CB25" s="13"/>
      <c r="CC25" s="13"/>
      <c r="CD25" s="52"/>
      <c r="CE25" s="52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2"/>
      <c r="BD26" s="52"/>
      <c r="BE26" s="52"/>
      <c r="BF26" s="52"/>
      <c r="BG26" s="52"/>
      <c r="BH26" s="52"/>
      <c r="BI26" s="13"/>
      <c r="BJ26" s="13"/>
      <c r="BK26" s="13"/>
      <c r="BL26" s="13"/>
      <c r="BM26" s="13"/>
      <c r="BN26" s="13"/>
      <c r="BO26" s="13"/>
      <c r="BP26" s="52"/>
      <c r="BQ26" s="52"/>
      <c r="BR26" s="52"/>
      <c r="BS26" s="52"/>
      <c r="BT26" s="52"/>
      <c r="BU26" s="52"/>
      <c r="BV26" s="52"/>
      <c r="BW26" s="13"/>
      <c r="BX26" s="13"/>
      <c r="BY26" s="13"/>
      <c r="BZ26" s="13"/>
      <c r="CA26" s="13"/>
      <c r="CB26" s="13"/>
      <c r="CC26" s="13"/>
      <c r="CD26" s="52"/>
      <c r="CE26" s="52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2"/>
      <c r="BD27" s="52"/>
      <c r="BE27" s="52"/>
      <c r="BF27" s="52"/>
      <c r="BG27" s="52"/>
      <c r="BH27" s="52"/>
      <c r="BI27" s="13"/>
      <c r="BJ27" s="13"/>
      <c r="BK27" s="13"/>
      <c r="BL27" s="13"/>
      <c r="BM27" s="13"/>
      <c r="BN27" s="13"/>
      <c r="BO27" s="13"/>
      <c r="BP27" s="52"/>
      <c r="BQ27" s="52"/>
      <c r="BR27" s="52"/>
      <c r="BS27" s="52"/>
      <c r="BT27" s="52"/>
      <c r="BU27" s="52"/>
      <c r="BV27" s="52"/>
      <c r="BW27" s="13"/>
      <c r="BX27" s="13"/>
      <c r="BY27" s="13"/>
      <c r="BZ27" s="13"/>
      <c r="CA27" s="13"/>
      <c r="CB27" s="13"/>
      <c r="CC27" s="13"/>
      <c r="CD27" s="52"/>
      <c r="CE27" s="52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3"/>
      <c r="G28" s="13"/>
      <c r="H28" s="13"/>
      <c r="I28" s="35"/>
      <c r="J28" s="35"/>
      <c r="K28" s="35"/>
      <c r="L28" s="52"/>
      <c r="M28" s="52"/>
      <c r="N28" s="52"/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2"/>
      <c r="AB28" s="52"/>
      <c r="AC28" s="52"/>
      <c r="AD28" s="58"/>
      <c r="AE28" s="58"/>
      <c r="AF28" s="58"/>
      <c r="AG28" s="13"/>
      <c r="AH28" s="13"/>
      <c r="AI28" s="13"/>
      <c r="AJ28" s="13"/>
      <c r="AK28" s="35"/>
      <c r="AL28" s="35"/>
      <c r="AM28" s="35"/>
      <c r="AN28" s="52"/>
      <c r="AO28" s="52"/>
      <c r="AP28" s="53">
        <v>1.0</v>
      </c>
      <c r="AQ28" s="52"/>
      <c r="AR28" s="58"/>
      <c r="AS28" s="58"/>
      <c r="AT28" s="58"/>
      <c r="AU28" s="13"/>
      <c r="AV28" s="13"/>
      <c r="AW28" s="13"/>
      <c r="AX28" s="13"/>
      <c r="AY28" s="35"/>
      <c r="AZ28" s="35"/>
      <c r="BA28" s="35"/>
      <c r="BB28" s="52"/>
      <c r="BC28" s="52"/>
      <c r="BD28" s="52"/>
      <c r="BE28" s="52"/>
      <c r="BF28" s="58"/>
      <c r="BG28" s="58"/>
      <c r="BH28" s="58"/>
      <c r="BI28" s="13"/>
      <c r="BJ28" s="13"/>
      <c r="BK28" s="13"/>
      <c r="BL28" s="13"/>
      <c r="BM28" s="35"/>
      <c r="BN28" s="35"/>
      <c r="BO28" s="35"/>
      <c r="BP28" s="52"/>
      <c r="BQ28" s="52"/>
      <c r="BR28" s="52"/>
      <c r="BS28" s="52"/>
      <c r="BT28" s="58"/>
      <c r="BU28" s="58"/>
      <c r="BV28" s="58"/>
      <c r="BW28" s="13"/>
      <c r="BX28" s="13"/>
      <c r="BY28" s="13"/>
      <c r="BZ28" s="13"/>
      <c r="CA28" s="35"/>
      <c r="CB28" s="35"/>
      <c r="CC28" s="35"/>
      <c r="CD28" s="52"/>
      <c r="CE28" s="52"/>
      <c r="CF28" s="52"/>
      <c r="CG28" s="52"/>
      <c r="CH28" s="58"/>
      <c r="CI28" s="58"/>
      <c r="CJ28" s="58"/>
      <c r="CK28" s="56">
        <f t="shared" ref="CK28:CQ28" si="23">SUM(E28,L28,S28,Z28,AG28,AN28,AU28,BB28,BI28,BP28,BW28,CD28)</f>
        <v>0</v>
      </c>
      <c r="CL28" s="56">
        <f t="shared" si="23"/>
        <v>0</v>
      </c>
      <c r="CM28" s="56">
        <f t="shared" si="23"/>
        <v>1</v>
      </c>
      <c r="CN28" s="56">
        <f t="shared" si="23"/>
        <v>0</v>
      </c>
      <c r="CO28" s="56">
        <f t="shared" si="23"/>
        <v>0</v>
      </c>
      <c r="CP28" s="56">
        <f t="shared" si="23"/>
        <v>0</v>
      </c>
      <c r="CQ28" s="56">
        <f t="shared" si="23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3"/>
      <c r="F29" s="13"/>
      <c r="G29" s="13"/>
      <c r="H29" s="13"/>
      <c r="I29" s="35"/>
      <c r="J29" s="35"/>
      <c r="K29" s="35"/>
      <c r="L29" s="52"/>
      <c r="M29" s="52"/>
      <c r="N29" s="52"/>
      <c r="O29" s="52"/>
      <c r="P29" s="58"/>
      <c r="Q29" s="58"/>
      <c r="R29" s="58"/>
      <c r="S29" s="13"/>
      <c r="T29" s="13"/>
      <c r="U29" s="13"/>
      <c r="V29" s="13"/>
      <c r="W29" s="35"/>
      <c r="X29" s="35"/>
      <c r="Y29" s="35"/>
      <c r="Z29" s="52"/>
      <c r="AA29" s="52"/>
      <c r="AB29" s="52"/>
      <c r="AC29" s="52"/>
      <c r="AD29" s="58"/>
      <c r="AE29" s="58"/>
      <c r="AF29" s="58"/>
      <c r="AG29" s="13"/>
      <c r="AH29" s="13"/>
      <c r="AI29" s="13"/>
      <c r="AJ29" s="13"/>
      <c r="AK29" s="35"/>
      <c r="AL29" s="35"/>
      <c r="AM29" s="35"/>
      <c r="AN29" s="52"/>
      <c r="AO29" s="53">
        <v>1.0</v>
      </c>
      <c r="AP29" s="52"/>
      <c r="AQ29" s="52"/>
      <c r="AR29" s="58"/>
      <c r="AS29" s="58"/>
      <c r="AT29" s="58"/>
      <c r="AU29" s="13"/>
      <c r="AV29" s="13"/>
      <c r="AW29" s="13"/>
      <c r="AX29" s="13"/>
      <c r="AY29" s="35"/>
      <c r="AZ29" s="35"/>
      <c r="BA29" s="35"/>
      <c r="BB29" s="52"/>
      <c r="BC29" s="52"/>
      <c r="BD29" s="52"/>
      <c r="BE29" s="52"/>
      <c r="BF29" s="58"/>
      <c r="BG29" s="58"/>
      <c r="BH29" s="58"/>
      <c r="BI29" s="13"/>
      <c r="BJ29" s="13"/>
      <c r="BK29" s="13"/>
      <c r="BL29" s="13"/>
      <c r="BM29" s="35"/>
      <c r="BN29" s="35"/>
      <c r="BO29" s="35"/>
      <c r="BP29" s="52"/>
      <c r="BQ29" s="52"/>
      <c r="BR29" s="52"/>
      <c r="BS29" s="52"/>
      <c r="BT29" s="58"/>
      <c r="BU29" s="58"/>
      <c r="BV29" s="58"/>
      <c r="BW29" s="13"/>
      <c r="BX29" s="13"/>
      <c r="BY29" s="13"/>
      <c r="BZ29" s="13"/>
      <c r="CA29" s="35"/>
      <c r="CB29" s="35"/>
      <c r="CC29" s="35"/>
      <c r="CD29" s="52"/>
      <c r="CE29" s="52"/>
      <c r="CF29" s="52"/>
      <c r="CG29" s="52"/>
      <c r="CH29" s="58"/>
      <c r="CI29" s="58"/>
      <c r="CJ29" s="58"/>
      <c r="CK29" s="56">
        <f t="shared" ref="CK29:CQ29" si="24">SUM(E29,L29,S29,Z29,AG29,AN29,AU29,BB29,BI29,BP29,BW29,CD29)</f>
        <v>0</v>
      </c>
      <c r="CL29" s="56">
        <f t="shared" si="24"/>
        <v>1</v>
      </c>
      <c r="CM29" s="56">
        <f t="shared" si="24"/>
        <v>0</v>
      </c>
      <c r="CN29" s="56">
        <f t="shared" si="24"/>
        <v>0</v>
      </c>
      <c r="CO29" s="56">
        <f t="shared" si="24"/>
        <v>0</v>
      </c>
      <c r="CP29" s="56">
        <f t="shared" si="24"/>
        <v>0</v>
      </c>
      <c r="CQ29" s="56">
        <f t="shared" si="24"/>
        <v>0</v>
      </c>
    </row>
    <row r="30" ht="15.75" customHeight="1">
      <c r="A30" s="4"/>
      <c r="B30" s="60"/>
      <c r="C30" s="4"/>
      <c r="D30" s="4"/>
      <c r="E30" s="13">
        <f t="shared" ref="E30:Z30" si="25">SUM(E6:E27)</f>
        <v>0</v>
      </c>
      <c r="F30" s="13">
        <f t="shared" si="25"/>
        <v>10</v>
      </c>
      <c r="G30" s="13">
        <f t="shared" si="25"/>
        <v>10</v>
      </c>
      <c r="H30" s="13">
        <f t="shared" si="25"/>
        <v>0</v>
      </c>
      <c r="I30" s="17">
        <f t="shared" si="25"/>
        <v>0</v>
      </c>
      <c r="J30" s="17">
        <f t="shared" si="25"/>
        <v>0</v>
      </c>
      <c r="K30" s="17">
        <f t="shared" si="25"/>
        <v>0</v>
      </c>
      <c r="L30" s="52">
        <f t="shared" si="25"/>
        <v>0</v>
      </c>
      <c r="M30" s="52">
        <f t="shared" si="25"/>
        <v>10</v>
      </c>
      <c r="N30" s="52">
        <f t="shared" si="25"/>
        <v>10</v>
      </c>
      <c r="O30" s="52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13">
        <f t="shared" si="25"/>
        <v>0</v>
      </c>
      <c r="T30" s="13">
        <f t="shared" si="25"/>
        <v>10</v>
      </c>
      <c r="U30" s="13">
        <f t="shared" si="25"/>
        <v>0</v>
      </c>
      <c r="V30" s="13">
        <f t="shared" si="25"/>
        <v>0</v>
      </c>
      <c r="W30" s="17">
        <f t="shared" si="25"/>
        <v>0</v>
      </c>
      <c r="X30" s="17">
        <f t="shared" si="25"/>
        <v>0</v>
      </c>
      <c r="Y30" s="17">
        <f t="shared" si="25"/>
        <v>0</v>
      </c>
      <c r="Z30" s="52">
        <f t="shared" si="25"/>
        <v>0</v>
      </c>
      <c r="AA30" s="52">
        <f>SUM(AA6:AA29)</f>
        <v>30</v>
      </c>
      <c r="AB30" s="52">
        <f t="shared" ref="AB30:AG30" si="26">SUM(AB6:AB27)</f>
        <v>20</v>
      </c>
      <c r="AC30" s="52">
        <f t="shared" si="26"/>
        <v>0</v>
      </c>
      <c r="AD30" s="61">
        <f t="shared" si="26"/>
        <v>0</v>
      </c>
      <c r="AE30" s="61">
        <f t="shared" si="26"/>
        <v>0</v>
      </c>
      <c r="AF30" s="61">
        <f t="shared" si="26"/>
        <v>0</v>
      </c>
      <c r="AG30" s="13">
        <f t="shared" si="26"/>
        <v>0</v>
      </c>
      <c r="AH30" s="13">
        <f>SUM(AH6:AH29)</f>
        <v>1</v>
      </c>
      <c r="AI30" s="13">
        <f t="shared" ref="AI30:AN30" si="27">SUM(AI6:AI27)</f>
        <v>0</v>
      </c>
      <c r="AJ30" s="13">
        <f t="shared" si="27"/>
        <v>0</v>
      </c>
      <c r="AK30" s="17">
        <f t="shared" si="27"/>
        <v>0</v>
      </c>
      <c r="AL30" s="17">
        <f t="shared" si="27"/>
        <v>0</v>
      </c>
      <c r="AM30" s="17">
        <f t="shared" si="27"/>
        <v>0</v>
      </c>
      <c r="AN30" s="52">
        <f t="shared" si="27"/>
        <v>0</v>
      </c>
      <c r="AO30" s="52">
        <f>SUM(AO6:AO29)</f>
        <v>21</v>
      </c>
      <c r="AP30" s="52">
        <f t="shared" ref="AP30:AU30" si="28">SUM(AP6:AP27)</f>
        <v>10</v>
      </c>
      <c r="AQ30" s="52">
        <f t="shared" si="28"/>
        <v>0</v>
      </c>
      <c r="AR30" s="61">
        <f t="shared" si="28"/>
        <v>0</v>
      </c>
      <c r="AS30" s="61">
        <f t="shared" si="28"/>
        <v>0</v>
      </c>
      <c r="AT30" s="61">
        <f t="shared" si="28"/>
        <v>0</v>
      </c>
      <c r="AU30" s="13">
        <f t="shared" si="28"/>
        <v>0</v>
      </c>
      <c r="AV30" s="13">
        <f>SUM(AV6:AV29)</f>
        <v>10</v>
      </c>
      <c r="AW30" s="13">
        <f t="shared" ref="AW30:BA30" si="29">SUM(AW6:AW27)</f>
        <v>10</v>
      </c>
      <c r="AX30" s="13">
        <f t="shared" si="29"/>
        <v>0</v>
      </c>
      <c r="AY30" s="17">
        <f t="shared" si="29"/>
        <v>0</v>
      </c>
      <c r="AZ30" s="17">
        <f t="shared" si="29"/>
        <v>0</v>
      </c>
      <c r="BA30" s="17">
        <f t="shared" si="29"/>
        <v>0</v>
      </c>
      <c r="BB30" s="52">
        <f t="shared" ref="BB30:BC30" si="30">SUM(BB6:BB29)</f>
        <v>0</v>
      </c>
      <c r="BC30" s="52">
        <f t="shared" si="30"/>
        <v>20</v>
      </c>
      <c r="BD30" s="52">
        <f t="shared" ref="BD30:BI30" si="31">SUM(BD6:BD27)</f>
        <v>10</v>
      </c>
      <c r="BE30" s="52">
        <f t="shared" si="31"/>
        <v>0</v>
      </c>
      <c r="BF30" s="61">
        <f t="shared" si="31"/>
        <v>0</v>
      </c>
      <c r="BG30" s="61">
        <f t="shared" si="31"/>
        <v>0</v>
      </c>
      <c r="BH30" s="61">
        <f t="shared" si="31"/>
        <v>0</v>
      </c>
      <c r="BI30" s="13">
        <f t="shared" si="31"/>
        <v>0</v>
      </c>
      <c r="BJ30" s="13">
        <f>SUM(BJ6:BJ29)</f>
        <v>10</v>
      </c>
      <c r="BK30" s="13">
        <f t="shared" ref="BK30:BP30" si="32">SUM(BK6:BK27)</f>
        <v>0</v>
      </c>
      <c r="BL30" s="13">
        <f t="shared" si="32"/>
        <v>0</v>
      </c>
      <c r="BM30" s="17">
        <f t="shared" si="32"/>
        <v>0</v>
      </c>
      <c r="BN30" s="17">
        <f t="shared" si="32"/>
        <v>0</v>
      </c>
      <c r="BO30" s="17">
        <f t="shared" si="32"/>
        <v>0</v>
      </c>
      <c r="BP30" s="52">
        <f t="shared" si="32"/>
        <v>0</v>
      </c>
      <c r="BQ30" s="52">
        <f>SUM(BQ6:BQ29)</f>
        <v>0</v>
      </c>
      <c r="BR30" s="52">
        <f t="shared" ref="BR30:BW30" si="33">SUM(BR6:BR27)</f>
        <v>0</v>
      </c>
      <c r="BS30" s="52">
        <f t="shared" si="33"/>
        <v>0</v>
      </c>
      <c r="BT30" s="61">
        <f t="shared" si="33"/>
        <v>0</v>
      </c>
      <c r="BU30" s="61">
        <f t="shared" si="33"/>
        <v>0</v>
      </c>
      <c r="BV30" s="61">
        <f t="shared" si="33"/>
        <v>0</v>
      </c>
      <c r="BW30" s="13">
        <f t="shared" si="33"/>
        <v>0</v>
      </c>
      <c r="BX30" s="13">
        <f>SUM(BX6:BX29)</f>
        <v>0</v>
      </c>
      <c r="BY30" s="13">
        <f t="shared" ref="BY30:CD30" si="34">SUM(BY6:BY27)</f>
        <v>0</v>
      </c>
      <c r="BZ30" s="13">
        <f t="shared" si="34"/>
        <v>0</v>
      </c>
      <c r="CA30" s="17">
        <f t="shared" si="34"/>
        <v>0</v>
      </c>
      <c r="CB30" s="17">
        <f t="shared" si="34"/>
        <v>0</v>
      </c>
      <c r="CC30" s="17">
        <f t="shared" si="34"/>
        <v>0</v>
      </c>
      <c r="CD30" s="52">
        <f t="shared" si="34"/>
        <v>0</v>
      </c>
      <c r="CE30" s="52">
        <f>SUM(CE6:CE29)</f>
        <v>0</v>
      </c>
      <c r="CF30" s="52">
        <f t="shared" ref="CF30:CK30" si="35">SUM(CF6:CF27)</f>
        <v>0</v>
      </c>
      <c r="CG30" s="52">
        <f t="shared" si="35"/>
        <v>0</v>
      </c>
      <c r="CH30" s="61">
        <f t="shared" si="35"/>
        <v>0</v>
      </c>
      <c r="CI30" s="61">
        <f t="shared" si="35"/>
        <v>0</v>
      </c>
      <c r="CJ30" s="61">
        <f t="shared" si="35"/>
        <v>0</v>
      </c>
      <c r="CK30" s="62">
        <f t="shared" si="35"/>
        <v>0</v>
      </c>
      <c r="CL30" s="62">
        <f>SUM(CL6:CL29)</f>
        <v>122</v>
      </c>
      <c r="CM30" s="62">
        <f t="shared" ref="CM30:CQ30" si="36">SUM(CM6:CM27)</f>
        <v>70</v>
      </c>
      <c r="CN30" s="62">
        <f t="shared" si="36"/>
        <v>0</v>
      </c>
      <c r="CO30" s="62">
        <f t="shared" si="36"/>
        <v>0</v>
      </c>
      <c r="CP30" s="62">
        <f t="shared" si="36"/>
        <v>0</v>
      </c>
      <c r="CQ30" s="62">
        <f t="shared" si="36"/>
        <v>0</v>
      </c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63"/>
      <c r="CH31" s="40"/>
      <c r="CI31" s="40"/>
      <c r="CJ31" s="40"/>
      <c r="CK31" s="4"/>
      <c r="CL31" s="4"/>
      <c r="CM31" s="4"/>
      <c r="CN31" s="4"/>
      <c r="CO31" s="40"/>
      <c r="CP31" s="40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17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1:CG31"/>
    <mergeCell ref="CE32:CG32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29">
    <cfRule type="cellIs" dxfId="0" priority="1" operator="greaterThan">
      <formula>0</formula>
    </cfRule>
  </conditionalFormatting>
  <conditionalFormatting sqref="W6:Y29">
    <cfRule type="cellIs" dxfId="0" priority="2" operator="greaterThan">
      <formula>0</formula>
    </cfRule>
  </conditionalFormatting>
  <conditionalFormatting sqref="AY6:BA29">
    <cfRule type="cellIs" dxfId="0" priority="3" operator="greaterThan">
      <formula>0</formula>
    </cfRule>
  </conditionalFormatting>
  <conditionalFormatting sqref="CA6:CC29">
    <cfRule type="cellIs" dxfId="0" priority="4" operator="greaterThan">
      <formula>0</formula>
    </cfRule>
  </conditionalFormatting>
  <conditionalFormatting sqref="AD6:AF29">
    <cfRule type="cellIs" dxfId="0" priority="5" operator="greaterThan">
      <formula>0</formula>
    </cfRule>
  </conditionalFormatting>
  <conditionalFormatting sqref="AR6:AT29">
    <cfRule type="cellIs" dxfId="0" priority="6" operator="greaterThan">
      <formula>0</formula>
    </cfRule>
  </conditionalFormatting>
  <conditionalFormatting sqref="BF6:BH29">
    <cfRule type="cellIs" dxfId="0" priority="7" operator="greaterThan">
      <formula>0</formula>
    </cfRule>
  </conditionalFormatting>
  <conditionalFormatting sqref="BT6:BV29">
    <cfRule type="cellIs" dxfId="0" priority="8" operator="greaterThan">
      <formula>0</formula>
    </cfRule>
  </conditionalFormatting>
  <conditionalFormatting sqref="CH6:CJ29">
    <cfRule type="cellIs" dxfId="0" priority="9" operator="greaterThan">
      <formula>0</formula>
    </cfRule>
  </conditionalFormatting>
  <conditionalFormatting sqref="P6:R29">
    <cfRule type="cellIs" dxfId="0" priority="10" operator="greaterThan">
      <formula>0</formula>
    </cfRule>
  </conditionalFormatting>
  <conditionalFormatting sqref="AK6:AM29">
    <cfRule type="cellIs" dxfId="0" priority="11" operator="greaterThan">
      <formula>0</formula>
    </cfRule>
  </conditionalFormatting>
  <conditionalFormatting sqref="BM6:BO29">
    <cfRule type="cellIs" dxfId="0" priority="12" operator="greaterThan">
      <formula>0</formula>
    </cfRule>
  </conditionalFormatting>
  <conditionalFormatting sqref="E6:H30 L6:O30 S6:V30 AG6:AJ30 AU6:AX30 BI6:BL30 BW6:BZ30">
    <cfRule type="cellIs" dxfId="0" priority="13" operator="greaterThan">
      <formula>0</formula>
    </cfRule>
  </conditionalFormatting>
  <conditionalFormatting sqref="Z6:AC30">
    <cfRule type="cellIs" dxfId="0" priority="14" operator="greaterThan">
      <formula>0</formula>
    </cfRule>
  </conditionalFormatting>
  <conditionalFormatting sqref="AN6:AQ30">
    <cfRule type="cellIs" dxfId="0" priority="15" operator="greaterThan">
      <formula>0</formula>
    </cfRule>
  </conditionalFormatting>
  <conditionalFormatting sqref="BB6:BE30">
    <cfRule type="cellIs" dxfId="0" priority="16" operator="greaterThan">
      <formula>0</formula>
    </cfRule>
  </conditionalFormatting>
  <conditionalFormatting sqref="BP6:BS30">
    <cfRule type="cellIs" dxfId="0" priority="17" operator="greaterThan">
      <formula>0</formula>
    </cfRule>
  </conditionalFormatting>
  <conditionalFormatting sqref="CD6:CG30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86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93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4">
        <v>10.0</v>
      </c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4">
        <v>10.0</v>
      </c>
      <c r="U6" s="13"/>
      <c r="V6" s="13"/>
      <c r="W6" s="13"/>
      <c r="X6" s="13"/>
      <c r="Y6" s="13"/>
      <c r="Z6" s="52"/>
      <c r="AA6" s="53">
        <v>40.0</v>
      </c>
      <c r="AB6" s="52"/>
      <c r="AC6" s="52"/>
      <c r="AD6" s="52"/>
      <c r="AE6" s="52"/>
      <c r="AF6" s="52"/>
      <c r="AG6" s="13"/>
      <c r="AH6" s="14">
        <v>10.0</v>
      </c>
      <c r="AI6" s="13"/>
      <c r="AJ6" s="13"/>
      <c r="AK6" s="13"/>
      <c r="AL6" s="13"/>
      <c r="AM6" s="13"/>
      <c r="AN6" s="52"/>
      <c r="AO6" s="52"/>
      <c r="AP6" s="52"/>
      <c r="AQ6" s="52"/>
      <c r="AR6" s="52"/>
      <c r="AS6" s="52"/>
      <c r="AT6" s="52"/>
      <c r="AU6" s="13"/>
      <c r="AV6" s="14">
        <v>10.0</v>
      </c>
      <c r="AW6" s="13"/>
      <c r="AX6" s="13"/>
      <c r="AY6" s="13"/>
      <c r="AZ6" s="13"/>
      <c r="BA6" s="13"/>
      <c r="BB6" s="52"/>
      <c r="BC6" s="52"/>
      <c r="BD6" s="52"/>
      <c r="BE6" s="52"/>
      <c r="BF6" s="52"/>
      <c r="BG6" s="52"/>
      <c r="BH6" s="52"/>
      <c r="BI6" s="13"/>
      <c r="BJ6" s="13"/>
      <c r="BK6" s="13"/>
      <c r="BL6" s="13"/>
      <c r="BM6" s="13"/>
      <c r="BN6" s="13"/>
      <c r="BO6" s="13"/>
      <c r="BP6" s="52"/>
      <c r="BQ6" s="52"/>
      <c r="BR6" s="52"/>
      <c r="BS6" s="52"/>
      <c r="BT6" s="52"/>
      <c r="BU6" s="52"/>
      <c r="BV6" s="52"/>
      <c r="BW6" s="13"/>
      <c r="BX6" s="13"/>
      <c r="BY6" s="13"/>
      <c r="BZ6" s="13"/>
      <c r="CA6" s="13"/>
      <c r="CB6" s="13"/>
      <c r="CC6" s="13"/>
      <c r="CD6" s="52"/>
      <c r="CE6" s="52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80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64" t="s">
        <v>28</v>
      </c>
      <c r="D7" s="12" t="s">
        <v>26</v>
      </c>
      <c r="E7" s="13"/>
      <c r="F7" s="14">
        <v>60.0</v>
      </c>
      <c r="G7" s="14">
        <v>60.0</v>
      </c>
      <c r="H7" s="13"/>
      <c r="I7" s="13"/>
      <c r="J7" s="13"/>
      <c r="K7" s="13"/>
      <c r="L7" s="52"/>
      <c r="M7" s="53">
        <v>60.0</v>
      </c>
      <c r="N7" s="52"/>
      <c r="O7" s="52"/>
      <c r="P7" s="52"/>
      <c r="Q7" s="52"/>
      <c r="R7" s="52"/>
      <c r="S7" s="13"/>
      <c r="T7" s="14">
        <v>60.0</v>
      </c>
      <c r="U7" s="14">
        <v>60.0</v>
      </c>
      <c r="V7" s="13"/>
      <c r="W7" s="13"/>
      <c r="X7" s="13"/>
      <c r="Y7" s="13"/>
      <c r="Z7" s="52"/>
      <c r="AA7" s="53">
        <v>60.0</v>
      </c>
      <c r="AB7" s="53">
        <v>100.0</v>
      </c>
      <c r="AC7" s="52"/>
      <c r="AD7" s="52"/>
      <c r="AE7" s="52"/>
      <c r="AF7" s="52"/>
      <c r="AG7" s="13"/>
      <c r="AH7" s="14">
        <v>30.0</v>
      </c>
      <c r="AI7" s="14">
        <v>50.0</v>
      </c>
      <c r="AJ7" s="13"/>
      <c r="AK7" s="13"/>
      <c r="AL7" s="13"/>
      <c r="AM7" s="13"/>
      <c r="AN7" s="52"/>
      <c r="AO7" s="53">
        <v>30.0</v>
      </c>
      <c r="AP7" s="52"/>
      <c r="AQ7" s="52"/>
      <c r="AR7" s="52"/>
      <c r="AS7" s="52"/>
      <c r="AT7" s="52"/>
      <c r="AU7" s="13"/>
      <c r="AV7" s="14">
        <v>50.0</v>
      </c>
      <c r="AW7" s="14">
        <v>50.0</v>
      </c>
      <c r="AX7" s="13"/>
      <c r="AY7" s="13"/>
      <c r="AZ7" s="13"/>
      <c r="BA7" s="13"/>
      <c r="BB7" s="53"/>
      <c r="BC7" s="53">
        <v>50.0</v>
      </c>
      <c r="BD7" s="53">
        <v>48.0</v>
      </c>
      <c r="BE7" s="52"/>
      <c r="BF7" s="52"/>
      <c r="BG7" s="52"/>
      <c r="BH7" s="52"/>
      <c r="BI7" s="13"/>
      <c r="BJ7" s="14">
        <v>50.0</v>
      </c>
      <c r="BK7" s="13"/>
      <c r="BL7" s="13"/>
      <c r="BM7" s="13"/>
      <c r="BN7" s="13"/>
      <c r="BO7" s="13"/>
      <c r="BP7" s="52"/>
      <c r="BQ7" s="52"/>
      <c r="BR7" s="52"/>
      <c r="BS7" s="52"/>
      <c r="BT7" s="52"/>
      <c r="BU7" s="52"/>
      <c r="BV7" s="52"/>
      <c r="BW7" s="13"/>
      <c r="BX7" s="13"/>
      <c r="BY7" s="13"/>
      <c r="BZ7" s="13"/>
      <c r="CA7" s="13"/>
      <c r="CB7" s="13"/>
      <c r="CC7" s="13"/>
      <c r="CD7" s="52"/>
      <c r="CE7" s="52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450</v>
      </c>
      <c r="CM7" s="56">
        <f t="shared" si="2"/>
        <v>368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2"/>
      <c r="BD8" s="52"/>
      <c r="BE8" s="52"/>
      <c r="BF8" s="52"/>
      <c r="BG8" s="52"/>
      <c r="BH8" s="52"/>
      <c r="BI8" s="13"/>
      <c r="BJ8" s="13"/>
      <c r="BK8" s="13"/>
      <c r="BL8" s="13"/>
      <c r="BM8" s="13"/>
      <c r="BN8" s="13"/>
      <c r="BO8" s="13"/>
      <c r="BP8" s="52"/>
      <c r="BQ8" s="52"/>
      <c r="BR8" s="52"/>
      <c r="BS8" s="52"/>
      <c r="BT8" s="52"/>
      <c r="BU8" s="52"/>
      <c r="BV8" s="52"/>
      <c r="BW8" s="13"/>
      <c r="BX8" s="13"/>
      <c r="BY8" s="13"/>
      <c r="BZ8" s="13"/>
      <c r="CA8" s="13"/>
      <c r="CB8" s="13"/>
      <c r="CC8" s="13"/>
      <c r="CD8" s="52"/>
      <c r="CE8" s="52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2"/>
      <c r="BD9" s="52"/>
      <c r="BE9" s="52"/>
      <c r="BF9" s="52"/>
      <c r="BG9" s="52"/>
      <c r="BH9" s="52"/>
      <c r="BI9" s="13"/>
      <c r="BJ9" s="13"/>
      <c r="BK9" s="13"/>
      <c r="BL9" s="13"/>
      <c r="BM9" s="13"/>
      <c r="BN9" s="13"/>
      <c r="BO9" s="13"/>
      <c r="BP9" s="52"/>
      <c r="BQ9" s="52"/>
      <c r="BR9" s="52"/>
      <c r="BS9" s="52"/>
      <c r="BT9" s="52"/>
      <c r="BU9" s="52"/>
      <c r="BV9" s="52"/>
      <c r="BW9" s="13"/>
      <c r="BX9" s="13"/>
      <c r="BY9" s="13"/>
      <c r="BZ9" s="13"/>
      <c r="CA9" s="13"/>
      <c r="CB9" s="13"/>
      <c r="CC9" s="13"/>
      <c r="CD9" s="52"/>
      <c r="CE9" s="52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2"/>
      <c r="BD10" s="52"/>
      <c r="BE10" s="52"/>
      <c r="BF10" s="52"/>
      <c r="BG10" s="52"/>
      <c r="BH10" s="52"/>
      <c r="BI10" s="13"/>
      <c r="BJ10" s="13"/>
      <c r="BK10" s="13"/>
      <c r="BL10" s="13"/>
      <c r="BM10" s="13"/>
      <c r="BN10" s="13"/>
      <c r="BO10" s="13"/>
      <c r="BP10" s="52"/>
      <c r="BQ10" s="52"/>
      <c r="BR10" s="52"/>
      <c r="BS10" s="52"/>
      <c r="BT10" s="52"/>
      <c r="BU10" s="52"/>
      <c r="BV10" s="52"/>
      <c r="BW10" s="13"/>
      <c r="BX10" s="13"/>
      <c r="BY10" s="13"/>
      <c r="BZ10" s="13"/>
      <c r="CA10" s="13"/>
      <c r="CB10" s="13"/>
      <c r="CC10" s="13"/>
      <c r="CD10" s="52"/>
      <c r="CE10" s="52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3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2"/>
      <c r="BD11" s="52"/>
      <c r="BE11" s="52"/>
      <c r="BF11" s="52"/>
      <c r="BG11" s="52"/>
      <c r="BH11" s="52"/>
      <c r="BI11" s="13"/>
      <c r="BJ11" s="13"/>
      <c r="BK11" s="13"/>
      <c r="BL11" s="13"/>
      <c r="BM11" s="13"/>
      <c r="BN11" s="13"/>
      <c r="BO11" s="13"/>
      <c r="BP11" s="52"/>
      <c r="BQ11" s="52"/>
      <c r="BR11" s="52"/>
      <c r="BS11" s="52"/>
      <c r="BT11" s="52"/>
      <c r="BU11" s="52"/>
      <c r="BV11" s="52"/>
      <c r="BW11" s="13"/>
      <c r="BX11" s="13"/>
      <c r="BY11" s="13"/>
      <c r="BZ11" s="13"/>
      <c r="CA11" s="13"/>
      <c r="CB11" s="13"/>
      <c r="CC11" s="13"/>
      <c r="CD11" s="52"/>
      <c r="CE11" s="52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2"/>
      <c r="BD12" s="52"/>
      <c r="BE12" s="52"/>
      <c r="BF12" s="52"/>
      <c r="BG12" s="52"/>
      <c r="BH12" s="52"/>
      <c r="BI12" s="13"/>
      <c r="BJ12" s="13"/>
      <c r="BK12" s="13"/>
      <c r="BL12" s="13"/>
      <c r="BM12" s="13"/>
      <c r="BN12" s="13"/>
      <c r="BO12" s="13"/>
      <c r="BP12" s="52"/>
      <c r="BQ12" s="52"/>
      <c r="BR12" s="52"/>
      <c r="BS12" s="52"/>
      <c r="BT12" s="52"/>
      <c r="BU12" s="52"/>
      <c r="BV12" s="52"/>
      <c r="BW12" s="13"/>
      <c r="BX12" s="13"/>
      <c r="BY12" s="13"/>
      <c r="BZ12" s="13"/>
      <c r="CA12" s="13"/>
      <c r="CB12" s="13"/>
      <c r="CC12" s="13"/>
      <c r="CD12" s="52"/>
      <c r="CE12" s="52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2"/>
      <c r="BD13" s="52"/>
      <c r="BE13" s="52"/>
      <c r="BF13" s="52"/>
      <c r="BG13" s="52"/>
      <c r="BH13" s="52"/>
      <c r="BI13" s="13"/>
      <c r="BJ13" s="13"/>
      <c r="BK13" s="13"/>
      <c r="BL13" s="13"/>
      <c r="BM13" s="13"/>
      <c r="BN13" s="13"/>
      <c r="BO13" s="13"/>
      <c r="BP13" s="52"/>
      <c r="BQ13" s="52"/>
      <c r="BR13" s="52"/>
      <c r="BS13" s="52"/>
      <c r="BT13" s="52"/>
      <c r="BU13" s="52"/>
      <c r="BV13" s="52"/>
      <c r="BW13" s="13"/>
      <c r="BX13" s="13"/>
      <c r="BY13" s="13"/>
      <c r="BZ13" s="13"/>
      <c r="CA13" s="13"/>
      <c r="CB13" s="13"/>
      <c r="CC13" s="13"/>
      <c r="CD13" s="52"/>
      <c r="CE13" s="52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2"/>
      <c r="BD14" s="52"/>
      <c r="BE14" s="52"/>
      <c r="BF14" s="52"/>
      <c r="BG14" s="52"/>
      <c r="BH14" s="52"/>
      <c r="BI14" s="13"/>
      <c r="BJ14" s="13"/>
      <c r="BK14" s="13"/>
      <c r="BL14" s="13"/>
      <c r="BM14" s="13"/>
      <c r="BN14" s="13"/>
      <c r="BO14" s="13"/>
      <c r="BP14" s="52"/>
      <c r="BQ14" s="52"/>
      <c r="BR14" s="52"/>
      <c r="BS14" s="52"/>
      <c r="BT14" s="52"/>
      <c r="BU14" s="52"/>
      <c r="BV14" s="52"/>
      <c r="BW14" s="13"/>
      <c r="BX14" s="13"/>
      <c r="BY14" s="13"/>
      <c r="BZ14" s="13"/>
      <c r="CA14" s="13"/>
      <c r="CB14" s="13"/>
      <c r="CC14" s="13"/>
      <c r="CD14" s="52"/>
      <c r="CE14" s="52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3"/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2"/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3">
        <v>2.0</v>
      </c>
      <c r="AP15" s="53">
        <v>2.0</v>
      </c>
      <c r="AQ15" s="52"/>
      <c r="AR15" s="52"/>
      <c r="AS15" s="52"/>
      <c r="AT15" s="52"/>
      <c r="AU15" s="13"/>
      <c r="AV15" s="14">
        <v>1.0</v>
      </c>
      <c r="AW15" s="14">
        <v>1.0</v>
      </c>
      <c r="AX15" s="13"/>
      <c r="AY15" s="13"/>
      <c r="AZ15" s="13"/>
      <c r="BA15" s="13"/>
      <c r="BB15" s="52"/>
      <c r="BC15" s="52"/>
      <c r="BD15" s="52"/>
      <c r="BE15" s="52"/>
      <c r="BF15" s="52"/>
      <c r="BG15" s="52"/>
      <c r="BH15" s="52"/>
      <c r="BI15" s="13"/>
      <c r="BJ15" s="13"/>
      <c r="BK15" s="13"/>
      <c r="BL15" s="13"/>
      <c r="BM15" s="13"/>
      <c r="BN15" s="13"/>
      <c r="BO15" s="13"/>
      <c r="BP15" s="52"/>
      <c r="BQ15" s="52"/>
      <c r="BR15" s="52"/>
      <c r="BS15" s="52"/>
      <c r="BT15" s="52"/>
      <c r="BU15" s="52"/>
      <c r="BV15" s="52"/>
      <c r="BW15" s="13"/>
      <c r="BX15" s="13"/>
      <c r="BY15" s="13"/>
      <c r="BZ15" s="13"/>
      <c r="CA15" s="13"/>
      <c r="CB15" s="13"/>
      <c r="CC15" s="13"/>
      <c r="CD15" s="52"/>
      <c r="CE15" s="52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3</v>
      </c>
      <c r="CM15" s="56">
        <f t="shared" si="10"/>
        <v>3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3"/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2"/>
      <c r="BD16" s="52"/>
      <c r="BE16" s="52"/>
      <c r="BF16" s="52"/>
      <c r="BG16" s="52"/>
      <c r="BH16" s="52"/>
      <c r="BI16" s="13"/>
      <c r="BJ16" s="13"/>
      <c r="BK16" s="13"/>
      <c r="BL16" s="13"/>
      <c r="BM16" s="13"/>
      <c r="BN16" s="13"/>
      <c r="BO16" s="13"/>
      <c r="BP16" s="52"/>
      <c r="BQ16" s="52"/>
      <c r="BR16" s="52"/>
      <c r="BS16" s="52"/>
      <c r="BT16" s="52"/>
      <c r="BU16" s="52"/>
      <c r="BV16" s="52"/>
      <c r="BW16" s="13"/>
      <c r="BX16" s="13"/>
      <c r="BY16" s="13"/>
      <c r="BZ16" s="13"/>
      <c r="CA16" s="13"/>
      <c r="CB16" s="13"/>
      <c r="CC16" s="13"/>
      <c r="CD16" s="52"/>
      <c r="CE16" s="52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0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2"/>
      <c r="BD17" s="52"/>
      <c r="BE17" s="52"/>
      <c r="BF17" s="52"/>
      <c r="BG17" s="52"/>
      <c r="BH17" s="52"/>
      <c r="BI17" s="13"/>
      <c r="BJ17" s="13"/>
      <c r="BK17" s="13"/>
      <c r="BL17" s="13"/>
      <c r="BM17" s="13"/>
      <c r="BN17" s="13"/>
      <c r="BO17" s="13"/>
      <c r="BP17" s="52"/>
      <c r="BQ17" s="52"/>
      <c r="BR17" s="52"/>
      <c r="BS17" s="52"/>
      <c r="BT17" s="52"/>
      <c r="BU17" s="52"/>
      <c r="BV17" s="52"/>
      <c r="BW17" s="13"/>
      <c r="BX17" s="13"/>
      <c r="BY17" s="13"/>
      <c r="BZ17" s="13"/>
      <c r="CA17" s="13"/>
      <c r="CB17" s="13"/>
      <c r="CC17" s="13"/>
      <c r="CD17" s="52"/>
      <c r="CE17" s="52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2"/>
      <c r="BD18" s="52"/>
      <c r="BE18" s="52"/>
      <c r="BF18" s="52"/>
      <c r="BG18" s="52"/>
      <c r="BH18" s="52"/>
      <c r="BI18" s="13"/>
      <c r="BJ18" s="13"/>
      <c r="BK18" s="13"/>
      <c r="BL18" s="13"/>
      <c r="BM18" s="13"/>
      <c r="BN18" s="13"/>
      <c r="BO18" s="13"/>
      <c r="BP18" s="52"/>
      <c r="BQ18" s="52"/>
      <c r="BR18" s="52"/>
      <c r="BS18" s="52"/>
      <c r="BT18" s="52"/>
      <c r="BU18" s="52"/>
      <c r="BV18" s="52"/>
      <c r="BW18" s="13"/>
      <c r="BX18" s="13"/>
      <c r="BY18" s="13"/>
      <c r="BZ18" s="13"/>
      <c r="CA18" s="13"/>
      <c r="CB18" s="13"/>
      <c r="CC18" s="13"/>
      <c r="CD18" s="52"/>
      <c r="CE18" s="52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4">
        <v>1.0</v>
      </c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2"/>
      <c r="BD19" s="52"/>
      <c r="BE19" s="52"/>
      <c r="BF19" s="52"/>
      <c r="BG19" s="52"/>
      <c r="BH19" s="52"/>
      <c r="BI19" s="13"/>
      <c r="BJ19" s="13"/>
      <c r="BK19" s="13"/>
      <c r="BL19" s="13"/>
      <c r="BM19" s="13"/>
      <c r="BN19" s="13"/>
      <c r="BO19" s="13"/>
      <c r="BP19" s="52"/>
      <c r="BQ19" s="52"/>
      <c r="BR19" s="52"/>
      <c r="BS19" s="52"/>
      <c r="BT19" s="52"/>
      <c r="BU19" s="52"/>
      <c r="BV19" s="52"/>
      <c r="BW19" s="13"/>
      <c r="BX19" s="13"/>
      <c r="BY19" s="13"/>
      <c r="BZ19" s="13"/>
      <c r="CA19" s="13"/>
      <c r="CB19" s="13"/>
      <c r="CC19" s="13"/>
      <c r="CD19" s="52"/>
      <c r="CE19" s="52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1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2"/>
      <c r="BD20" s="52"/>
      <c r="BE20" s="52"/>
      <c r="BF20" s="52"/>
      <c r="BG20" s="52"/>
      <c r="BH20" s="52"/>
      <c r="BI20" s="13"/>
      <c r="BJ20" s="13"/>
      <c r="BK20" s="13"/>
      <c r="BL20" s="13"/>
      <c r="BM20" s="13"/>
      <c r="BN20" s="13"/>
      <c r="BO20" s="13"/>
      <c r="BP20" s="52"/>
      <c r="BQ20" s="52"/>
      <c r="BR20" s="52"/>
      <c r="BS20" s="52"/>
      <c r="BT20" s="52"/>
      <c r="BU20" s="52"/>
      <c r="BV20" s="52"/>
      <c r="BW20" s="13"/>
      <c r="BX20" s="13"/>
      <c r="BY20" s="13"/>
      <c r="BZ20" s="13"/>
      <c r="CA20" s="13"/>
      <c r="CB20" s="13"/>
      <c r="CC20" s="13"/>
      <c r="CD20" s="52"/>
      <c r="CE20" s="52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2"/>
      <c r="BD21" s="52"/>
      <c r="BE21" s="52"/>
      <c r="BF21" s="52"/>
      <c r="BG21" s="52"/>
      <c r="BH21" s="52"/>
      <c r="BI21" s="13"/>
      <c r="BJ21" s="13"/>
      <c r="BK21" s="13"/>
      <c r="BL21" s="13"/>
      <c r="BM21" s="13"/>
      <c r="BN21" s="13"/>
      <c r="BO21" s="13"/>
      <c r="BP21" s="52"/>
      <c r="BQ21" s="52"/>
      <c r="BR21" s="52"/>
      <c r="BS21" s="52"/>
      <c r="BT21" s="52"/>
      <c r="BU21" s="52"/>
      <c r="BV21" s="52"/>
      <c r="BW21" s="13"/>
      <c r="BX21" s="13"/>
      <c r="BY21" s="13"/>
      <c r="BZ21" s="13"/>
      <c r="CA21" s="13"/>
      <c r="CB21" s="13"/>
      <c r="CC21" s="13"/>
      <c r="CD21" s="52"/>
      <c r="CE21" s="52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2"/>
      <c r="BD22" s="52"/>
      <c r="BE22" s="52"/>
      <c r="BF22" s="52"/>
      <c r="BG22" s="52"/>
      <c r="BH22" s="52"/>
      <c r="BI22" s="13"/>
      <c r="BJ22" s="13"/>
      <c r="BK22" s="13"/>
      <c r="BL22" s="13"/>
      <c r="BM22" s="13"/>
      <c r="BN22" s="13"/>
      <c r="BO22" s="13"/>
      <c r="BP22" s="52"/>
      <c r="BQ22" s="52"/>
      <c r="BR22" s="52"/>
      <c r="BS22" s="52"/>
      <c r="BT22" s="52"/>
      <c r="BU22" s="52"/>
      <c r="BV22" s="52"/>
      <c r="BW22" s="13"/>
      <c r="BX22" s="13"/>
      <c r="BY22" s="13"/>
      <c r="BZ22" s="13"/>
      <c r="CA22" s="13"/>
      <c r="CB22" s="13"/>
      <c r="CC22" s="13"/>
      <c r="CD22" s="52"/>
      <c r="CE22" s="52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2"/>
      <c r="BD23" s="52"/>
      <c r="BE23" s="52"/>
      <c r="BF23" s="52"/>
      <c r="BG23" s="52"/>
      <c r="BH23" s="52"/>
      <c r="BI23" s="13"/>
      <c r="BJ23" s="13"/>
      <c r="BK23" s="13"/>
      <c r="BL23" s="13"/>
      <c r="BM23" s="13"/>
      <c r="BN23" s="13"/>
      <c r="BO23" s="13"/>
      <c r="BP23" s="52"/>
      <c r="BQ23" s="52"/>
      <c r="BR23" s="52"/>
      <c r="BS23" s="52"/>
      <c r="BT23" s="52"/>
      <c r="BU23" s="52"/>
      <c r="BV23" s="52"/>
      <c r="BW23" s="13"/>
      <c r="BX23" s="13"/>
      <c r="BY23" s="13"/>
      <c r="BZ23" s="13"/>
      <c r="CA23" s="13"/>
      <c r="CB23" s="13"/>
      <c r="CC23" s="13"/>
      <c r="CD23" s="52"/>
      <c r="CE23" s="52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2"/>
      <c r="BD24" s="52"/>
      <c r="BE24" s="52"/>
      <c r="BF24" s="52"/>
      <c r="BG24" s="52"/>
      <c r="BH24" s="52"/>
      <c r="BI24" s="13"/>
      <c r="BJ24" s="13"/>
      <c r="BK24" s="13"/>
      <c r="BL24" s="13"/>
      <c r="BM24" s="13"/>
      <c r="BN24" s="13"/>
      <c r="BO24" s="13"/>
      <c r="BP24" s="52"/>
      <c r="BQ24" s="52"/>
      <c r="BR24" s="52"/>
      <c r="BS24" s="52"/>
      <c r="BT24" s="52"/>
      <c r="BU24" s="52"/>
      <c r="BV24" s="52"/>
      <c r="BW24" s="13"/>
      <c r="BX24" s="13"/>
      <c r="BY24" s="13"/>
      <c r="BZ24" s="13"/>
      <c r="CA24" s="13"/>
      <c r="CB24" s="13"/>
      <c r="CC24" s="13"/>
      <c r="CD24" s="52"/>
      <c r="CE24" s="52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0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2"/>
      <c r="BD25" s="52"/>
      <c r="BE25" s="52"/>
      <c r="BF25" s="52"/>
      <c r="BG25" s="52"/>
      <c r="BH25" s="52"/>
      <c r="BI25" s="13"/>
      <c r="BJ25" s="13"/>
      <c r="BK25" s="13"/>
      <c r="BL25" s="13"/>
      <c r="BM25" s="13"/>
      <c r="BN25" s="13"/>
      <c r="BO25" s="13"/>
      <c r="BP25" s="52"/>
      <c r="BQ25" s="52"/>
      <c r="BR25" s="52"/>
      <c r="BS25" s="52"/>
      <c r="BT25" s="52"/>
      <c r="BU25" s="52"/>
      <c r="BV25" s="52"/>
      <c r="BW25" s="13"/>
      <c r="BX25" s="13"/>
      <c r="BY25" s="13"/>
      <c r="BZ25" s="13"/>
      <c r="CA25" s="13"/>
      <c r="CB25" s="13"/>
      <c r="CC25" s="13"/>
      <c r="CD25" s="52"/>
      <c r="CE25" s="52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2"/>
      <c r="BD26" s="52"/>
      <c r="BE26" s="52"/>
      <c r="BF26" s="52"/>
      <c r="BG26" s="52"/>
      <c r="BH26" s="52"/>
      <c r="BI26" s="13"/>
      <c r="BJ26" s="13"/>
      <c r="BK26" s="13"/>
      <c r="BL26" s="13"/>
      <c r="BM26" s="13"/>
      <c r="BN26" s="13"/>
      <c r="BO26" s="13"/>
      <c r="BP26" s="52"/>
      <c r="BQ26" s="52"/>
      <c r="BR26" s="52"/>
      <c r="BS26" s="52"/>
      <c r="BT26" s="52"/>
      <c r="BU26" s="52"/>
      <c r="BV26" s="52"/>
      <c r="BW26" s="13"/>
      <c r="BX26" s="13"/>
      <c r="BY26" s="13"/>
      <c r="BZ26" s="13"/>
      <c r="CA26" s="13"/>
      <c r="CB26" s="13"/>
      <c r="CC26" s="13"/>
      <c r="CD26" s="52"/>
      <c r="CE26" s="52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2"/>
      <c r="BD27" s="52"/>
      <c r="BE27" s="52"/>
      <c r="BF27" s="52"/>
      <c r="BG27" s="52"/>
      <c r="BH27" s="52"/>
      <c r="BI27" s="13"/>
      <c r="BJ27" s="13"/>
      <c r="BK27" s="13"/>
      <c r="BL27" s="13"/>
      <c r="BM27" s="13"/>
      <c r="BN27" s="13"/>
      <c r="BO27" s="13"/>
      <c r="BP27" s="52"/>
      <c r="BQ27" s="52"/>
      <c r="BR27" s="52"/>
      <c r="BS27" s="52"/>
      <c r="BT27" s="52"/>
      <c r="BU27" s="52"/>
      <c r="BV27" s="52"/>
      <c r="BW27" s="13"/>
      <c r="BX27" s="13"/>
      <c r="BY27" s="13"/>
      <c r="BZ27" s="13"/>
      <c r="CA27" s="13"/>
      <c r="CB27" s="13"/>
      <c r="CC27" s="13"/>
      <c r="CD27" s="52"/>
      <c r="CE27" s="52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3"/>
      <c r="G28" s="13"/>
      <c r="H28" s="13"/>
      <c r="I28" s="35"/>
      <c r="J28" s="35"/>
      <c r="K28" s="35"/>
      <c r="L28" s="52"/>
      <c r="M28" s="52"/>
      <c r="N28" s="52"/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2"/>
      <c r="AB28" s="52"/>
      <c r="AC28" s="52"/>
      <c r="AD28" s="58"/>
      <c r="AE28" s="58"/>
      <c r="AF28" s="58"/>
      <c r="AG28" s="13"/>
      <c r="AH28" s="13"/>
      <c r="AI28" s="13"/>
      <c r="AJ28" s="13"/>
      <c r="AK28" s="35"/>
      <c r="AL28" s="35"/>
      <c r="AM28" s="35"/>
      <c r="AN28" s="52"/>
      <c r="AO28" s="52"/>
      <c r="AP28" s="52"/>
      <c r="AQ28" s="52"/>
      <c r="AR28" s="58"/>
      <c r="AS28" s="58"/>
      <c r="AT28" s="58"/>
      <c r="AU28" s="13"/>
      <c r="AV28" s="13"/>
      <c r="AW28" s="13"/>
      <c r="AX28" s="13"/>
      <c r="AY28" s="35"/>
      <c r="AZ28" s="35"/>
      <c r="BA28" s="35"/>
      <c r="BB28" s="52"/>
      <c r="BC28" s="52"/>
      <c r="BD28" s="52"/>
      <c r="BE28" s="52"/>
      <c r="BF28" s="58"/>
      <c r="BG28" s="58"/>
      <c r="BH28" s="58"/>
      <c r="BI28" s="13"/>
      <c r="BJ28" s="13"/>
      <c r="BK28" s="13"/>
      <c r="BL28" s="13"/>
      <c r="BM28" s="35"/>
      <c r="BN28" s="35"/>
      <c r="BO28" s="35"/>
      <c r="BP28" s="52"/>
      <c r="BQ28" s="52"/>
      <c r="BR28" s="52"/>
      <c r="BS28" s="52"/>
      <c r="BT28" s="58"/>
      <c r="BU28" s="58"/>
      <c r="BV28" s="58"/>
      <c r="BW28" s="13"/>
      <c r="BX28" s="13"/>
      <c r="BY28" s="13"/>
      <c r="BZ28" s="13"/>
      <c r="CA28" s="35"/>
      <c r="CB28" s="35"/>
      <c r="CC28" s="35"/>
      <c r="CD28" s="52"/>
      <c r="CE28" s="52"/>
      <c r="CF28" s="52"/>
      <c r="CG28" s="52"/>
      <c r="CH28" s="58"/>
      <c r="CI28" s="58"/>
      <c r="CJ28" s="58"/>
      <c r="CK28" s="56">
        <f t="shared" ref="CK28:CQ28" si="23">SUM(E28,L28,S28,Z28,AG28,AN28,AU28,BB28,BI28,BP28,BW28,CD28)</f>
        <v>0</v>
      </c>
      <c r="CL28" s="56">
        <f t="shared" si="23"/>
        <v>0</v>
      </c>
      <c r="CM28" s="56">
        <f t="shared" si="23"/>
        <v>0</v>
      </c>
      <c r="CN28" s="56">
        <f t="shared" si="23"/>
        <v>0</v>
      </c>
      <c r="CO28" s="56">
        <f t="shared" si="23"/>
        <v>0</v>
      </c>
      <c r="CP28" s="56">
        <f t="shared" si="23"/>
        <v>0</v>
      </c>
      <c r="CQ28" s="56">
        <f t="shared" si="23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3"/>
      <c r="F29" s="13"/>
      <c r="G29" s="13"/>
      <c r="H29" s="13"/>
      <c r="I29" s="35"/>
      <c r="J29" s="35"/>
      <c r="K29" s="35"/>
      <c r="L29" s="52"/>
      <c r="M29" s="52"/>
      <c r="N29" s="52"/>
      <c r="O29" s="52"/>
      <c r="P29" s="58"/>
      <c r="Q29" s="58"/>
      <c r="R29" s="58"/>
      <c r="S29" s="13"/>
      <c r="T29" s="13"/>
      <c r="U29" s="13"/>
      <c r="V29" s="13"/>
      <c r="W29" s="35"/>
      <c r="X29" s="35"/>
      <c r="Y29" s="35"/>
      <c r="Z29" s="52"/>
      <c r="AA29" s="52"/>
      <c r="AB29" s="52"/>
      <c r="AC29" s="52"/>
      <c r="AD29" s="58"/>
      <c r="AE29" s="58"/>
      <c r="AF29" s="58"/>
      <c r="AG29" s="13"/>
      <c r="AH29" s="13"/>
      <c r="AI29" s="13"/>
      <c r="AJ29" s="13"/>
      <c r="AK29" s="35"/>
      <c r="AL29" s="35"/>
      <c r="AM29" s="35"/>
      <c r="AN29" s="52"/>
      <c r="AO29" s="52"/>
      <c r="AP29" s="52"/>
      <c r="AQ29" s="52"/>
      <c r="AR29" s="58"/>
      <c r="AS29" s="58"/>
      <c r="AT29" s="58"/>
      <c r="AU29" s="13"/>
      <c r="AV29" s="13"/>
      <c r="AW29" s="13"/>
      <c r="AX29" s="13"/>
      <c r="AY29" s="35"/>
      <c r="AZ29" s="35"/>
      <c r="BA29" s="35"/>
      <c r="BB29" s="52"/>
      <c r="BC29" s="52"/>
      <c r="BD29" s="52"/>
      <c r="BE29" s="52"/>
      <c r="BF29" s="58"/>
      <c r="BG29" s="58"/>
      <c r="BH29" s="58"/>
      <c r="BI29" s="13"/>
      <c r="BJ29" s="13"/>
      <c r="BK29" s="13"/>
      <c r="BL29" s="13"/>
      <c r="BM29" s="35"/>
      <c r="BN29" s="35"/>
      <c r="BO29" s="35"/>
      <c r="BP29" s="52"/>
      <c r="BQ29" s="52"/>
      <c r="BR29" s="52"/>
      <c r="BS29" s="52"/>
      <c r="BT29" s="58"/>
      <c r="BU29" s="58"/>
      <c r="BV29" s="58"/>
      <c r="BW29" s="13"/>
      <c r="BX29" s="13"/>
      <c r="BY29" s="13"/>
      <c r="BZ29" s="13"/>
      <c r="CA29" s="35"/>
      <c r="CB29" s="35"/>
      <c r="CC29" s="35"/>
      <c r="CD29" s="52"/>
      <c r="CE29" s="52"/>
      <c r="CF29" s="52"/>
      <c r="CG29" s="52"/>
      <c r="CH29" s="58"/>
      <c r="CI29" s="58"/>
      <c r="CJ29" s="58"/>
      <c r="CK29" s="56">
        <f t="shared" ref="CK29:CQ29" si="24">SUM(E29,L29,S29,Z29,AG29,AN29,AU29,BB29,BI29,BP29,BW29,CD29)</f>
        <v>0</v>
      </c>
      <c r="CL29" s="56">
        <f t="shared" si="24"/>
        <v>0</v>
      </c>
      <c r="CM29" s="56">
        <f t="shared" si="24"/>
        <v>0</v>
      </c>
      <c r="CN29" s="56">
        <f t="shared" si="24"/>
        <v>0</v>
      </c>
      <c r="CO29" s="56">
        <f t="shared" si="24"/>
        <v>0</v>
      </c>
      <c r="CP29" s="56">
        <f t="shared" si="24"/>
        <v>0</v>
      </c>
      <c r="CQ29" s="56">
        <f t="shared" si="24"/>
        <v>0</v>
      </c>
    </row>
    <row r="30" ht="15.75" customHeight="1">
      <c r="A30" s="4"/>
      <c r="B30" s="60"/>
      <c r="C30" s="4"/>
      <c r="D30" s="4"/>
      <c r="E30" s="13">
        <f t="shared" ref="E30:Z30" si="25">SUM(E6:E27)</f>
        <v>0</v>
      </c>
      <c r="F30" s="13">
        <f t="shared" si="25"/>
        <v>70</v>
      </c>
      <c r="G30" s="13">
        <f t="shared" si="25"/>
        <v>61</v>
      </c>
      <c r="H30" s="13">
        <f t="shared" si="25"/>
        <v>0</v>
      </c>
      <c r="I30" s="17">
        <f t="shared" si="25"/>
        <v>0</v>
      </c>
      <c r="J30" s="17">
        <f t="shared" si="25"/>
        <v>0</v>
      </c>
      <c r="K30" s="17">
        <f t="shared" si="25"/>
        <v>0</v>
      </c>
      <c r="L30" s="52">
        <f t="shared" si="25"/>
        <v>0</v>
      </c>
      <c r="M30" s="52">
        <f t="shared" si="25"/>
        <v>60</v>
      </c>
      <c r="N30" s="52">
        <f t="shared" si="25"/>
        <v>0</v>
      </c>
      <c r="O30" s="52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13">
        <f t="shared" si="25"/>
        <v>0</v>
      </c>
      <c r="T30" s="13">
        <f t="shared" si="25"/>
        <v>70</v>
      </c>
      <c r="U30" s="13">
        <f t="shared" si="25"/>
        <v>60</v>
      </c>
      <c r="V30" s="13">
        <f t="shared" si="25"/>
        <v>0</v>
      </c>
      <c r="W30" s="17">
        <f t="shared" si="25"/>
        <v>0</v>
      </c>
      <c r="X30" s="17">
        <f t="shared" si="25"/>
        <v>0</v>
      </c>
      <c r="Y30" s="17">
        <f t="shared" si="25"/>
        <v>0</v>
      </c>
      <c r="Z30" s="52">
        <f t="shared" si="25"/>
        <v>0</v>
      </c>
      <c r="AA30" s="52">
        <f>SUM(AA6:AA29)</f>
        <v>100</v>
      </c>
      <c r="AB30" s="52">
        <f t="shared" ref="AB30:AG30" si="26">SUM(AB6:AB27)</f>
        <v>100</v>
      </c>
      <c r="AC30" s="52">
        <f t="shared" si="26"/>
        <v>0</v>
      </c>
      <c r="AD30" s="61">
        <f t="shared" si="26"/>
        <v>0</v>
      </c>
      <c r="AE30" s="61">
        <f t="shared" si="26"/>
        <v>0</v>
      </c>
      <c r="AF30" s="61">
        <f t="shared" si="26"/>
        <v>0</v>
      </c>
      <c r="AG30" s="13">
        <f t="shared" si="26"/>
        <v>0</v>
      </c>
      <c r="AH30" s="13">
        <f>SUM(AH6:AH29)</f>
        <v>40</v>
      </c>
      <c r="AI30" s="13">
        <f t="shared" ref="AI30:AN30" si="27">SUM(AI6:AI27)</f>
        <v>50</v>
      </c>
      <c r="AJ30" s="13">
        <f t="shared" si="27"/>
        <v>0</v>
      </c>
      <c r="AK30" s="17">
        <f t="shared" si="27"/>
        <v>0</v>
      </c>
      <c r="AL30" s="17">
        <f t="shared" si="27"/>
        <v>0</v>
      </c>
      <c r="AM30" s="17">
        <f t="shared" si="27"/>
        <v>0</v>
      </c>
      <c r="AN30" s="52">
        <f t="shared" si="27"/>
        <v>0</v>
      </c>
      <c r="AO30" s="52">
        <f>SUM(AO6:AO29)</f>
        <v>32</v>
      </c>
      <c r="AP30" s="52">
        <f t="shared" ref="AP30:AU30" si="28">SUM(AP6:AP27)</f>
        <v>2</v>
      </c>
      <c r="AQ30" s="52">
        <f t="shared" si="28"/>
        <v>0</v>
      </c>
      <c r="AR30" s="61">
        <f t="shared" si="28"/>
        <v>0</v>
      </c>
      <c r="AS30" s="61">
        <f t="shared" si="28"/>
        <v>0</v>
      </c>
      <c r="AT30" s="61">
        <f t="shared" si="28"/>
        <v>0</v>
      </c>
      <c r="AU30" s="13">
        <f t="shared" si="28"/>
        <v>0</v>
      </c>
      <c r="AV30" s="13">
        <f>SUM(AV6:AV29)</f>
        <v>61</v>
      </c>
      <c r="AW30" s="13">
        <f t="shared" ref="AW30:BB30" si="29">SUM(AW6:AW27)</f>
        <v>51</v>
      </c>
      <c r="AX30" s="13">
        <f t="shared" si="29"/>
        <v>0</v>
      </c>
      <c r="AY30" s="17">
        <f t="shared" si="29"/>
        <v>0</v>
      </c>
      <c r="AZ30" s="17">
        <f t="shared" si="29"/>
        <v>0</v>
      </c>
      <c r="BA30" s="17">
        <f t="shared" si="29"/>
        <v>0</v>
      </c>
      <c r="BB30" s="52">
        <f t="shared" si="29"/>
        <v>0</v>
      </c>
      <c r="BC30" s="52">
        <f>SUM(BC6:BC29)</f>
        <v>50</v>
      </c>
      <c r="BD30" s="52">
        <f t="shared" ref="BD30:BI30" si="30">SUM(BD6:BD27)</f>
        <v>48</v>
      </c>
      <c r="BE30" s="52">
        <f t="shared" si="30"/>
        <v>0</v>
      </c>
      <c r="BF30" s="61">
        <f t="shared" si="30"/>
        <v>0</v>
      </c>
      <c r="BG30" s="61">
        <f t="shared" si="30"/>
        <v>0</v>
      </c>
      <c r="BH30" s="61">
        <f t="shared" si="30"/>
        <v>0</v>
      </c>
      <c r="BI30" s="13">
        <f t="shared" si="30"/>
        <v>0</v>
      </c>
      <c r="BJ30" s="13">
        <f>SUM(BJ6:BJ29)</f>
        <v>50</v>
      </c>
      <c r="BK30" s="13">
        <f t="shared" ref="BK30:BQ30" si="31">SUM(BK6:BK27)</f>
        <v>0</v>
      </c>
      <c r="BL30" s="13">
        <f t="shared" si="31"/>
        <v>0</v>
      </c>
      <c r="BM30" s="17">
        <f t="shared" si="31"/>
        <v>0</v>
      </c>
      <c r="BN30" s="17">
        <f t="shared" si="31"/>
        <v>0</v>
      </c>
      <c r="BO30" s="17">
        <f t="shared" si="31"/>
        <v>0</v>
      </c>
      <c r="BP30" s="52">
        <f t="shared" si="31"/>
        <v>0</v>
      </c>
      <c r="BQ30" s="52">
        <f t="shared" si="31"/>
        <v>0</v>
      </c>
      <c r="BR30" s="52">
        <f>SUM(BR6:BR29)</f>
        <v>0</v>
      </c>
      <c r="BS30" s="52">
        <f t="shared" ref="BS30:BW30" si="32">SUM(BS6:BS27)</f>
        <v>0</v>
      </c>
      <c r="BT30" s="61">
        <f t="shared" si="32"/>
        <v>0</v>
      </c>
      <c r="BU30" s="61">
        <f t="shared" si="32"/>
        <v>0</v>
      </c>
      <c r="BV30" s="61">
        <f t="shared" si="32"/>
        <v>0</v>
      </c>
      <c r="BW30" s="13">
        <f t="shared" si="32"/>
        <v>0</v>
      </c>
      <c r="BX30" s="13">
        <f>SUM(BX6:BX29)</f>
        <v>0</v>
      </c>
      <c r="BY30" s="13">
        <f t="shared" ref="BY30:CD30" si="33">SUM(BY6:BY27)</f>
        <v>0</v>
      </c>
      <c r="BZ30" s="13">
        <f t="shared" si="33"/>
        <v>0</v>
      </c>
      <c r="CA30" s="17">
        <f t="shared" si="33"/>
        <v>0</v>
      </c>
      <c r="CB30" s="17">
        <f t="shared" si="33"/>
        <v>0</v>
      </c>
      <c r="CC30" s="17">
        <f t="shared" si="33"/>
        <v>0</v>
      </c>
      <c r="CD30" s="52">
        <f t="shared" si="33"/>
        <v>0</v>
      </c>
      <c r="CE30" s="52">
        <f>SUM(CE6:CE29)</f>
        <v>0</v>
      </c>
      <c r="CF30" s="52">
        <f t="shared" ref="CF30:CK30" si="34">SUM(CF6:CF27)</f>
        <v>0</v>
      </c>
      <c r="CG30" s="52">
        <f t="shared" si="34"/>
        <v>0</v>
      </c>
      <c r="CH30" s="61">
        <f t="shared" si="34"/>
        <v>0</v>
      </c>
      <c r="CI30" s="61">
        <f t="shared" si="34"/>
        <v>0</v>
      </c>
      <c r="CJ30" s="61">
        <f t="shared" si="34"/>
        <v>0</v>
      </c>
      <c r="CK30" s="62">
        <f t="shared" si="34"/>
        <v>0</v>
      </c>
      <c r="CL30" s="62">
        <f>SUM(CL6:CL29)</f>
        <v>533</v>
      </c>
      <c r="CM30" s="62">
        <f t="shared" ref="CM30:CQ30" si="35">SUM(CM6:CM27)</f>
        <v>372</v>
      </c>
      <c r="CN30" s="62">
        <f t="shared" si="35"/>
        <v>0</v>
      </c>
      <c r="CO30" s="62">
        <f t="shared" si="35"/>
        <v>0</v>
      </c>
      <c r="CP30" s="62">
        <f t="shared" si="35"/>
        <v>0</v>
      </c>
      <c r="CQ30" s="62">
        <f t="shared" si="35"/>
        <v>0</v>
      </c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63"/>
      <c r="CH31" s="40"/>
      <c r="CI31" s="40"/>
      <c r="CJ31" s="40"/>
      <c r="CK31" s="4"/>
      <c r="CL31" s="4"/>
      <c r="CM31" s="4"/>
      <c r="CN31" s="4"/>
      <c r="CO31" s="40"/>
      <c r="CP31" s="40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17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1:CG31"/>
    <mergeCell ref="CE32:CG32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29">
    <cfRule type="cellIs" dxfId="0" priority="1" operator="greaterThan">
      <formula>0</formula>
    </cfRule>
  </conditionalFormatting>
  <conditionalFormatting sqref="W6:Y29">
    <cfRule type="cellIs" dxfId="0" priority="2" operator="greaterThan">
      <formula>0</formula>
    </cfRule>
  </conditionalFormatting>
  <conditionalFormatting sqref="AY6:BA29">
    <cfRule type="cellIs" dxfId="0" priority="3" operator="greaterThan">
      <formula>0</formula>
    </cfRule>
  </conditionalFormatting>
  <conditionalFormatting sqref="CA6:CC29">
    <cfRule type="cellIs" dxfId="0" priority="4" operator="greaterThan">
      <formula>0</formula>
    </cfRule>
  </conditionalFormatting>
  <conditionalFormatting sqref="AD6:AF29">
    <cfRule type="cellIs" dxfId="0" priority="5" operator="greaterThan">
      <formula>0</formula>
    </cfRule>
  </conditionalFormatting>
  <conditionalFormatting sqref="AR6:AT29">
    <cfRule type="cellIs" dxfId="0" priority="6" operator="greaterThan">
      <formula>0</formula>
    </cfRule>
  </conditionalFormatting>
  <conditionalFormatting sqref="BF6:BH29">
    <cfRule type="cellIs" dxfId="0" priority="7" operator="greaterThan">
      <formula>0</formula>
    </cfRule>
  </conditionalFormatting>
  <conditionalFormatting sqref="BT6:BV29">
    <cfRule type="cellIs" dxfId="0" priority="8" operator="greaterThan">
      <formula>0</formula>
    </cfRule>
  </conditionalFormatting>
  <conditionalFormatting sqref="CH6:CJ29">
    <cfRule type="cellIs" dxfId="0" priority="9" operator="greaterThan">
      <formula>0</formula>
    </cfRule>
  </conditionalFormatting>
  <conditionalFormatting sqref="P6:R29">
    <cfRule type="cellIs" dxfId="0" priority="10" operator="greaterThan">
      <formula>0</formula>
    </cfRule>
  </conditionalFormatting>
  <conditionalFormatting sqref="AK6:AM29">
    <cfRule type="cellIs" dxfId="0" priority="11" operator="greaterThan">
      <formula>0</formula>
    </cfRule>
  </conditionalFormatting>
  <conditionalFormatting sqref="BM6:BO29">
    <cfRule type="cellIs" dxfId="0" priority="12" operator="greaterThan">
      <formula>0</formula>
    </cfRule>
  </conditionalFormatting>
  <conditionalFormatting sqref="E6:H30 L6:O30 S6:V30 AG6:AJ30 AU6:AX30 BI6:BL30 BW6:BZ30">
    <cfRule type="cellIs" dxfId="0" priority="13" operator="greaterThan">
      <formula>0</formula>
    </cfRule>
  </conditionalFormatting>
  <conditionalFormatting sqref="Z6:AC30">
    <cfRule type="cellIs" dxfId="0" priority="14" operator="greaterThan">
      <formula>0</formula>
    </cfRule>
  </conditionalFormatting>
  <conditionalFormatting sqref="AN6:AQ30">
    <cfRule type="cellIs" dxfId="0" priority="15" operator="greaterThan">
      <formula>0</formula>
    </cfRule>
  </conditionalFormatting>
  <conditionalFormatting sqref="BB6:BE30">
    <cfRule type="cellIs" dxfId="0" priority="16" operator="greaterThan">
      <formula>0</formula>
    </cfRule>
  </conditionalFormatting>
  <conditionalFormatting sqref="BP6:BS30">
    <cfRule type="cellIs" dxfId="0" priority="17" operator="greaterThan">
      <formula>0</formula>
    </cfRule>
  </conditionalFormatting>
  <conditionalFormatting sqref="CD6:CG30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4">
        <v>20.0</v>
      </c>
      <c r="G6" s="13"/>
      <c r="H6" s="13"/>
      <c r="I6" s="13"/>
      <c r="J6" s="13"/>
      <c r="K6" s="51"/>
      <c r="L6" s="52"/>
      <c r="M6" s="53">
        <v>10.0</v>
      </c>
      <c r="N6" s="52"/>
      <c r="O6" s="52"/>
      <c r="P6" s="52"/>
      <c r="Q6" s="52"/>
      <c r="R6" s="52"/>
      <c r="S6" s="13"/>
      <c r="T6" s="14">
        <v>30.0</v>
      </c>
      <c r="U6" s="13"/>
      <c r="V6" s="13"/>
      <c r="W6" s="13"/>
      <c r="X6" s="13"/>
      <c r="Y6" s="13"/>
      <c r="Z6" s="52"/>
      <c r="AA6" s="53">
        <v>50.0</v>
      </c>
      <c r="AB6" s="52"/>
      <c r="AC6" s="52"/>
      <c r="AD6" s="52"/>
      <c r="AE6" s="52"/>
      <c r="AF6" s="52"/>
      <c r="AG6" s="13"/>
      <c r="AH6" s="14">
        <v>20.0</v>
      </c>
      <c r="AI6" s="13"/>
      <c r="AJ6" s="13"/>
      <c r="AK6" s="13"/>
      <c r="AL6" s="13"/>
      <c r="AM6" s="13"/>
      <c r="AN6" s="52"/>
      <c r="AO6" s="53">
        <v>10.0</v>
      </c>
      <c r="AP6" s="52"/>
      <c r="AQ6" s="52"/>
      <c r="AR6" s="52"/>
      <c r="AS6" s="52"/>
      <c r="AT6" s="52"/>
      <c r="AU6" s="13"/>
      <c r="AV6" s="13"/>
      <c r="AW6" s="13"/>
      <c r="AX6" s="13"/>
      <c r="AY6" s="13"/>
      <c r="AZ6" s="13"/>
      <c r="BA6" s="13"/>
      <c r="BB6" s="52"/>
      <c r="BC6" s="53">
        <v>30.0</v>
      </c>
      <c r="BD6" s="53"/>
      <c r="BE6" s="52"/>
      <c r="BF6" s="52"/>
      <c r="BG6" s="52"/>
      <c r="BH6" s="52"/>
      <c r="BI6" s="13"/>
      <c r="BJ6" s="13"/>
      <c r="BK6" s="13"/>
      <c r="BL6" s="13"/>
      <c r="BM6" s="13"/>
      <c r="BN6" s="13"/>
      <c r="BO6" s="13"/>
      <c r="BP6" s="52"/>
      <c r="BQ6" s="52"/>
      <c r="BR6" s="52"/>
      <c r="BS6" s="52"/>
      <c r="BT6" s="52"/>
      <c r="BU6" s="52"/>
      <c r="BV6" s="52"/>
      <c r="BW6" s="13"/>
      <c r="BX6" s="13"/>
      <c r="BY6" s="13"/>
      <c r="BZ6" s="13"/>
      <c r="CA6" s="13"/>
      <c r="CB6" s="13"/>
      <c r="CC6" s="13"/>
      <c r="CD6" s="52"/>
      <c r="CE6" s="52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170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4">
        <v>80.0</v>
      </c>
      <c r="G7" s="14">
        <v>80.0</v>
      </c>
      <c r="H7" s="13"/>
      <c r="I7" s="13"/>
      <c r="J7" s="13"/>
      <c r="K7" s="13"/>
      <c r="L7" s="52"/>
      <c r="M7" s="53">
        <v>80.0</v>
      </c>
      <c r="N7" s="53">
        <v>61.0</v>
      </c>
      <c r="O7" s="52"/>
      <c r="P7" s="52"/>
      <c r="Q7" s="52"/>
      <c r="R7" s="52"/>
      <c r="S7" s="13"/>
      <c r="T7" s="14">
        <v>80.0</v>
      </c>
      <c r="U7" s="14">
        <v>98.0</v>
      </c>
      <c r="V7" s="13"/>
      <c r="W7" s="13"/>
      <c r="X7" s="13"/>
      <c r="Y7" s="13"/>
      <c r="Z7" s="52"/>
      <c r="AA7" s="53">
        <v>50.0</v>
      </c>
      <c r="AB7" s="53">
        <v>108.0</v>
      </c>
      <c r="AC7" s="52"/>
      <c r="AD7" s="52"/>
      <c r="AE7" s="52"/>
      <c r="AF7" s="52"/>
      <c r="AG7" s="13"/>
      <c r="AH7" s="14">
        <v>20.0</v>
      </c>
      <c r="AI7" s="14">
        <v>41.0</v>
      </c>
      <c r="AJ7" s="13"/>
      <c r="AK7" s="13"/>
      <c r="AL7" s="13"/>
      <c r="AM7" s="13"/>
      <c r="AN7" s="52"/>
      <c r="AO7" s="53">
        <v>40.0</v>
      </c>
      <c r="AP7" s="52"/>
      <c r="AQ7" s="52"/>
      <c r="AR7" s="52"/>
      <c r="AS7" s="52"/>
      <c r="AT7" s="52"/>
      <c r="AU7" s="13"/>
      <c r="AV7" s="14">
        <v>50.0</v>
      </c>
      <c r="AW7" s="14">
        <v>47.0</v>
      </c>
      <c r="AX7" s="13"/>
      <c r="AY7" s="13"/>
      <c r="AZ7" s="13"/>
      <c r="BA7" s="13"/>
      <c r="BB7" s="52"/>
      <c r="BC7" s="53">
        <v>50.0</v>
      </c>
      <c r="BD7" s="53">
        <v>55.0</v>
      </c>
      <c r="BE7" s="52"/>
      <c r="BF7" s="52"/>
      <c r="BG7" s="52"/>
      <c r="BH7" s="52"/>
      <c r="BI7" s="13"/>
      <c r="BJ7" s="14">
        <v>50.0</v>
      </c>
      <c r="BK7" s="13"/>
      <c r="BL7" s="13"/>
      <c r="BM7" s="13"/>
      <c r="BN7" s="13"/>
      <c r="BO7" s="13"/>
      <c r="BP7" s="52"/>
      <c r="BQ7" s="52"/>
      <c r="BR7" s="52"/>
      <c r="BS7" s="52"/>
      <c r="BT7" s="52"/>
      <c r="BU7" s="52"/>
      <c r="BV7" s="52"/>
      <c r="BW7" s="13"/>
      <c r="BX7" s="13"/>
      <c r="BY7" s="13"/>
      <c r="BZ7" s="13"/>
      <c r="CA7" s="13"/>
      <c r="CB7" s="13"/>
      <c r="CC7" s="13"/>
      <c r="CD7" s="52"/>
      <c r="CE7" s="52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500</v>
      </c>
      <c r="CM7" s="56">
        <f t="shared" si="2"/>
        <v>490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2"/>
      <c r="BD8" s="52"/>
      <c r="BE8" s="52"/>
      <c r="BF8" s="52"/>
      <c r="BG8" s="52"/>
      <c r="BH8" s="52"/>
      <c r="BI8" s="13"/>
      <c r="BJ8" s="13"/>
      <c r="BK8" s="13"/>
      <c r="BL8" s="13"/>
      <c r="BM8" s="13"/>
      <c r="BN8" s="13"/>
      <c r="BO8" s="13"/>
      <c r="BP8" s="52"/>
      <c r="BQ8" s="52"/>
      <c r="BR8" s="52"/>
      <c r="BS8" s="52"/>
      <c r="BT8" s="52"/>
      <c r="BU8" s="52"/>
      <c r="BV8" s="52"/>
      <c r="BW8" s="13"/>
      <c r="BX8" s="13"/>
      <c r="BY8" s="13"/>
      <c r="BZ8" s="13"/>
      <c r="CA8" s="13"/>
      <c r="CB8" s="13"/>
      <c r="CC8" s="13"/>
      <c r="CD8" s="52"/>
      <c r="CE8" s="52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2"/>
      <c r="BD9" s="52"/>
      <c r="BE9" s="52"/>
      <c r="BF9" s="52"/>
      <c r="BG9" s="52"/>
      <c r="BH9" s="52"/>
      <c r="BI9" s="13"/>
      <c r="BJ9" s="13"/>
      <c r="BK9" s="13"/>
      <c r="BL9" s="13"/>
      <c r="BM9" s="13"/>
      <c r="BN9" s="13"/>
      <c r="BO9" s="13"/>
      <c r="BP9" s="52"/>
      <c r="BQ9" s="52"/>
      <c r="BR9" s="52"/>
      <c r="BS9" s="52"/>
      <c r="BT9" s="52"/>
      <c r="BU9" s="52"/>
      <c r="BV9" s="52"/>
      <c r="BW9" s="13"/>
      <c r="BX9" s="13"/>
      <c r="BY9" s="13"/>
      <c r="BZ9" s="13"/>
      <c r="CA9" s="13"/>
      <c r="CB9" s="13"/>
      <c r="CC9" s="13"/>
      <c r="CD9" s="52"/>
      <c r="CE9" s="52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2"/>
      <c r="BD10" s="52"/>
      <c r="BE10" s="52"/>
      <c r="BF10" s="52"/>
      <c r="BG10" s="52"/>
      <c r="BH10" s="52"/>
      <c r="BI10" s="13"/>
      <c r="BJ10" s="13"/>
      <c r="BK10" s="13"/>
      <c r="BL10" s="13"/>
      <c r="BM10" s="13"/>
      <c r="BN10" s="13"/>
      <c r="BO10" s="13"/>
      <c r="BP10" s="52"/>
      <c r="BQ10" s="52"/>
      <c r="BR10" s="52"/>
      <c r="BS10" s="52"/>
      <c r="BT10" s="52"/>
      <c r="BU10" s="52"/>
      <c r="BV10" s="52"/>
      <c r="BW10" s="13"/>
      <c r="BX10" s="13"/>
      <c r="BY10" s="13"/>
      <c r="BZ10" s="13"/>
      <c r="CA10" s="13"/>
      <c r="CB10" s="13"/>
      <c r="CC10" s="13"/>
      <c r="CD10" s="52"/>
      <c r="CE10" s="52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3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2"/>
      <c r="BD11" s="52"/>
      <c r="BE11" s="52"/>
      <c r="BF11" s="52"/>
      <c r="BG11" s="52"/>
      <c r="BH11" s="52"/>
      <c r="BI11" s="13"/>
      <c r="BJ11" s="13"/>
      <c r="BK11" s="13"/>
      <c r="BL11" s="13"/>
      <c r="BM11" s="13"/>
      <c r="BN11" s="13"/>
      <c r="BO11" s="13"/>
      <c r="BP11" s="52"/>
      <c r="BQ11" s="52"/>
      <c r="BR11" s="52"/>
      <c r="BS11" s="52"/>
      <c r="BT11" s="52"/>
      <c r="BU11" s="52"/>
      <c r="BV11" s="52"/>
      <c r="BW11" s="13"/>
      <c r="BX11" s="13"/>
      <c r="BY11" s="13"/>
      <c r="BZ11" s="13"/>
      <c r="CA11" s="13"/>
      <c r="CB11" s="13"/>
      <c r="CC11" s="13"/>
      <c r="CD11" s="52"/>
      <c r="CE11" s="52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2"/>
      <c r="BD12" s="52"/>
      <c r="BE12" s="52"/>
      <c r="BF12" s="52"/>
      <c r="BG12" s="52"/>
      <c r="BH12" s="52"/>
      <c r="BI12" s="13"/>
      <c r="BJ12" s="13"/>
      <c r="BK12" s="13"/>
      <c r="BL12" s="13"/>
      <c r="BM12" s="13"/>
      <c r="BN12" s="13"/>
      <c r="BO12" s="13"/>
      <c r="BP12" s="52"/>
      <c r="BQ12" s="52"/>
      <c r="BR12" s="52"/>
      <c r="BS12" s="52"/>
      <c r="BT12" s="52"/>
      <c r="BU12" s="52"/>
      <c r="BV12" s="52"/>
      <c r="BW12" s="13"/>
      <c r="BX12" s="13"/>
      <c r="BY12" s="13"/>
      <c r="BZ12" s="13"/>
      <c r="CA12" s="13"/>
      <c r="CB12" s="13"/>
      <c r="CC12" s="13"/>
      <c r="CD12" s="52"/>
      <c r="CE12" s="52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2"/>
      <c r="BD13" s="52"/>
      <c r="BE13" s="52"/>
      <c r="BF13" s="52"/>
      <c r="BG13" s="52"/>
      <c r="BH13" s="52"/>
      <c r="BI13" s="13"/>
      <c r="BJ13" s="13"/>
      <c r="BK13" s="13"/>
      <c r="BL13" s="13"/>
      <c r="BM13" s="13"/>
      <c r="BN13" s="13"/>
      <c r="BO13" s="13"/>
      <c r="BP13" s="52"/>
      <c r="BQ13" s="52"/>
      <c r="BR13" s="52"/>
      <c r="BS13" s="52"/>
      <c r="BT13" s="52"/>
      <c r="BU13" s="52"/>
      <c r="BV13" s="52"/>
      <c r="BW13" s="13"/>
      <c r="BX13" s="13"/>
      <c r="BY13" s="13"/>
      <c r="BZ13" s="13"/>
      <c r="CA13" s="13"/>
      <c r="CB13" s="13"/>
      <c r="CC13" s="13"/>
      <c r="CD13" s="52"/>
      <c r="CE13" s="52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2"/>
      <c r="BD14" s="52"/>
      <c r="BE14" s="52"/>
      <c r="BF14" s="52"/>
      <c r="BG14" s="52"/>
      <c r="BH14" s="52"/>
      <c r="BI14" s="13"/>
      <c r="BJ14" s="13"/>
      <c r="BK14" s="13"/>
      <c r="BL14" s="13"/>
      <c r="BM14" s="13"/>
      <c r="BN14" s="13"/>
      <c r="BO14" s="13"/>
      <c r="BP14" s="52"/>
      <c r="BQ14" s="52"/>
      <c r="BR14" s="52"/>
      <c r="BS14" s="52"/>
      <c r="BT14" s="52"/>
      <c r="BU14" s="52"/>
      <c r="BV14" s="52"/>
      <c r="BW14" s="13"/>
      <c r="BX14" s="13"/>
      <c r="BY14" s="13"/>
      <c r="BZ14" s="13"/>
      <c r="CA14" s="13"/>
      <c r="CB14" s="13"/>
      <c r="CC14" s="13"/>
      <c r="CD14" s="52"/>
      <c r="CE14" s="52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4">
        <v>1.0</v>
      </c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2"/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2"/>
      <c r="AP15" s="52"/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2"/>
      <c r="BD15" s="52"/>
      <c r="BE15" s="52"/>
      <c r="BF15" s="52"/>
      <c r="BG15" s="52"/>
      <c r="BH15" s="52"/>
      <c r="BI15" s="13"/>
      <c r="BJ15" s="13"/>
      <c r="BK15" s="13"/>
      <c r="BL15" s="13"/>
      <c r="BM15" s="13"/>
      <c r="BN15" s="13"/>
      <c r="BO15" s="13"/>
      <c r="BP15" s="52"/>
      <c r="BQ15" s="52"/>
      <c r="BR15" s="52"/>
      <c r="BS15" s="52"/>
      <c r="BT15" s="52"/>
      <c r="BU15" s="52"/>
      <c r="BV15" s="52"/>
      <c r="BW15" s="13"/>
      <c r="BX15" s="13"/>
      <c r="BY15" s="13"/>
      <c r="BZ15" s="13"/>
      <c r="CA15" s="13"/>
      <c r="CB15" s="13"/>
      <c r="CC15" s="13"/>
      <c r="CD15" s="52"/>
      <c r="CE15" s="52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1</v>
      </c>
      <c r="CM15" s="56">
        <f t="shared" si="10"/>
        <v>0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3"/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2"/>
      <c r="BD16" s="52"/>
      <c r="BE16" s="52"/>
      <c r="BF16" s="52"/>
      <c r="BG16" s="52"/>
      <c r="BH16" s="52"/>
      <c r="BI16" s="13"/>
      <c r="BJ16" s="13"/>
      <c r="BK16" s="13"/>
      <c r="BL16" s="13"/>
      <c r="BM16" s="13"/>
      <c r="BN16" s="13"/>
      <c r="BO16" s="13"/>
      <c r="BP16" s="52"/>
      <c r="BQ16" s="52"/>
      <c r="BR16" s="52"/>
      <c r="BS16" s="52"/>
      <c r="BT16" s="52"/>
      <c r="BU16" s="52"/>
      <c r="BV16" s="52"/>
      <c r="BW16" s="13"/>
      <c r="BX16" s="13"/>
      <c r="BY16" s="13"/>
      <c r="BZ16" s="13"/>
      <c r="CA16" s="13"/>
      <c r="CB16" s="13"/>
      <c r="CC16" s="13"/>
      <c r="CD16" s="52"/>
      <c r="CE16" s="52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0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2"/>
      <c r="BD17" s="52"/>
      <c r="BE17" s="52"/>
      <c r="BF17" s="52"/>
      <c r="BG17" s="52"/>
      <c r="BH17" s="52"/>
      <c r="BI17" s="13"/>
      <c r="BJ17" s="13"/>
      <c r="BK17" s="13"/>
      <c r="BL17" s="13"/>
      <c r="BM17" s="13"/>
      <c r="BN17" s="13"/>
      <c r="BO17" s="13"/>
      <c r="BP17" s="52"/>
      <c r="BQ17" s="52"/>
      <c r="BR17" s="52"/>
      <c r="BS17" s="52"/>
      <c r="BT17" s="52"/>
      <c r="BU17" s="52"/>
      <c r="BV17" s="52"/>
      <c r="BW17" s="13"/>
      <c r="BX17" s="13"/>
      <c r="BY17" s="13"/>
      <c r="BZ17" s="13"/>
      <c r="CA17" s="13"/>
      <c r="CB17" s="13"/>
      <c r="CC17" s="13"/>
      <c r="CD17" s="52"/>
      <c r="CE17" s="52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2"/>
      <c r="BD18" s="52"/>
      <c r="BE18" s="52"/>
      <c r="BF18" s="52"/>
      <c r="BG18" s="52"/>
      <c r="BH18" s="52"/>
      <c r="BI18" s="13"/>
      <c r="BJ18" s="13"/>
      <c r="BK18" s="13"/>
      <c r="BL18" s="13"/>
      <c r="BM18" s="13"/>
      <c r="BN18" s="13"/>
      <c r="BO18" s="13"/>
      <c r="BP18" s="52"/>
      <c r="BQ18" s="52"/>
      <c r="BR18" s="52"/>
      <c r="BS18" s="52"/>
      <c r="BT18" s="52"/>
      <c r="BU18" s="52"/>
      <c r="BV18" s="52"/>
      <c r="BW18" s="13"/>
      <c r="BX18" s="13"/>
      <c r="BY18" s="13"/>
      <c r="BZ18" s="13"/>
      <c r="CA18" s="13"/>
      <c r="CB18" s="13"/>
      <c r="CC18" s="13"/>
      <c r="CD18" s="52"/>
      <c r="CE18" s="52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2"/>
      <c r="BD19" s="52"/>
      <c r="BE19" s="52"/>
      <c r="BF19" s="52"/>
      <c r="BG19" s="52"/>
      <c r="BH19" s="52"/>
      <c r="BI19" s="13"/>
      <c r="BJ19" s="13"/>
      <c r="BK19" s="13"/>
      <c r="BL19" s="13"/>
      <c r="BM19" s="13"/>
      <c r="BN19" s="13"/>
      <c r="BO19" s="13"/>
      <c r="BP19" s="52"/>
      <c r="BQ19" s="52"/>
      <c r="BR19" s="52"/>
      <c r="BS19" s="52"/>
      <c r="BT19" s="52"/>
      <c r="BU19" s="52"/>
      <c r="BV19" s="52"/>
      <c r="BW19" s="13"/>
      <c r="BX19" s="13"/>
      <c r="BY19" s="13"/>
      <c r="BZ19" s="13"/>
      <c r="CA19" s="13"/>
      <c r="CB19" s="13"/>
      <c r="CC19" s="13"/>
      <c r="CD19" s="52"/>
      <c r="CE19" s="52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2"/>
      <c r="BD20" s="52"/>
      <c r="BE20" s="52"/>
      <c r="BF20" s="52"/>
      <c r="BG20" s="52"/>
      <c r="BH20" s="52"/>
      <c r="BI20" s="13"/>
      <c r="BJ20" s="13"/>
      <c r="BK20" s="13"/>
      <c r="BL20" s="13"/>
      <c r="BM20" s="13"/>
      <c r="BN20" s="13"/>
      <c r="BO20" s="13"/>
      <c r="BP20" s="52"/>
      <c r="BQ20" s="52"/>
      <c r="BR20" s="52"/>
      <c r="BS20" s="52"/>
      <c r="BT20" s="52"/>
      <c r="BU20" s="52"/>
      <c r="BV20" s="52"/>
      <c r="BW20" s="13"/>
      <c r="BX20" s="13"/>
      <c r="BY20" s="13"/>
      <c r="BZ20" s="13"/>
      <c r="CA20" s="13"/>
      <c r="CB20" s="13"/>
      <c r="CC20" s="13"/>
      <c r="CD20" s="52"/>
      <c r="CE20" s="52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2"/>
      <c r="BD21" s="52"/>
      <c r="BE21" s="52"/>
      <c r="BF21" s="52"/>
      <c r="BG21" s="52"/>
      <c r="BH21" s="52"/>
      <c r="BI21" s="13"/>
      <c r="BJ21" s="13"/>
      <c r="BK21" s="13"/>
      <c r="BL21" s="13"/>
      <c r="BM21" s="13"/>
      <c r="BN21" s="13"/>
      <c r="BO21" s="13"/>
      <c r="BP21" s="52"/>
      <c r="BQ21" s="52"/>
      <c r="BR21" s="52"/>
      <c r="BS21" s="52"/>
      <c r="BT21" s="52"/>
      <c r="BU21" s="52"/>
      <c r="BV21" s="52"/>
      <c r="BW21" s="13"/>
      <c r="BX21" s="13"/>
      <c r="BY21" s="13"/>
      <c r="BZ21" s="13"/>
      <c r="CA21" s="13"/>
      <c r="CB21" s="13"/>
      <c r="CC21" s="13"/>
      <c r="CD21" s="52"/>
      <c r="CE21" s="52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2"/>
      <c r="BD22" s="52"/>
      <c r="BE22" s="52"/>
      <c r="BF22" s="52"/>
      <c r="BG22" s="52"/>
      <c r="BH22" s="52"/>
      <c r="BI22" s="13"/>
      <c r="BJ22" s="13"/>
      <c r="BK22" s="13"/>
      <c r="BL22" s="13"/>
      <c r="BM22" s="13"/>
      <c r="BN22" s="13"/>
      <c r="BO22" s="13"/>
      <c r="BP22" s="52"/>
      <c r="BQ22" s="52"/>
      <c r="BR22" s="52"/>
      <c r="BS22" s="52"/>
      <c r="BT22" s="52"/>
      <c r="BU22" s="52"/>
      <c r="BV22" s="52"/>
      <c r="BW22" s="13"/>
      <c r="BX22" s="13"/>
      <c r="BY22" s="13"/>
      <c r="BZ22" s="13"/>
      <c r="CA22" s="13"/>
      <c r="CB22" s="13"/>
      <c r="CC22" s="13"/>
      <c r="CD22" s="52"/>
      <c r="CE22" s="52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2"/>
      <c r="BD23" s="52"/>
      <c r="BE23" s="52"/>
      <c r="BF23" s="52"/>
      <c r="BG23" s="52"/>
      <c r="BH23" s="52"/>
      <c r="BI23" s="13"/>
      <c r="BJ23" s="13"/>
      <c r="BK23" s="13"/>
      <c r="BL23" s="13"/>
      <c r="BM23" s="13"/>
      <c r="BN23" s="13"/>
      <c r="BO23" s="13"/>
      <c r="BP23" s="52"/>
      <c r="BQ23" s="52"/>
      <c r="BR23" s="52"/>
      <c r="BS23" s="52"/>
      <c r="BT23" s="52"/>
      <c r="BU23" s="52"/>
      <c r="BV23" s="52"/>
      <c r="BW23" s="13"/>
      <c r="BX23" s="13"/>
      <c r="BY23" s="13"/>
      <c r="BZ23" s="13"/>
      <c r="CA23" s="13"/>
      <c r="CB23" s="13"/>
      <c r="CC23" s="13"/>
      <c r="CD23" s="52"/>
      <c r="CE23" s="52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2"/>
      <c r="BD24" s="52"/>
      <c r="BE24" s="52"/>
      <c r="BF24" s="52"/>
      <c r="BG24" s="52"/>
      <c r="BH24" s="52"/>
      <c r="BI24" s="13"/>
      <c r="BJ24" s="13"/>
      <c r="BK24" s="13"/>
      <c r="BL24" s="13"/>
      <c r="BM24" s="13"/>
      <c r="BN24" s="13"/>
      <c r="BO24" s="13"/>
      <c r="BP24" s="52"/>
      <c r="BQ24" s="52"/>
      <c r="BR24" s="52"/>
      <c r="BS24" s="52"/>
      <c r="BT24" s="52"/>
      <c r="BU24" s="52"/>
      <c r="BV24" s="52"/>
      <c r="BW24" s="13"/>
      <c r="BX24" s="13"/>
      <c r="BY24" s="13"/>
      <c r="BZ24" s="13"/>
      <c r="CA24" s="13"/>
      <c r="CB24" s="13"/>
      <c r="CC24" s="13"/>
      <c r="CD24" s="52"/>
      <c r="CE24" s="52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0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2"/>
      <c r="BD25" s="52"/>
      <c r="BE25" s="52"/>
      <c r="BF25" s="52"/>
      <c r="BG25" s="52"/>
      <c r="BH25" s="52"/>
      <c r="BI25" s="13"/>
      <c r="BJ25" s="13"/>
      <c r="BK25" s="13"/>
      <c r="BL25" s="13"/>
      <c r="BM25" s="13"/>
      <c r="BN25" s="13"/>
      <c r="BO25" s="13"/>
      <c r="BP25" s="52"/>
      <c r="BQ25" s="52"/>
      <c r="BR25" s="52"/>
      <c r="BS25" s="52"/>
      <c r="BT25" s="52"/>
      <c r="BU25" s="52"/>
      <c r="BV25" s="52"/>
      <c r="BW25" s="13"/>
      <c r="BX25" s="13"/>
      <c r="BY25" s="13"/>
      <c r="BZ25" s="13"/>
      <c r="CA25" s="13"/>
      <c r="CB25" s="13"/>
      <c r="CC25" s="13"/>
      <c r="CD25" s="52"/>
      <c r="CE25" s="52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2"/>
      <c r="BD26" s="52"/>
      <c r="BE26" s="52"/>
      <c r="BF26" s="52"/>
      <c r="BG26" s="52"/>
      <c r="BH26" s="52"/>
      <c r="BI26" s="13"/>
      <c r="BJ26" s="13"/>
      <c r="BK26" s="13"/>
      <c r="BL26" s="13"/>
      <c r="BM26" s="13"/>
      <c r="BN26" s="13"/>
      <c r="BO26" s="13"/>
      <c r="BP26" s="52"/>
      <c r="BQ26" s="52"/>
      <c r="BR26" s="52"/>
      <c r="BS26" s="52"/>
      <c r="BT26" s="52"/>
      <c r="BU26" s="52"/>
      <c r="BV26" s="52"/>
      <c r="BW26" s="13"/>
      <c r="BX26" s="13"/>
      <c r="BY26" s="13"/>
      <c r="BZ26" s="13"/>
      <c r="CA26" s="13"/>
      <c r="CB26" s="13"/>
      <c r="CC26" s="13"/>
      <c r="CD26" s="52"/>
      <c r="CE26" s="52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2"/>
      <c r="BD27" s="52"/>
      <c r="BE27" s="52"/>
      <c r="BF27" s="52"/>
      <c r="BG27" s="52"/>
      <c r="BH27" s="52"/>
      <c r="BI27" s="13"/>
      <c r="BJ27" s="13"/>
      <c r="BK27" s="13"/>
      <c r="BL27" s="13"/>
      <c r="BM27" s="13"/>
      <c r="BN27" s="13"/>
      <c r="BO27" s="13"/>
      <c r="BP27" s="52"/>
      <c r="BQ27" s="52"/>
      <c r="BR27" s="52"/>
      <c r="BS27" s="52"/>
      <c r="BT27" s="52"/>
      <c r="BU27" s="52"/>
      <c r="BV27" s="52"/>
      <c r="BW27" s="13"/>
      <c r="BX27" s="13"/>
      <c r="BY27" s="13"/>
      <c r="BZ27" s="13"/>
      <c r="CA27" s="13"/>
      <c r="CB27" s="13"/>
      <c r="CC27" s="13"/>
      <c r="CD27" s="52"/>
      <c r="CE27" s="52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3"/>
      <c r="G28" s="13"/>
      <c r="H28" s="13"/>
      <c r="I28" s="35"/>
      <c r="J28" s="35"/>
      <c r="K28" s="35"/>
      <c r="L28" s="52"/>
      <c r="M28" s="52"/>
      <c r="N28" s="52"/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2"/>
      <c r="AB28" s="52"/>
      <c r="AC28" s="52"/>
      <c r="AD28" s="58"/>
      <c r="AE28" s="58"/>
      <c r="AF28" s="58"/>
      <c r="AG28" s="13"/>
      <c r="AH28" s="13"/>
      <c r="AI28" s="13"/>
      <c r="AJ28" s="13"/>
      <c r="AK28" s="35"/>
      <c r="AL28" s="35"/>
      <c r="AM28" s="35"/>
      <c r="AN28" s="52"/>
      <c r="AO28" s="52"/>
      <c r="AP28" s="52"/>
      <c r="AQ28" s="52"/>
      <c r="AR28" s="58"/>
      <c r="AS28" s="58"/>
      <c r="AT28" s="58"/>
      <c r="AU28" s="13"/>
      <c r="AV28" s="13"/>
      <c r="AW28" s="13"/>
      <c r="AX28" s="13"/>
      <c r="AY28" s="35"/>
      <c r="AZ28" s="35"/>
      <c r="BA28" s="35"/>
      <c r="BB28" s="52"/>
      <c r="BC28" s="52"/>
      <c r="BD28" s="52"/>
      <c r="BE28" s="52"/>
      <c r="BF28" s="58"/>
      <c r="BG28" s="58"/>
      <c r="BH28" s="58"/>
      <c r="BI28" s="13"/>
      <c r="BJ28" s="13"/>
      <c r="BK28" s="13"/>
      <c r="BL28" s="13"/>
      <c r="BM28" s="35"/>
      <c r="BN28" s="35"/>
      <c r="BO28" s="35"/>
      <c r="BP28" s="52"/>
      <c r="BQ28" s="52"/>
      <c r="BR28" s="52"/>
      <c r="BS28" s="52"/>
      <c r="BT28" s="58"/>
      <c r="BU28" s="58"/>
      <c r="BV28" s="58"/>
      <c r="BW28" s="13"/>
      <c r="BX28" s="13"/>
      <c r="BY28" s="13"/>
      <c r="BZ28" s="13"/>
      <c r="CA28" s="35"/>
      <c r="CB28" s="35"/>
      <c r="CC28" s="35"/>
      <c r="CD28" s="52"/>
      <c r="CE28" s="52"/>
      <c r="CF28" s="52"/>
      <c r="CG28" s="52"/>
      <c r="CH28" s="58"/>
      <c r="CI28" s="58"/>
      <c r="CJ28" s="58"/>
      <c r="CK28" s="56">
        <f t="shared" ref="CK28:CQ28" si="23">SUM(E28,L28,S28,Z28,AG28,AN28,AU28,BB28,BI28,BP28,BW28,CD28)</f>
        <v>0</v>
      </c>
      <c r="CL28" s="56">
        <f t="shared" si="23"/>
        <v>0</v>
      </c>
      <c r="CM28" s="56">
        <f t="shared" si="23"/>
        <v>0</v>
      </c>
      <c r="CN28" s="56">
        <f t="shared" si="23"/>
        <v>0</v>
      </c>
      <c r="CO28" s="56">
        <f t="shared" si="23"/>
        <v>0</v>
      </c>
      <c r="CP28" s="56">
        <f t="shared" si="23"/>
        <v>0</v>
      </c>
      <c r="CQ28" s="56">
        <f t="shared" si="23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3"/>
      <c r="F29" s="13"/>
      <c r="G29" s="13"/>
      <c r="H29" s="13"/>
      <c r="I29" s="35"/>
      <c r="J29" s="35"/>
      <c r="K29" s="35"/>
      <c r="L29" s="52"/>
      <c r="M29" s="52"/>
      <c r="N29" s="52"/>
      <c r="O29" s="52"/>
      <c r="P29" s="58"/>
      <c r="Q29" s="58"/>
      <c r="R29" s="58"/>
      <c r="S29" s="13"/>
      <c r="T29" s="13"/>
      <c r="U29" s="13"/>
      <c r="V29" s="13"/>
      <c r="W29" s="35"/>
      <c r="X29" s="35"/>
      <c r="Y29" s="35"/>
      <c r="Z29" s="52"/>
      <c r="AA29" s="52"/>
      <c r="AB29" s="52"/>
      <c r="AC29" s="52"/>
      <c r="AD29" s="58"/>
      <c r="AE29" s="58"/>
      <c r="AF29" s="58"/>
      <c r="AG29" s="13"/>
      <c r="AH29" s="13"/>
      <c r="AI29" s="13"/>
      <c r="AJ29" s="13"/>
      <c r="AK29" s="35"/>
      <c r="AL29" s="35"/>
      <c r="AM29" s="35"/>
      <c r="AN29" s="52"/>
      <c r="AO29" s="52"/>
      <c r="AP29" s="52"/>
      <c r="AQ29" s="52"/>
      <c r="AR29" s="58"/>
      <c r="AS29" s="58"/>
      <c r="AT29" s="58"/>
      <c r="AU29" s="13"/>
      <c r="AV29" s="13"/>
      <c r="AW29" s="13"/>
      <c r="AX29" s="13"/>
      <c r="AY29" s="35"/>
      <c r="AZ29" s="35"/>
      <c r="BA29" s="35"/>
      <c r="BB29" s="52"/>
      <c r="BC29" s="52"/>
      <c r="BD29" s="52"/>
      <c r="BE29" s="52"/>
      <c r="BF29" s="58"/>
      <c r="BG29" s="58"/>
      <c r="BH29" s="58"/>
      <c r="BI29" s="13"/>
      <c r="BJ29" s="13"/>
      <c r="BK29" s="13"/>
      <c r="BL29" s="13"/>
      <c r="BM29" s="35"/>
      <c r="BN29" s="35"/>
      <c r="BO29" s="35"/>
      <c r="BP29" s="52"/>
      <c r="BQ29" s="52"/>
      <c r="BR29" s="52"/>
      <c r="BS29" s="52"/>
      <c r="BT29" s="58"/>
      <c r="BU29" s="58"/>
      <c r="BV29" s="58"/>
      <c r="BW29" s="13"/>
      <c r="BX29" s="13"/>
      <c r="BY29" s="13"/>
      <c r="BZ29" s="13"/>
      <c r="CA29" s="35"/>
      <c r="CB29" s="35"/>
      <c r="CC29" s="35"/>
      <c r="CD29" s="52"/>
      <c r="CE29" s="52"/>
      <c r="CF29" s="52"/>
      <c r="CG29" s="52"/>
      <c r="CH29" s="58"/>
      <c r="CI29" s="58"/>
      <c r="CJ29" s="58"/>
      <c r="CK29" s="56">
        <f t="shared" ref="CK29:CQ29" si="24">SUM(E29,L29,S29,Z29,AG29,AN29,AU29,BB29,BI29,BP29,BW29,CD29)</f>
        <v>0</v>
      </c>
      <c r="CL29" s="56">
        <f t="shared" si="24"/>
        <v>0</v>
      </c>
      <c r="CM29" s="56">
        <f t="shared" si="24"/>
        <v>0</v>
      </c>
      <c r="CN29" s="56">
        <f t="shared" si="24"/>
        <v>0</v>
      </c>
      <c r="CO29" s="56">
        <f t="shared" si="24"/>
        <v>0</v>
      </c>
      <c r="CP29" s="56">
        <f t="shared" si="24"/>
        <v>0</v>
      </c>
      <c r="CQ29" s="56">
        <f t="shared" si="24"/>
        <v>0</v>
      </c>
    </row>
    <row r="30" ht="15.75" customHeight="1">
      <c r="A30" s="4"/>
      <c r="B30" s="60"/>
      <c r="C30" s="4"/>
      <c r="D30" s="4"/>
      <c r="E30" s="13">
        <f t="shared" ref="E30:Z30" si="25">SUM(E6:E27)</f>
        <v>0</v>
      </c>
      <c r="F30" s="13">
        <f t="shared" si="25"/>
        <v>101</v>
      </c>
      <c r="G30" s="13">
        <f t="shared" si="25"/>
        <v>80</v>
      </c>
      <c r="H30" s="13">
        <f t="shared" si="25"/>
        <v>0</v>
      </c>
      <c r="I30" s="17">
        <f t="shared" si="25"/>
        <v>0</v>
      </c>
      <c r="J30" s="17">
        <f t="shared" si="25"/>
        <v>0</v>
      </c>
      <c r="K30" s="17">
        <f t="shared" si="25"/>
        <v>0</v>
      </c>
      <c r="L30" s="52">
        <f t="shared" si="25"/>
        <v>0</v>
      </c>
      <c r="M30" s="52">
        <f t="shared" si="25"/>
        <v>90</v>
      </c>
      <c r="N30" s="52">
        <f t="shared" si="25"/>
        <v>61</v>
      </c>
      <c r="O30" s="52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13">
        <f t="shared" si="25"/>
        <v>0</v>
      </c>
      <c r="T30" s="13">
        <f t="shared" si="25"/>
        <v>110</v>
      </c>
      <c r="U30" s="13">
        <f t="shared" si="25"/>
        <v>98</v>
      </c>
      <c r="V30" s="13">
        <f t="shared" si="25"/>
        <v>0</v>
      </c>
      <c r="W30" s="17">
        <f t="shared" si="25"/>
        <v>0</v>
      </c>
      <c r="X30" s="17">
        <f t="shared" si="25"/>
        <v>0</v>
      </c>
      <c r="Y30" s="17">
        <f t="shared" si="25"/>
        <v>0</v>
      </c>
      <c r="Z30" s="52">
        <f t="shared" si="25"/>
        <v>0</v>
      </c>
      <c r="AA30" s="52">
        <f>SUM(AA6:AA29)</f>
        <v>100</v>
      </c>
      <c r="AB30" s="52">
        <f t="shared" ref="AB30:AG30" si="26">SUM(AB6:AB27)</f>
        <v>108</v>
      </c>
      <c r="AC30" s="52">
        <f t="shared" si="26"/>
        <v>0</v>
      </c>
      <c r="AD30" s="61">
        <f t="shared" si="26"/>
        <v>0</v>
      </c>
      <c r="AE30" s="61">
        <f t="shared" si="26"/>
        <v>0</v>
      </c>
      <c r="AF30" s="61">
        <f t="shared" si="26"/>
        <v>0</v>
      </c>
      <c r="AG30" s="13">
        <f t="shared" si="26"/>
        <v>0</v>
      </c>
      <c r="AH30" s="13">
        <f>SUM(AH6:AH29)</f>
        <v>40</v>
      </c>
      <c r="AI30" s="13">
        <f t="shared" ref="AI30:AN30" si="27">SUM(AI6:AI27)</f>
        <v>41</v>
      </c>
      <c r="AJ30" s="13">
        <f t="shared" si="27"/>
        <v>0</v>
      </c>
      <c r="AK30" s="17">
        <f t="shared" si="27"/>
        <v>0</v>
      </c>
      <c r="AL30" s="17">
        <f t="shared" si="27"/>
        <v>0</v>
      </c>
      <c r="AM30" s="17">
        <f t="shared" si="27"/>
        <v>0</v>
      </c>
      <c r="AN30" s="52">
        <f t="shared" si="27"/>
        <v>0</v>
      </c>
      <c r="AO30" s="52">
        <f>SUM(AO6:AO29)</f>
        <v>50</v>
      </c>
      <c r="AP30" s="52">
        <f t="shared" ref="AP30:AU30" si="28">SUM(AP6:AP27)</f>
        <v>0</v>
      </c>
      <c r="AQ30" s="52">
        <f t="shared" si="28"/>
        <v>0</v>
      </c>
      <c r="AR30" s="61">
        <f t="shared" si="28"/>
        <v>0</v>
      </c>
      <c r="AS30" s="61">
        <f t="shared" si="28"/>
        <v>0</v>
      </c>
      <c r="AT30" s="61">
        <f t="shared" si="28"/>
        <v>0</v>
      </c>
      <c r="AU30" s="13">
        <f t="shared" si="28"/>
        <v>0</v>
      </c>
      <c r="AV30" s="13">
        <f>SUM(AV6:AV29)</f>
        <v>50</v>
      </c>
      <c r="AW30" s="13">
        <f t="shared" ref="AW30:BB30" si="29">SUM(AW6:AW27)</f>
        <v>47</v>
      </c>
      <c r="AX30" s="13">
        <f t="shared" si="29"/>
        <v>0</v>
      </c>
      <c r="AY30" s="17">
        <f t="shared" si="29"/>
        <v>0</v>
      </c>
      <c r="AZ30" s="17">
        <f t="shared" si="29"/>
        <v>0</v>
      </c>
      <c r="BA30" s="17">
        <f t="shared" si="29"/>
        <v>0</v>
      </c>
      <c r="BB30" s="52">
        <f t="shared" si="29"/>
        <v>0</v>
      </c>
      <c r="BC30" s="52">
        <f>SUM(BC6:BC29)</f>
        <v>80</v>
      </c>
      <c r="BD30" s="52">
        <f t="shared" ref="BD30:BI30" si="30">SUM(BD6:BD27)</f>
        <v>55</v>
      </c>
      <c r="BE30" s="52">
        <f t="shared" si="30"/>
        <v>0</v>
      </c>
      <c r="BF30" s="61">
        <f t="shared" si="30"/>
        <v>0</v>
      </c>
      <c r="BG30" s="61">
        <f t="shared" si="30"/>
        <v>0</v>
      </c>
      <c r="BH30" s="61">
        <f t="shared" si="30"/>
        <v>0</v>
      </c>
      <c r="BI30" s="13">
        <f t="shared" si="30"/>
        <v>0</v>
      </c>
      <c r="BJ30" s="13">
        <f>SUM(BJ6:BJ29)</f>
        <v>50</v>
      </c>
      <c r="BK30" s="13">
        <f t="shared" ref="BK30:BP30" si="31">SUM(BK6:BK27)</f>
        <v>0</v>
      </c>
      <c r="BL30" s="13">
        <f t="shared" si="31"/>
        <v>0</v>
      </c>
      <c r="BM30" s="17">
        <f t="shared" si="31"/>
        <v>0</v>
      </c>
      <c r="BN30" s="17">
        <f t="shared" si="31"/>
        <v>0</v>
      </c>
      <c r="BO30" s="17">
        <f t="shared" si="31"/>
        <v>0</v>
      </c>
      <c r="BP30" s="52">
        <f t="shared" si="31"/>
        <v>0</v>
      </c>
      <c r="BQ30" s="52">
        <f>SUM(BQ6:BQ29)</f>
        <v>0</v>
      </c>
      <c r="BR30" s="52">
        <f t="shared" ref="BR30:BW30" si="32">SUM(BR6:BR27)</f>
        <v>0</v>
      </c>
      <c r="BS30" s="52">
        <f t="shared" si="32"/>
        <v>0</v>
      </c>
      <c r="BT30" s="61">
        <f t="shared" si="32"/>
        <v>0</v>
      </c>
      <c r="BU30" s="61">
        <f t="shared" si="32"/>
        <v>0</v>
      </c>
      <c r="BV30" s="61">
        <f t="shared" si="32"/>
        <v>0</v>
      </c>
      <c r="BW30" s="13">
        <f t="shared" si="32"/>
        <v>0</v>
      </c>
      <c r="BX30" s="13">
        <f>SUM(BX6:BX29)</f>
        <v>0</v>
      </c>
      <c r="BY30" s="13">
        <f t="shared" ref="BY30:CD30" si="33">SUM(BY6:BY27)</f>
        <v>0</v>
      </c>
      <c r="BZ30" s="13">
        <f t="shared" si="33"/>
        <v>0</v>
      </c>
      <c r="CA30" s="17">
        <f t="shared" si="33"/>
        <v>0</v>
      </c>
      <c r="CB30" s="17">
        <f t="shared" si="33"/>
        <v>0</v>
      </c>
      <c r="CC30" s="17">
        <f t="shared" si="33"/>
        <v>0</v>
      </c>
      <c r="CD30" s="52">
        <f t="shared" si="33"/>
        <v>0</v>
      </c>
      <c r="CE30" s="52">
        <f>SUM(CE6:CE29)</f>
        <v>0</v>
      </c>
      <c r="CF30" s="52">
        <f t="shared" ref="CF30:CK30" si="34">SUM(CF6:CF27)</f>
        <v>0</v>
      </c>
      <c r="CG30" s="52">
        <f t="shared" si="34"/>
        <v>0</v>
      </c>
      <c r="CH30" s="61">
        <f t="shared" si="34"/>
        <v>0</v>
      </c>
      <c r="CI30" s="61">
        <f t="shared" si="34"/>
        <v>0</v>
      </c>
      <c r="CJ30" s="61">
        <f t="shared" si="34"/>
        <v>0</v>
      </c>
      <c r="CK30" s="62">
        <f t="shared" si="34"/>
        <v>0</v>
      </c>
      <c r="CL30" s="62">
        <f>SUM(CL6:CL29)</f>
        <v>671</v>
      </c>
      <c r="CM30" s="62">
        <f t="shared" ref="CM30:CQ30" si="35">SUM(CM6:CM27)</f>
        <v>490</v>
      </c>
      <c r="CN30" s="62">
        <f t="shared" si="35"/>
        <v>0</v>
      </c>
      <c r="CO30" s="62">
        <f t="shared" si="35"/>
        <v>0</v>
      </c>
      <c r="CP30" s="62">
        <f t="shared" si="35"/>
        <v>0</v>
      </c>
      <c r="CQ30" s="62">
        <f t="shared" si="35"/>
        <v>0</v>
      </c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63"/>
      <c r="CH31" s="40"/>
      <c r="CI31" s="40"/>
      <c r="CJ31" s="40"/>
      <c r="CK31" s="4"/>
      <c r="CL31" s="4"/>
      <c r="CM31" s="4"/>
      <c r="CN31" s="4"/>
      <c r="CO31" s="40"/>
      <c r="CP31" s="40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17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1:CG31"/>
    <mergeCell ref="CE32:CG32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29">
    <cfRule type="cellIs" dxfId="0" priority="1" operator="greaterThan">
      <formula>0</formula>
    </cfRule>
  </conditionalFormatting>
  <conditionalFormatting sqref="W6:Y29">
    <cfRule type="cellIs" dxfId="0" priority="2" operator="greaterThan">
      <formula>0</formula>
    </cfRule>
  </conditionalFormatting>
  <conditionalFormatting sqref="AY6:BA29">
    <cfRule type="cellIs" dxfId="0" priority="3" operator="greaterThan">
      <formula>0</formula>
    </cfRule>
  </conditionalFormatting>
  <conditionalFormatting sqref="CA6:CC29">
    <cfRule type="cellIs" dxfId="0" priority="4" operator="greaterThan">
      <formula>0</formula>
    </cfRule>
  </conditionalFormatting>
  <conditionalFormatting sqref="AD6:AF29">
    <cfRule type="cellIs" dxfId="0" priority="5" operator="greaterThan">
      <formula>0</formula>
    </cfRule>
  </conditionalFormatting>
  <conditionalFormatting sqref="AR6:AT29">
    <cfRule type="cellIs" dxfId="0" priority="6" operator="greaterThan">
      <formula>0</formula>
    </cfRule>
  </conditionalFormatting>
  <conditionalFormatting sqref="BF6:BH29">
    <cfRule type="cellIs" dxfId="0" priority="7" operator="greaterThan">
      <formula>0</formula>
    </cfRule>
  </conditionalFormatting>
  <conditionalFormatting sqref="BT6:BV29">
    <cfRule type="cellIs" dxfId="0" priority="8" operator="greaterThan">
      <formula>0</formula>
    </cfRule>
  </conditionalFormatting>
  <conditionalFormatting sqref="CH6:CJ29">
    <cfRule type="cellIs" dxfId="0" priority="9" operator="greaterThan">
      <formula>0</formula>
    </cfRule>
  </conditionalFormatting>
  <conditionalFormatting sqref="P6:R29">
    <cfRule type="cellIs" dxfId="0" priority="10" operator="greaterThan">
      <formula>0</formula>
    </cfRule>
  </conditionalFormatting>
  <conditionalFormatting sqref="AK6:AM29">
    <cfRule type="cellIs" dxfId="0" priority="11" operator="greaterThan">
      <formula>0</formula>
    </cfRule>
  </conditionalFormatting>
  <conditionalFormatting sqref="BM6:BO29">
    <cfRule type="cellIs" dxfId="0" priority="12" operator="greaterThan">
      <formula>0</formula>
    </cfRule>
  </conditionalFormatting>
  <conditionalFormatting sqref="E6:H30 L6:O30 S6:V30 AG6:AJ30 AU6:AX30 BI6:BL30 BW6:BZ30">
    <cfRule type="cellIs" dxfId="0" priority="13" operator="greaterThan">
      <formula>0</formula>
    </cfRule>
  </conditionalFormatting>
  <conditionalFormatting sqref="Z6:AC30">
    <cfRule type="cellIs" dxfId="0" priority="14" operator="greaterThan">
      <formula>0</formula>
    </cfRule>
  </conditionalFormatting>
  <conditionalFormatting sqref="AN6:AQ30">
    <cfRule type="cellIs" dxfId="0" priority="15" operator="greaterThan">
      <formula>0</formula>
    </cfRule>
  </conditionalFormatting>
  <conditionalFormatting sqref="BB6:BE30">
    <cfRule type="cellIs" dxfId="0" priority="16" operator="greaterThan">
      <formula>0</formula>
    </cfRule>
  </conditionalFormatting>
  <conditionalFormatting sqref="BP6:BS30">
    <cfRule type="cellIs" dxfId="0" priority="17" operator="greaterThan">
      <formula>0</formula>
    </cfRule>
  </conditionalFormatting>
  <conditionalFormatting sqref="CD6:CG30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3"/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4">
        <v>10.0</v>
      </c>
      <c r="U6" s="13"/>
      <c r="V6" s="13"/>
      <c r="W6" s="13"/>
      <c r="X6" s="13"/>
      <c r="Y6" s="13"/>
      <c r="Z6" s="52"/>
      <c r="AA6" s="53">
        <v>10.0</v>
      </c>
      <c r="AB6" s="52"/>
      <c r="AC6" s="52"/>
      <c r="AD6" s="52"/>
      <c r="AE6" s="52"/>
      <c r="AF6" s="52"/>
      <c r="AG6" s="13"/>
      <c r="AH6" s="13"/>
      <c r="AI6" s="13"/>
      <c r="AJ6" s="13"/>
      <c r="AK6" s="13"/>
      <c r="AL6" s="13"/>
      <c r="AM6" s="13"/>
      <c r="AN6" s="52"/>
      <c r="AO6" s="53">
        <v>10.0</v>
      </c>
      <c r="AP6" s="52"/>
      <c r="AQ6" s="52"/>
      <c r="AR6" s="52"/>
      <c r="AS6" s="52"/>
      <c r="AT6" s="52"/>
      <c r="AU6" s="13"/>
      <c r="AV6" s="13"/>
      <c r="AW6" s="13"/>
      <c r="AX6" s="13"/>
      <c r="AY6" s="13"/>
      <c r="AZ6" s="13"/>
      <c r="BA6" s="13"/>
      <c r="BB6" s="52"/>
      <c r="BC6" s="53">
        <v>10.0</v>
      </c>
      <c r="BD6" s="52"/>
      <c r="BE6" s="52"/>
      <c r="BF6" s="52"/>
      <c r="BG6" s="52"/>
      <c r="BH6" s="52"/>
      <c r="BI6" s="13"/>
      <c r="BJ6" s="55"/>
      <c r="BK6" s="13"/>
      <c r="BL6" s="13"/>
      <c r="BM6" s="13"/>
      <c r="BN6" s="13"/>
      <c r="BO6" s="13"/>
      <c r="BP6" s="52"/>
      <c r="BQ6" s="52"/>
      <c r="BR6" s="52"/>
      <c r="BS6" s="52"/>
      <c r="BT6" s="52"/>
      <c r="BU6" s="52"/>
      <c r="BV6" s="52"/>
      <c r="BW6" s="13"/>
      <c r="BX6" s="13"/>
      <c r="BY6" s="13"/>
      <c r="BZ6" s="13"/>
      <c r="CA6" s="13"/>
      <c r="CB6" s="13"/>
      <c r="CC6" s="13"/>
      <c r="CD6" s="52"/>
      <c r="CE6" s="52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40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4">
        <v>30.0</v>
      </c>
      <c r="G7" s="14">
        <v>30.0</v>
      </c>
      <c r="H7" s="13"/>
      <c r="I7" s="13"/>
      <c r="J7" s="13"/>
      <c r="K7" s="13"/>
      <c r="L7" s="52"/>
      <c r="M7" s="53">
        <v>30.0</v>
      </c>
      <c r="N7" s="53">
        <v>30.0</v>
      </c>
      <c r="O7" s="52"/>
      <c r="P7" s="52"/>
      <c r="Q7" s="52"/>
      <c r="R7" s="52"/>
      <c r="S7" s="13"/>
      <c r="T7" s="14">
        <v>30.0</v>
      </c>
      <c r="U7" s="14">
        <v>30.0</v>
      </c>
      <c r="V7" s="13"/>
      <c r="W7" s="13"/>
      <c r="X7" s="13"/>
      <c r="Y7" s="13"/>
      <c r="Z7" s="52"/>
      <c r="AA7" s="53">
        <v>20.0</v>
      </c>
      <c r="AB7" s="53">
        <v>40.0</v>
      </c>
      <c r="AC7" s="52"/>
      <c r="AD7" s="52"/>
      <c r="AE7" s="52"/>
      <c r="AF7" s="52"/>
      <c r="AG7" s="13"/>
      <c r="AH7" s="14">
        <v>10.0</v>
      </c>
      <c r="AI7" s="14">
        <v>20.0</v>
      </c>
      <c r="AJ7" s="13"/>
      <c r="AK7" s="13"/>
      <c r="AL7" s="13"/>
      <c r="AM7" s="13"/>
      <c r="AN7" s="52"/>
      <c r="AO7" s="53">
        <v>20.0</v>
      </c>
      <c r="AP7" s="52"/>
      <c r="AQ7" s="52"/>
      <c r="AR7" s="52"/>
      <c r="AS7" s="52"/>
      <c r="AT7" s="52"/>
      <c r="AU7" s="13"/>
      <c r="AV7" s="14">
        <v>20.0</v>
      </c>
      <c r="AW7" s="14">
        <v>19.0</v>
      </c>
      <c r="AX7" s="13"/>
      <c r="AY7" s="13"/>
      <c r="AZ7" s="13"/>
      <c r="BA7" s="13"/>
      <c r="BB7" s="52"/>
      <c r="BC7" s="53">
        <v>20.0</v>
      </c>
      <c r="BD7" s="53">
        <v>20.0</v>
      </c>
      <c r="BE7" s="52"/>
      <c r="BF7" s="52"/>
      <c r="BG7" s="52"/>
      <c r="BH7" s="52"/>
      <c r="BI7" s="13"/>
      <c r="BJ7" s="54">
        <v>20.0</v>
      </c>
      <c r="BK7" s="13"/>
      <c r="BL7" s="13"/>
      <c r="BM7" s="13"/>
      <c r="BN7" s="13"/>
      <c r="BO7" s="13"/>
      <c r="BP7" s="52"/>
      <c r="BQ7" s="52"/>
      <c r="BR7" s="52"/>
      <c r="BS7" s="52"/>
      <c r="BT7" s="52"/>
      <c r="BU7" s="52"/>
      <c r="BV7" s="52"/>
      <c r="BW7" s="13"/>
      <c r="BX7" s="13"/>
      <c r="BY7" s="13"/>
      <c r="BZ7" s="13"/>
      <c r="CA7" s="13"/>
      <c r="CB7" s="13"/>
      <c r="CC7" s="13"/>
      <c r="CD7" s="52"/>
      <c r="CE7" s="52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200</v>
      </c>
      <c r="CM7" s="56">
        <f t="shared" si="2"/>
        <v>189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2"/>
      <c r="BD8" s="52"/>
      <c r="BE8" s="52"/>
      <c r="BF8" s="52"/>
      <c r="BG8" s="52"/>
      <c r="BH8" s="52"/>
      <c r="BI8" s="13"/>
      <c r="BJ8" s="55"/>
      <c r="BK8" s="13"/>
      <c r="BL8" s="13"/>
      <c r="BM8" s="13"/>
      <c r="BN8" s="13"/>
      <c r="BO8" s="13"/>
      <c r="BP8" s="52"/>
      <c r="BQ8" s="52"/>
      <c r="BR8" s="52"/>
      <c r="BS8" s="52"/>
      <c r="BT8" s="52"/>
      <c r="BU8" s="52"/>
      <c r="BV8" s="52"/>
      <c r="BW8" s="13"/>
      <c r="BX8" s="13"/>
      <c r="BY8" s="13"/>
      <c r="BZ8" s="13"/>
      <c r="CA8" s="13"/>
      <c r="CB8" s="13"/>
      <c r="CC8" s="13"/>
      <c r="CD8" s="52"/>
      <c r="CE8" s="52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2"/>
      <c r="BD9" s="52"/>
      <c r="BE9" s="52"/>
      <c r="BF9" s="52"/>
      <c r="BG9" s="52"/>
      <c r="BH9" s="52"/>
      <c r="BI9" s="13"/>
      <c r="BJ9" s="55"/>
      <c r="BK9" s="13"/>
      <c r="BL9" s="13"/>
      <c r="BM9" s="13"/>
      <c r="BN9" s="13"/>
      <c r="BO9" s="13"/>
      <c r="BP9" s="52"/>
      <c r="BQ9" s="52"/>
      <c r="BR9" s="52"/>
      <c r="BS9" s="52"/>
      <c r="BT9" s="52"/>
      <c r="BU9" s="52"/>
      <c r="BV9" s="52"/>
      <c r="BW9" s="13"/>
      <c r="BX9" s="13"/>
      <c r="BY9" s="13"/>
      <c r="BZ9" s="13"/>
      <c r="CA9" s="13"/>
      <c r="CB9" s="13"/>
      <c r="CC9" s="13"/>
      <c r="CD9" s="52"/>
      <c r="CE9" s="52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2"/>
      <c r="BD10" s="52"/>
      <c r="BE10" s="52"/>
      <c r="BF10" s="52"/>
      <c r="BG10" s="52"/>
      <c r="BH10" s="52"/>
      <c r="BI10" s="13"/>
      <c r="BJ10" s="55"/>
      <c r="BK10" s="13"/>
      <c r="BL10" s="13"/>
      <c r="BM10" s="13"/>
      <c r="BN10" s="13"/>
      <c r="BO10" s="13"/>
      <c r="BP10" s="52"/>
      <c r="BQ10" s="52"/>
      <c r="BR10" s="52"/>
      <c r="BS10" s="52"/>
      <c r="BT10" s="52"/>
      <c r="BU10" s="52"/>
      <c r="BV10" s="52"/>
      <c r="BW10" s="13"/>
      <c r="BX10" s="13"/>
      <c r="BY10" s="13"/>
      <c r="BZ10" s="13"/>
      <c r="CA10" s="13"/>
      <c r="CB10" s="13"/>
      <c r="CC10" s="13"/>
      <c r="CD10" s="52"/>
      <c r="CE10" s="52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4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2"/>
      <c r="BD11" s="52"/>
      <c r="BE11" s="52"/>
      <c r="BF11" s="52"/>
      <c r="BG11" s="52"/>
      <c r="BH11" s="52"/>
      <c r="BI11" s="13"/>
      <c r="BJ11" s="55"/>
      <c r="BK11" s="13"/>
      <c r="BL11" s="13"/>
      <c r="BM11" s="13"/>
      <c r="BN11" s="13"/>
      <c r="BO11" s="13"/>
      <c r="BP11" s="52"/>
      <c r="BQ11" s="52"/>
      <c r="BR11" s="52"/>
      <c r="BS11" s="52"/>
      <c r="BT11" s="52"/>
      <c r="BU11" s="52"/>
      <c r="BV11" s="52"/>
      <c r="BW11" s="13"/>
      <c r="BX11" s="13"/>
      <c r="BY11" s="13"/>
      <c r="BZ11" s="13"/>
      <c r="CA11" s="13"/>
      <c r="CB11" s="13"/>
      <c r="CC11" s="13"/>
      <c r="CD11" s="52"/>
      <c r="CE11" s="52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4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2"/>
      <c r="BD12" s="52"/>
      <c r="BE12" s="52"/>
      <c r="BF12" s="52"/>
      <c r="BG12" s="52"/>
      <c r="BH12" s="52"/>
      <c r="BI12" s="13"/>
      <c r="BJ12" s="55"/>
      <c r="BK12" s="13"/>
      <c r="BL12" s="13"/>
      <c r="BM12" s="13"/>
      <c r="BN12" s="13"/>
      <c r="BO12" s="13"/>
      <c r="BP12" s="52"/>
      <c r="BQ12" s="52"/>
      <c r="BR12" s="52"/>
      <c r="BS12" s="52"/>
      <c r="BT12" s="52"/>
      <c r="BU12" s="52"/>
      <c r="BV12" s="52"/>
      <c r="BW12" s="13"/>
      <c r="BX12" s="13"/>
      <c r="BY12" s="13"/>
      <c r="BZ12" s="13"/>
      <c r="CA12" s="13"/>
      <c r="CB12" s="13"/>
      <c r="CC12" s="13"/>
      <c r="CD12" s="52"/>
      <c r="CE12" s="52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2"/>
      <c r="BD13" s="52"/>
      <c r="BE13" s="52"/>
      <c r="BF13" s="52"/>
      <c r="BG13" s="52"/>
      <c r="BH13" s="52"/>
      <c r="BI13" s="13"/>
      <c r="BJ13" s="55"/>
      <c r="BK13" s="13"/>
      <c r="BL13" s="13"/>
      <c r="BM13" s="13"/>
      <c r="BN13" s="13"/>
      <c r="BO13" s="13"/>
      <c r="BP13" s="52"/>
      <c r="BQ13" s="52"/>
      <c r="BR13" s="52"/>
      <c r="BS13" s="52"/>
      <c r="BT13" s="52"/>
      <c r="BU13" s="52"/>
      <c r="BV13" s="52"/>
      <c r="BW13" s="13"/>
      <c r="BX13" s="13"/>
      <c r="BY13" s="13"/>
      <c r="BZ13" s="13"/>
      <c r="CA13" s="13"/>
      <c r="CB13" s="13"/>
      <c r="CC13" s="13"/>
      <c r="CD13" s="52"/>
      <c r="CE13" s="52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2"/>
      <c r="BD14" s="52"/>
      <c r="BE14" s="52"/>
      <c r="BF14" s="52"/>
      <c r="BG14" s="52"/>
      <c r="BH14" s="52"/>
      <c r="BI14" s="13"/>
      <c r="BJ14" s="55"/>
      <c r="BK14" s="13"/>
      <c r="BL14" s="13"/>
      <c r="BM14" s="13"/>
      <c r="BN14" s="13"/>
      <c r="BO14" s="13"/>
      <c r="BP14" s="52"/>
      <c r="BQ14" s="52"/>
      <c r="BR14" s="52"/>
      <c r="BS14" s="52"/>
      <c r="BT14" s="52"/>
      <c r="BU14" s="52"/>
      <c r="BV14" s="52"/>
      <c r="BW14" s="13"/>
      <c r="BX14" s="13"/>
      <c r="BY14" s="13"/>
      <c r="BZ14" s="13"/>
      <c r="CA14" s="13"/>
      <c r="CB14" s="13"/>
      <c r="CC14" s="13"/>
      <c r="CD14" s="52"/>
      <c r="CE14" s="52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4">
        <v>1.0</v>
      </c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3">
        <v>1.0</v>
      </c>
      <c r="AB15" s="52"/>
      <c r="AC15" s="52"/>
      <c r="AD15" s="52"/>
      <c r="AE15" s="52"/>
      <c r="AF15" s="52"/>
      <c r="AG15" s="13"/>
      <c r="AH15" s="13"/>
      <c r="AI15" s="14">
        <v>1.0</v>
      </c>
      <c r="AJ15" s="13"/>
      <c r="AK15" s="13"/>
      <c r="AL15" s="13"/>
      <c r="AM15" s="13"/>
      <c r="AN15" s="52"/>
      <c r="AO15" s="53">
        <v>2.0</v>
      </c>
      <c r="AP15" s="52"/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2"/>
      <c r="BD15" s="52"/>
      <c r="BE15" s="52"/>
      <c r="BF15" s="52"/>
      <c r="BG15" s="52"/>
      <c r="BH15" s="52"/>
      <c r="BI15" s="13"/>
      <c r="BJ15" s="55"/>
      <c r="BK15" s="13"/>
      <c r="BL15" s="13"/>
      <c r="BM15" s="13"/>
      <c r="BN15" s="13"/>
      <c r="BO15" s="13"/>
      <c r="BP15" s="52"/>
      <c r="BQ15" s="52"/>
      <c r="BR15" s="52"/>
      <c r="BS15" s="52"/>
      <c r="BT15" s="52"/>
      <c r="BU15" s="52"/>
      <c r="BV15" s="52"/>
      <c r="BW15" s="13"/>
      <c r="BX15" s="13"/>
      <c r="BY15" s="13"/>
      <c r="BZ15" s="13"/>
      <c r="CA15" s="13"/>
      <c r="CB15" s="13"/>
      <c r="CC15" s="13"/>
      <c r="CD15" s="52"/>
      <c r="CE15" s="52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4</v>
      </c>
      <c r="CM15" s="56">
        <f t="shared" si="10"/>
        <v>1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4">
        <v>1.0</v>
      </c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2"/>
      <c r="BD16" s="52"/>
      <c r="BE16" s="52"/>
      <c r="BF16" s="52"/>
      <c r="BG16" s="52"/>
      <c r="BH16" s="52"/>
      <c r="BI16" s="13"/>
      <c r="BJ16" s="55"/>
      <c r="BK16" s="13"/>
      <c r="BL16" s="13"/>
      <c r="BM16" s="13"/>
      <c r="BN16" s="13"/>
      <c r="BO16" s="13"/>
      <c r="BP16" s="52"/>
      <c r="BQ16" s="52"/>
      <c r="BR16" s="52"/>
      <c r="BS16" s="52"/>
      <c r="BT16" s="52"/>
      <c r="BU16" s="52"/>
      <c r="BV16" s="52"/>
      <c r="BW16" s="13"/>
      <c r="BX16" s="13"/>
      <c r="BY16" s="13"/>
      <c r="BZ16" s="13"/>
      <c r="CA16" s="13"/>
      <c r="CB16" s="13"/>
      <c r="CC16" s="13"/>
      <c r="CD16" s="52"/>
      <c r="CE16" s="52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1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2"/>
      <c r="BD17" s="52"/>
      <c r="BE17" s="52"/>
      <c r="BF17" s="52"/>
      <c r="BG17" s="52"/>
      <c r="BH17" s="52"/>
      <c r="BI17" s="13"/>
      <c r="BJ17" s="55"/>
      <c r="BK17" s="13"/>
      <c r="BL17" s="13"/>
      <c r="BM17" s="13"/>
      <c r="BN17" s="13"/>
      <c r="BO17" s="13"/>
      <c r="BP17" s="52"/>
      <c r="BQ17" s="52"/>
      <c r="BR17" s="52"/>
      <c r="BS17" s="52"/>
      <c r="BT17" s="52"/>
      <c r="BU17" s="52"/>
      <c r="BV17" s="52"/>
      <c r="BW17" s="13"/>
      <c r="BX17" s="13"/>
      <c r="BY17" s="13"/>
      <c r="BZ17" s="13"/>
      <c r="CA17" s="13"/>
      <c r="CB17" s="13"/>
      <c r="CC17" s="13"/>
      <c r="CD17" s="52"/>
      <c r="CE17" s="52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2"/>
      <c r="BD18" s="52"/>
      <c r="BE18" s="52"/>
      <c r="BF18" s="52"/>
      <c r="BG18" s="52"/>
      <c r="BH18" s="52"/>
      <c r="BI18" s="13"/>
      <c r="BJ18" s="55"/>
      <c r="BK18" s="13"/>
      <c r="BL18" s="13"/>
      <c r="BM18" s="13"/>
      <c r="BN18" s="13"/>
      <c r="BO18" s="13"/>
      <c r="BP18" s="52"/>
      <c r="BQ18" s="52"/>
      <c r="BR18" s="52"/>
      <c r="BS18" s="52"/>
      <c r="BT18" s="52"/>
      <c r="BU18" s="52"/>
      <c r="BV18" s="52"/>
      <c r="BW18" s="13"/>
      <c r="BX18" s="13"/>
      <c r="BY18" s="13"/>
      <c r="BZ18" s="13"/>
      <c r="CA18" s="13"/>
      <c r="CB18" s="13"/>
      <c r="CC18" s="13"/>
      <c r="CD18" s="52"/>
      <c r="CE18" s="52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2"/>
      <c r="BD19" s="52"/>
      <c r="BE19" s="52"/>
      <c r="BF19" s="52"/>
      <c r="BG19" s="52"/>
      <c r="BH19" s="52"/>
      <c r="BI19" s="13"/>
      <c r="BJ19" s="55"/>
      <c r="BK19" s="13"/>
      <c r="BL19" s="13"/>
      <c r="BM19" s="13"/>
      <c r="BN19" s="13"/>
      <c r="BO19" s="13"/>
      <c r="BP19" s="52"/>
      <c r="BQ19" s="52"/>
      <c r="BR19" s="52"/>
      <c r="BS19" s="52"/>
      <c r="BT19" s="52"/>
      <c r="BU19" s="52"/>
      <c r="BV19" s="52"/>
      <c r="BW19" s="13"/>
      <c r="BX19" s="13"/>
      <c r="BY19" s="13"/>
      <c r="BZ19" s="13"/>
      <c r="CA19" s="13"/>
      <c r="CB19" s="13"/>
      <c r="CC19" s="13"/>
      <c r="CD19" s="52"/>
      <c r="CE19" s="52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2"/>
      <c r="BD20" s="52"/>
      <c r="BE20" s="52"/>
      <c r="BF20" s="52"/>
      <c r="BG20" s="52"/>
      <c r="BH20" s="52"/>
      <c r="BI20" s="13"/>
      <c r="BJ20" s="55"/>
      <c r="BK20" s="13"/>
      <c r="BL20" s="13"/>
      <c r="BM20" s="13"/>
      <c r="BN20" s="13"/>
      <c r="BO20" s="13"/>
      <c r="BP20" s="52"/>
      <c r="BQ20" s="52"/>
      <c r="BR20" s="52"/>
      <c r="BS20" s="52"/>
      <c r="BT20" s="52"/>
      <c r="BU20" s="52"/>
      <c r="BV20" s="52"/>
      <c r="BW20" s="13"/>
      <c r="BX20" s="13"/>
      <c r="BY20" s="13"/>
      <c r="BZ20" s="13"/>
      <c r="CA20" s="13"/>
      <c r="CB20" s="13"/>
      <c r="CC20" s="13"/>
      <c r="CD20" s="52"/>
      <c r="CE20" s="52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2"/>
      <c r="BD21" s="52"/>
      <c r="BE21" s="52"/>
      <c r="BF21" s="52"/>
      <c r="BG21" s="52"/>
      <c r="BH21" s="52"/>
      <c r="BI21" s="13"/>
      <c r="BJ21" s="55"/>
      <c r="BK21" s="13"/>
      <c r="BL21" s="13"/>
      <c r="BM21" s="13"/>
      <c r="BN21" s="13"/>
      <c r="BO21" s="13"/>
      <c r="BP21" s="52"/>
      <c r="BQ21" s="52"/>
      <c r="BR21" s="52"/>
      <c r="BS21" s="52"/>
      <c r="BT21" s="52"/>
      <c r="BU21" s="52"/>
      <c r="BV21" s="52"/>
      <c r="BW21" s="13"/>
      <c r="BX21" s="13"/>
      <c r="BY21" s="13"/>
      <c r="BZ21" s="13"/>
      <c r="CA21" s="13"/>
      <c r="CB21" s="13"/>
      <c r="CC21" s="13"/>
      <c r="CD21" s="52"/>
      <c r="CE21" s="52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2"/>
      <c r="BD22" s="52"/>
      <c r="BE22" s="52"/>
      <c r="BF22" s="52"/>
      <c r="BG22" s="52"/>
      <c r="BH22" s="52"/>
      <c r="BI22" s="13"/>
      <c r="BJ22" s="55"/>
      <c r="BK22" s="13"/>
      <c r="BL22" s="13"/>
      <c r="BM22" s="13"/>
      <c r="BN22" s="13"/>
      <c r="BO22" s="13"/>
      <c r="BP22" s="52"/>
      <c r="BQ22" s="52"/>
      <c r="BR22" s="52"/>
      <c r="BS22" s="52"/>
      <c r="BT22" s="52"/>
      <c r="BU22" s="52"/>
      <c r="BV22" s="52"/>
      <c r="BW22" s="13"/>
      <c r="BX22" s="13"/>
      <c r="BY22" s="13"/>
      <c r="BZ22" s="13"/>
      <c r="CA22" s="13"/>
      <c r="CB22" s="13"/>
      <c r="CC22" s="13"/>
      <c r="CD22" s="52"/>
      <c r="CE22" s="52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2"/>
      <c r="BD23" s="52"/>
      <c r="BE23" s="52"/>
      <c r="BF23" s="52"/>
      <c r="BG23" s="52"/>
      <c r="BH23" s="52"/>
      <c r="BI23" s="13"/>
      <c r="BJ23" s="55"/>
      <c r="BK23" s="13"/>
      <c r="BL23" s="13"/>
      <c r="BM23" s="13"/>
      <c r="BN23" s="13"/>
      <c r="BO23" s="13"/>
      <c r="BP23" s="52"/>
      <c r="BQ23" s="52"/>
      <c r="BR23" s="52"/>
      <c r="BS23" s="52"/>
      <c r="BT23" s="52"/>
      <c r="BU23" s="52"/>
      <c r="BV23" s="52"/>
      <c r="BW23" s="13"/>
      <c r="BX23" s="13"/>
      <c r="BY23" s="13"/>
      <c r="BZ23" s="13"/>
      <c r="CA23" s="13"/>
      <c r="CB23" s="13"/>
      <c r="CC23" s="13"/>
      <c r="CD23" s="52"/>
      <c r="CE23" s="52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3">
        <v>1.0</v>
      </c>
      <c r="N24" s="65"/>
      <c r="O24" s="52"/>
      <c r="P24" s="52"/>
      <c r="Q24" s="52"/>
      <c r="R24" s="52"/>
      <c r="S24" s="13"/>
      <c r="T24" s="13"/>
      <c r="U24" s="14">
        <v>1.0</v>
      </c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2"/>
      <c r="BD24" s="52"/>
      <c r="BE24" s="52"/>
      <c r="BF24" s="52"/>
      <c r="BG24" s="52"/>
      <c r="BH24" s="52"/>
      <c r="BI24" s="13"/>
      <c r="BJ24" s="55"/>
      <c r="BK24" s="13"/>
      <c r="BL24" s="13"/>
      <c r="BM24" s="13"/>
      <c r="BN24" s="13"/>
      <c r="BO24" s="13"/>
      <c r="BP24" s="52"/>
      <c r="BQ24" s="52"/>
      <c r="BR24" s="52"/>
      <c r="BS24" s="52"/>
      <c r="BT24" s="52"/>
      <c r="BU24" s="52"/>
      <c r="BV24" s="52"/>
      <c r="BW24" s="13"/>
      <c r="BX24" s="13"/>
      <c r="BY24" s="13"/>
      <c r="BZ24" s="13"/>
      <c r="CA24" s="13"/>
      <c r="CB24" s="13"/>
      <c r="CC24" s="13"/>
      <c r="CD24" s="52"/>
      <c r="CE24" s="52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1</v>
      </c>
      <c r="CM24" s="56">
        <f t="shared" si="19"/>
        <v>1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4">
        <v>1.0</v>
      </c>
      <c r="G25" s="14">
        <v>1.0</v>
      </c>
      <c r="H25" s="13"/>
      <c r="I25" s="13"/>
      <c r="J25" s="13"/>
      <c r="K25" s="13"/>
      <c r="L25" s="52"/>
      <c r="M25" s="52"/>
      <c r="N25" s="52"/>
      <c r="O25" s="65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2"/>
      <c r="BD25" s="52"/>
      <c r="BE25" s="52"/>
      <c r="BF25" s="52"/>
      <c r="BG25" s="52"/>
      <c r="BH25" s="52"/>
      <c r="BI25" s="13"/>
      <c r="BJ25" s="55"/>
      <c r="BK25" s="13"/>
      <c r="BL25" s="13"/>
      <c r="BM25" s="13"/>
      <c r="BN25" s="13"/>
      <c r="BO25" s="13"/>
      <c r="BP25" s="52"/>
      <c r="BQ25" s="52"/>
      <c r="BR25" s="52"/>
      <c r="BS25" s="52"/>
      <c r="BT25" s="52"/>
      <c r="BU25" s="52"/>
      <c r="BV25" s="52"/>
      <c r="BW25" s="13"/>
      <c r="BX25" s="13"/>
      <c r="BY25" s="13"/>
      <c r="BZ25" s="13"/>
      <c r="CA25" s="13"/>
      <c r="CB25" s="13"/>
      <c r="CC25" s="13"/>
      <c r="CD25" s="52"/>
      <c r="CE25" s="52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1</v>
      </c>
      <c r="CM25" s="56">
        <f t="shared" si="20"/>
        <v>1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2"/>
      <c r="BD26" s="52"/>
      <c r="BE26" s="52"/>
      <c r="BF26" s="52"/>
      <c r="BG26" s="52"/>
      <c r="BH26" s="52"/>
      <c r="BI26" s="13"/>
      <c r="BJ26" s="55"/>
      <c r="BK26" s="13"/>
      <c r="BL26" s="13"/>
      <c r="BM26" s="13"/>
      <c r="BN26" s="13"/>
      <c r="BO26" s="13"/>
      <c r="BP26" s="52"/>
      <c r="BQ26" s="52"/>
      <c r="BR26" s="52"/>
      <c r="BS26" s="52"/>
      <c r="BT26" s="52"/>
      <c r="BU26" s="52"/>
      <c r="BV26" s="52"/>
      <c r="BW26" s="13"/>
      <c r="BX26" s="13"/>
      <c r="BY26" s="13"/>
      <c r="BZ26" s="13"/>
      <c r="CA26" s="13"/>
      <c r="CB26" s="13"/>
      <c r="CC26" s="13"/>
      <c r="CD26" s="52"/>
      <c r="CE26" s="52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2"/>
      <c r="BD27" s="52"/>
      <c r="BE27" s="52"/>
      <c r="BF27" s="52"/>
      <c r="BG27" s="52"/>
      <c r="BH27" s="52"/>
      <c r="BI27" s="13"/>
      <c r="BJ27" s="55"/>
      <c r="BK27" s="13"/>
      <c r="BL27" s="13"/>
      <c r="BM27" s="13"/>
      <c r="BN27" s="13"/>
      <c r="BO27" s="13"/>
      <c r="BP27" s="52"/>
      <c r="BQ27" s="52"/>
      <c r="BR27" s="52"/>
      <c r="BS27" s="52"/>
      <c r="BT27" s="52"/>
      <c r="BU27" s="52"/>
      <c r="BV27" s="52"/>
      <c r="BW27" s="13"/>
      <c r="BX27" s="13"/>
      <c r="BY27" s="13"/>
      <c r="BZ27" s="13"/>
      <c r="CA27" s="13"/>
      <c r="CB27" s="13"/>
      <c r="CC27" s="13"/>
      <c r="CD27" s="52"/>
      <c r="CE27" s="52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4">
        <v>1.0</v>
      </c>
      <c r="G28" s="14">
        <v>1.0</v>
      </c>
      <c r="H28" s="13"/>
      <c r="I28" s="35"/>
      <c r="J28" s="35"/>
      <c r="K28" s="35"/>
      <c r="L28" s="52"/>
      <c r="M28" s="52"/>
      <c r="N28" s="52"/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2"/>
      <c r="AB28" s="52"/>
      <c r="AC28" s="52"/>
      <c r="AD28" s="58"/>
      <c r="AE28" s="58"/>
      <c r="AF28" s="58"/>
      <c r="AG28" s="13"/>
      <c r="AH28" s="14">
        <v>1.0</v>
      </c>
      <c r="AI28" s="14">
        <v>2.0</v>
      </c>
      <c r="AJ28" s="13"/>
      <c r="AK28" s="35"/>
      <c r="AL28" s="35"/>
      <c r="AM28" s="35"/>
      <c r="AN28" s="52"/>
      <c r="AO28" s="53">
        <v>1.0</v>
      </c>
      <c r="AP28" s="52"/>
      <c r="AQ28" s="52"/>
      <c r="AR28" s="58"/>
      <c r="AS28" s="58"/>
      <c r="AT28" s="58"/>
      <c r="AU28" s="13"/>
      <c r="AV28" s="14">
        <v>1.0</v>
      </c>
      <c r="AW28" s="14">
        <v>3.0</v>
      </c>
      <c r="AX28" s="13"/>
      <c r="AY28" s="35"/>
      <c r="AZ28" s="35"/>
      <c r="BA28" s="35"/>
      <c r="BB28" s="52"/>
      <c r="BC28" s="52"/>
      <c r="BD28" s="52"/>
      <c r="BE28" s="52"/>
      <c r="BF28" s="58"/>
      <c r="BG28" s="58"/>
      <c r="BH28" s="58"/>
      <c r="BI28" s="13"/>
      <c r="BJ28" s="55"/>
      <c r="BK28" s="13"/>
      <c r="BL28" s="13"/>
      <c r="BM28" s="35"/>
      <c r="BN28" s="35"/>
      <c r="BO28" s="35"/>
      <c r="BP28" s="52"/>
      <c r="BQ28" s="52"/>
      <c r="BR28" s="52"/>
      <c r="BS28" s="52"/>
      <c r="BT28" s="58"/>
      <c r="BU28" s="58"/>
      <c r="BV28" s="58"/>
      <c r="BW28" s="13"/>
      <c r="BX28" s="13"/>
      <c r="BY28" s="13"/>
      <c r="BZ28" s="13"/>
      <c r="CA28" s="35"/>
      <c r="CB28" s="35"/>
      <c r="CC28" s="35"/>
      <c r="CD28" s="52"/>
      <c r="CE28" s="52"/>
      <c r="CF28" s="52"/>
      <c r="CG28" s="52"/>
      <c r="CH28" s="58"/>
      <c r="CI28" s="58"/>
      <c r="CJ28" s="58"/>
      <c r="CK28" s="56">
        <f t="shared" ref="CK28:CQ28" si="23">SUM(E28,L28,S28,Z28,AG28,AN28,AU28,BB28,BI28,BP28,BW28,CD28)</f>
        <v>0</v>
      </c>
      <c r="CL28" s="56">
        <f t="shared" si="23"/>
        <v>4</v>
      </c>
      <c r="CM28" s="56">
        <f t="shared" si="23"/>
        <v>6</v>
      </c>
      <c r="CN28" s="56">
        <f t="shared" si="23"/>
        <v>0</v>
      </c>
      <c r="CO28" s="56">
        <f t="shared" si="23"/>
        <v>0</v>
      </c>
      <c r="CP28" s="56">
        <f t="shared" si="23"/>
        <v>0</v>
      </c>
      <c r="CQ28" s="56">
        <f t="shared" si="23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3"/>
      <c r="F29" s="13"/>
      <c r="G29" s="13"/>
      <c r="H29" s="13"/>
      <c r="I29" s="35"/>
      <c r="J29" s="35"/>
      <c r="K29" s="35"/>
      <c r="L29" s="52"/>
      <c r="M29" s="52"/>
      <c r="N29" s="52"/>
      <c r="O29" s="52"/>
      <c r="P29" s="58"/>
      <c r="Q29" s="58"/>
      <c r="R29" s="58"/>
      <c r="S29" s="13"/>
      <c r="T29" s="13"/>
      <c r="U29" s="13"/>
      <c r="V29" s="13"/>
      <c r="W29" s="35"/>
      <c r="X29" s="35"/>
      <c r="Y29" s="35"/>
      <c r="Z29" s="52"/>
      <c r="AA29" s="52"/>
      <c r="AB29" s="52"/>
      <c r="AC29" s="52"/>
      <c r="AD29" s="58"/>
      <c r="AE29" s="58"/>
      <c r="AF29" s="58"/>
      <c r="AG29" s="13"/>
      <c r="AH29" s="14">
        <v>1.0</v>
      </c>
      <c r="AI29" s="13"/>
      <c r="AJ29" s="13"/>
      <c r="AK29" s="35"/>
      <c r="AL29" s="35"/>
      <c r="AM29" s="35"/>
      <c r="AN29" s="52"/>
      <c r="AO29" s="52"/>
      <c r="AP29" s="52"/>
      <c r="AQ29" s="52"/>
      <c r="AR29" s="58"/>
      <c r="AS29" s="58"/>
      <c r="AT29" s="58"/>
      <c r="AU29" s="13"/>
      <c r="AV29" s="13"/>
      <c r="AW29" s="13"/>
      <c r="AX29" s="13"/>
      <c r="AY29" s="35"/>
      <c r="AZ29" s="35"/>
      <c r="BA29" s="35"/>
      <c r="BB29" s="52"/>
      <c r="BC29" s="52"/>
      <c r="BD29" s="52"/>
      <c r="BE29" s="52"/>
      <c r="BF29" s="58"/>
      <c r="BG29" s="58"/>
      <c r="BH29" s="58"/>
      <c r="BI29" s="13"/>
      <c r="BJ29" s="55"/>
      <c r="BK29" s="13"/>
      <c r="BL29" s="13"/>
      <c r="BM29" s="35"/>
      <c r="BN29" s="35"/>
      <c r="BO29" s="35"/>
      <c r="BP29" s="52"/>
      <c r="BQ29" s="52"/>
      <c r="BR29" s="52"/>
      <c r="BS29" s="52"/>
      <c r="BT29" s="58"/>
      <c r="BU29" s="58"/>
      <c r="BV29" s="58"/>
      <c r="BW29" s="13"/>
      <c r="BX29" s="13"/>
      <c r="BY29" s="13"/>
      <c r="BZ29" s="13"/>
      <c r="CA29" s="35"/>
      <c r="CB29" s="35"/>
      <c r="CC29" s="35"/>
      <c r="CD29" s="52"/>
      <c r="CE29" s="52"/>
      <c r="CF29" s="52"/>
      <c r="CG29" s="52"/>
      <c r="CH29" s="58"/>
      <c r="CI29" s="58"/>
      <c r="CJ29" s="58"/>
      <c r="CK29" s="56">
        <f t="shared" ref="CK29:CQ29" si="24">SUM(E29,L29,S29,Z29,AG29,AN29,AU29,BB29,BI29,BP29,BW29,CD29)</f>
        <v>0</v>
      </c>
      <c r="CL29" s="56">
        <f t="shared" si="24"/>
        <v>1</v>
      </c>
      <c r="CM29" s="56">
        <f t="shared" si="24"/>
        <v>0</v>
      </c>
      <c r="CN29" s="56">
        <f t="shared" si="24"/>
        <v>0</v>
      </c>
      <c r="CO29" s="56">
        <f t="shared" si="24"/>
        <v>0</v>
      </c>
      <c r="CP29" s="56">
        <f t="shared" si="24"/>
        <v>0</v>
      </c>
      <c r="CQ29" s="56">
        <f t="shared" si="24"/>
        <v>0</v>
      </c>
    </row>
    <row r="30" ht="15.75" customHeight="1">
      <c r="A30" s="4"/>
      <c r="B30" s="60"/>
      <c r="C30" s="4"/>
      <c r="D30" s="4"/>
      <c r="E30" s="13">
        <f t="shared" ref="E30:Z30" si="25">SUM(E6:E27)</f>
        <v>0</v>
      </c>
      <c r="F30" s="13">
        <f t="shared" si="25"/>
        <v>32</v>
      </c>
      <c r="G30" s="13">
        <f t="shared" si="25"/>
        <v>32</v>
      </c>
      <c r="H30" s="13">
        <f t="shared" si="25"/>
        <v>0</v>
      </c>
      <c r="I30" s="17">
        <f t="shared" si="25"/>
        <v>0</v>
      </c>
      <c r="J30" s="17">
        <f t="shared" si="25"/>
        <v>0</v>
      </c>
      <c r="K30" s="17">
        <f t="shared" si="25"/>
        <v>0</v>
      </c>
      <c r="L30" s="52">
        <f t="shared" si="25"/>
        <v>0</v>
      </c>
      <c r="M30" s="52">
        <f t="shared" si="25"/>
        <v>31</v>
      </c>
      <c r="N30" s="52">
        <f t="shared" si="25"/>
        <v>30</v>
      </c>
      <c r="O30" s="52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13">
        <f t="shared" si="25"/>
        <v>0</v>
      </c>
      <c r="T30" s="13">
        <f t="shared" si="25"/>
        <v>40</v>
      </c>
      <c r="U30" s="13">
        <f t="shared" si="25"/>
        <v>31</v>
      </c>
      <c r="V30" s="13">
        <f t="shared" si="25"/>
        <v>0</v>
      </c>
      <c r="W30" s="17">
        <f t="shared" si="25"/>
        <v>0</v>
      </c>
      <c r="X30" s="17">
        <f t="shared" si="25"/>
        <v>0</v>
      </c>
      <c r="Y30" s="17">
        <f t="shared" si="25"/>
        <v>0</v>
      </c>
      <c r="Z30" s="52">
        <f t="shared" si="25"/>
        <v>0</v>
      </c>
      <c r="AA30" s="52">
        <f>SUM(AA6:AA29)</f>
        <v>31</v>
      </c>
      <c r="AB30" s="52">
        <f t="shared" ref="AB30:AG30" si="26">SUM(AB6:AB27)</f>
        <v>40</v>
      </c>
      <c r="AC30" s="52">
        <f t="shared" si="26"/>
        <v>0</v>
      </c>
      <c r="AD30" s="61">
        <f t="shared" si="26"/>
        <v>0</v>
      </c>
      <c r="AE30" s="61">
        <f t="shared" si="26"/>
        <v>0</v>
      </c>
      <c r="AF30" s="61">
        <f t="shared" si="26"/>
        <v>0</v>
      </c>
      <c r="AG30" s="13">
        <f t="shared" si="26"/>
        <v>0</v>
      </c>
      <c r="AH30" s="13">
        <f>SUM(AH6:AH29)</f>
        <v>12</v>
      </c>
      <c r="AI30" s="13">
        <f t="shared" ref="AI30:AN30" si="27">SUM(AI6:AI27)</f>
        <v>21</v>
      </c>
      <c r="AJ30" s="13">
        <f t="shared" si="27"/>
        <v>0</v>
      </c>
      <c r="AK30" s="17">
        <f t="shared" si="27"/>
        <v>0</v>
      </c>
      <c r="AL30" s="17">
        <f t="shared" si="27"/>
        <v>0</v>
      </c>
      <c r="AM30" s="17">
        <f t="shared" si="27"/>
        <v>0</v>
      </c>
      <c r="AN30" s="52">
        <f t="shared" si="27"/>
        <v>0</v>
      </c>
      <c r="AO30" s="52">
        <f>SUM(AO6:AO29)</f>
        <v>33</v>
      </c>
      <c r="AP30" s="52">
        <f t="shared" ref="AP30:AU30" si="28">SUM(AP6:AP27)</f>
        <v>0</v>
      </c>
      <c r="AQ30" s="52">
        <f t="shared" si="28"/>
        <v>0</v>
      </c>
      <c r="AR30" s="61">
        <f t="shared" si="28"/>
        <v>0</v>
      </c>
      <c r="AS30" s="61">
        <f t="shared" si="28"/>
        <v>0</v>
      </c>
      <c r="AT30" s="61">
        <f t="shared" si="28"/>
        <v>0</v>
      </c>
      <c r="AU30" s="13">
        <f t="shared" si="28"/>
        <v>0</v>
      </c>
      <c r="AV30" s="13">
        <f>SUM(AV6:AV29)</f>
        <v>21</v>
      </c>
      <c r="AW30" s="13">
        <f t="shared" ref="AW30:BB30" si="29">SUM(AW6:AW27)</f>
        <v>19</v>
      </c>
      <c r="AX30" s="13">
        <f t="shared" si="29"/>
        <v>0</v>
      </c>
      <c r="AY30" s="17">
        <f t="shared" si="29"/>
        <v>0</v>
      </c>
      <c r="AZ30" s="17">
        <f t="shared" si="29"/>
        <v>0</v>
      </c>
      <c r="BA30" s="17">
        <f t="shared" si="29"/>
        <v>0</v>
      </c>
      <c r="BB30" s="52">
        <f t="shared" si="29"/>
        <v>0</v>
      </c>
      <c r="BC30" s="52">
        <f>SUM(BC6:BC29)</f>
        <v>30</v>
      </c>
      <c r="BD30" s="52">
        <f t="shared" ref="BD30:BI30" si="30">SUM(BD6:BD27)</f>
        <v>20</v>
      </c>
      <c r="BE30" s="52">
        <f t="shared" si="30"/>
        <v>0</v>
      </c>
      <c r="BF30" s="61">
        <f t="shared" si="30"/>
        <v>0</v>
      </c>
      <c r="BG30" s="61">
        <f t="shared" si="30"/>
        <v>0</v>
      </c>
      <c r="BH30" s="61">
        <f t="shared" si="30"/>
        <v>0</v>
      </c>
      <c r="BI30" s="13">
        <f t="shared" si="30"/>
        <v>0</v>
      </c>
      <c r="BJ30" s="13">
        <f>SUM(BJ6:BJ29)</f>
        <v>20</v>
      </c>
      <c r="BK30" s="13">
        <f t="shared" ref="BK30:BP30" si="31">SUM(BK6:BK27)</f>
        <v>0</v>
      </c>
      <c r="BL30" s="13">
        <f t="shared" si="31"/>
        <v>0</v>
      </c>
      <c r="BM30" s="17">
        <f t="shared" si="31"/>
        <v>0</v>
      </c>
      <c r="BN30" s="17">
        <f t="shared" si="31"/>
        <v>0</v>
      </c>
      <c r="BO30" s="17">
        <f t="shared" si="31"/>
        <v>0</v>
      </c>
      <c r="BP30" s="52">
        <f t="shared" si="31"/>
        <v>0</v>
      </c>
      <c r="BQ30" s="52">
        <f>SUM(BQ6:BQ29)</f>
        <v>0</v>
      </c>
      <c r="BR30" s="52">
        <f t="shared" ref="BR30:BW30" si="32">SUM(BR6:BR27)</f>
        <v>0</v>
      </c>
      <c r="BS30" s="52">
        <f t="shared" si="32"/>
        <v>0</v>
      </c>
      <c r="BT30" s="61">
        <f t="shared" si="32"/>
        <v>0</v>
      </c>
      <c r="BU30" s="61">
        <f t="shared" si="32"/>
        <v>0</v>
      </c>
      <c r="BV30" s="61">
        <f t="shared" si="32"/>
        <v>0</v>
      </c>
      <c r="BW30" s="13">
        <f t="shared" si="32"/>
        <v>0</v>
      </c>
      <c r="BX30" s="13">
        <f>SUM(BX6:BX29)</f>
        <v>0</v>
      </c>
      <c r="BY30" s="13">
        <f t="shared" ref="BY30:CD30" si="33">SUM(BY6:BY27)</f>
        <v>0</v>
      </c>
      <c r="BZ30" s="13">
        <f t="shared" si="33"/>
        <v>0</v>
      </c>
      <c r="CA30" s="17">
        <f t="shared" si="33"/>
        <v>0</v>
      </c>
      <c r="CB30" s="17">
        <f t="shared" si="33"/>
        <v>0</v>
      </c>
      <c r="CC30" s="17">
        <f t="shared" si="33"/>
        <v>0</v>
      </c>
      <c r="CD30" s="52">
        <f t="shared" si="33"/>
        <v>0</v>
      </c>
      <c r="CE30" s="52">
        <f>SUM(CE6:CE29)</f>
        <v>0</v>
      </c>
      <c r="CF30" s="52">
        <f t="shared" ref="CF30:CK30" si="34">SUM(CF6:CF27)</f>
        <v>0</v>
      </c>
      <c r="CG30" s="52">
        <f t="shared" si="34"/>
        <v>0</v>
      </c>
      <c r="CH30" s="61">
        <f t="shared" si="34"/>
        <v>0</v>
      </c>
      <c r="CI30" s="61">
        <f t="shared" si="34"/>
        <v>0</v>
      </c>
      <c r="CJ30" s="61">
        <f t="shared" si="34"/>
        <v>0</v>
      </c>
      <c r="CK30" s="62">
        <f t="shared" si="34"/>
        <v>0</v>
      </c>
      <c r="CL30" s="62">
        <f>SUM(CL6:CL29)</f>
        <v>251</v>
      </c>
      <c r="CM30" s="62">
        <f t="shared" ref="CM30:CQ30" si="35">SUM(CM6:CM27)</f>
        <v>193</v>
      </c>
      <c r="CN30" s="62">
        <f t="shared" si="35"/>
        <v>0</v>
      </c>
      <c r="CO30" s="62">
        <f t="shared" si="35"/>
        <v>0</v>
      </c>
      <c r="CP30" s="62">
        <f t="shared" si="35"/>
        <v>0</v>
      </c>
      <c r="CQ30" s="62">
        <f t="shared" si="35"/>
        <v>0</v>
      </c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63"/>
      <c r="CH31" s="40"/>
      <c r="CI31" s="40"/>
      <c r="CJ31" s="40"/>
      <c r="CK31" s="4"/>
      <c r="CL31" s="4"/>
      <c r="CM31" s="4"/>
      <c r="CN31" s="4"/>
      <c r="CO31" s="40"/>
      <c r="CP31" s="40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17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1:CG31"/>
    <mergeCell ref="CE32:CG32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29">
    <cfRule type="cellIs" dxfId="0" priority="1" operator="greaterThan">
      <formula>0</formula>
    </cfRule>
  </conditionalFormatting>
  <conditionalFormatting sqref="W6:Y29">
    <cfRule type="cellIs" dxfId="0" priority="2" operator="greaterThan">
      <formula>0</formula>
    </cfRule>
  </conditionalFormatting>
  <conditionalFormatting sqref="AY6:BA29">
    <cfRule type="cellIs" dxfId="0" priority="3" operator="greaterThan">
      <formula>0</formula>
    </cfRule>
  </conditionalFormatting>
  <conditionalFormatting sqref="CA6:CC29">
    <cfRule type="cellIs" dxfId="0" priority="4" operator="greaterThan">
      <formula>0</formula>
    </cfRule>
  </conditionalFormatting>
  <conditionalFormatting sqref="AD6:AF29">
    <cfRule type="cellIs" dxfId="0" priority="5" operator="greaterThan">
      <formula>0</formula>
    </cfRule>
  </conditionalFormatting>
  <conditionalFormatting sqref="AR6:AT29">
    <cfRule type="cellIs" dxfId="0" priority="6" operator="greaterThan">
      <formula>0</formula>
    </cfRule>
  </conditionalFormatting>
  <conditionalFormatting sqref="BF6:BH29">
    <cfRule type="cellIs" dxfId="0" priority="7" operator="greaterThan">
      <formula>0</formula>
    </cfRule>
  </conditionalFormatting>
  <conditionalFormatting sqref="BT6:BV29">
    <cfRule type="cellIs" dxfId="0" priority="8" operator="greaterThan">
      <formula>0</formula>
    </cfRule>
  </conditionalFormatting>
  <conditionalFormatting sqref="CH6:CJ29">
    <cfRule type="cellIs" dxfId="0" priority="9" operator="greaterThan">
      <formula>0</formula>
    </cfRule>
  </conditionalFormatting>
  <conditionalFormatting sqref="P6:R29">
    <cfRule type="cellIs" dxfId="0" priority="10" operator="greaterThan">
      <formula>0</formula>
    </cfRule>
  </conditionalFormatting>
  <conditionalFormatting sqref="AK6:AM29">
    <cfRule type="cellIs" dxfId="0" priority="11" operator="greaterThan">
      <formula>0</formula>
    </cfRule>
  </conditionalFormatting>
  <conditionalFormatting sqref="BM6:BO29">
    <cfRule type="cellIs" dxfId="0" priority="12" operator="greaterThan">
      <formula>0</formula>
    </cfRule>
  </conditionalFormatting>
  <conditionalFormatting sqref="E6:H30 L6:O30 S6:V30 AG6:AJ30 AU6:AX30 BI6:BL30 BW6:BZ30">
    <cfRule type="cellIs" dxfId="0" priority="13" operator="greaterThan">
      <formula>0</formula>
    </cfRule>
  </conditionalFormatting>
  <conditionalFormatting sqref="Z6:AC30">
    <cfRule type="cellIs" dxfId="0" priority="14" operator="greaterThan">
      <formula>0</formula>
    </cfRule>
  </conditionalFormatting>
  <conditionalFormatting sqref="AN6:AQ30">
    <cfRule type="cellIs" dxfId="0" priority="15" operator="greaterThan">
      <formula>0</formula>
    </cfRule>
  </conditionalFormatting>
  <conditionalFormatting sqref="BB6:BE30">
    <cfRule type="cellIs" dxfId="0" priority="16" operator="greaterThan">
      <formula>0</formula>
    </cfRule>
  </conditionalFormatting>
  <conditionalFormatting sqref="BP6:BS30">
    <cfRule type="cellIs" dxfId="0" priority="17" operator="greaterThan">
      <formula>0</formula>
    </cfRule>
  </conditionalFormatting>
  <conditionalFormatting sqref="CD6:CG30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4">
        <v>20.0</v>
      </c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4">
        <v>20.0</v>
      </c>
      <c r="U6" s="13"/>
      <c r="V6" s="13"/>
      <c r="W6" s="13"/>
      <c r="X6" s="13"/>
      <c r="Y6" s="13"/>
      <c r="Z6" s="52"/>
      <c r="AA6" s="53">
        <v>60.0</v>
      </c>
      <c r="AB6" s="52"/>
      <c r="AC6" s="52"/>
      <c r="AD6" s="52"/>
      <c r="AE6" s="52"/>
      <c r="AF6" s="52"/>
      <c r="AG6" s="13"/>
      <c r="AH6" s="14">
        <v>10.0</v>
      </c>
      <c r="AI6" s="13"/>
      <c r="AJ6" s="13"/>
      <c r="AK6" s="13"/>
      <c r="AL6" s="13"/>
      <c r="AM6" s="13"/>
      <c r="AN6" s="52"/>
      <c r="AO6" s="53">
        <v>10.0</v>
      </c>
      <c r="AP6" s="52"/>
      <c r="AQ6" s="52"/>
      <c r="AR6" s="52"/>
      <c r="AS6" s="52"/>
      <c r="AT6" s="52"/>
      <c r="AU6" s="13"/>
      <c r="AV6" s="14">
        <v>10.0</v>
      </c>
      <c r="AW6" s="13"/>
      <c r="AX6" s="13"/>
      <c r="AY6" s="13"/>
      <c r="AZ6" s="13"/>
      <c r="BA6" s="13"/>
      <c r="BB6" s="52"/>
      <c r="BC6" s="52"/>
      <c r="BD6" s="52"/>
      <c r="BE6" s="52"/>
      <c r="BF6" s="52"/>
      <c r="BG6" s="52"/>
      <c r="BH6" s="52"/>
      <c r="BI6" s="13"/>
      <c r="BJ6" s="13"/>
      <c r="BK6" s="13"/>
      <c r="BL6" s="13"/>
      <c r="BM6" s="13"/>
      <c r="BN6" s="13"/>
      <c r="BO6" s="13"/>
      <c r="BP6" s="52"/>
      <c r="BQ6" s="52"/>
      <c r="BR6" s="52"/>
      <c r="BS6" s="52"/>
      <c r="BT6" s="52"/>
      <c r="BU6" s="52"/>
      <c r="BV6" s="52"/>
      <c r="BW6" s="13"/>
      <c r="BX6" s="13"/>
      <c r="BY6" s="13"/>
      <c r="BZ6" s="13"/>
      <c r="CA6" s="13"/>
      <c r="CB6" s="13"/>
      <c r="CC6" s="13"/>
      <c r="CD6" s="52"/>
      <c r="CE6" s="52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130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4">
        <v>50.0</v>
      </c>
      <c r="G7" s="14">
        <v>50.0</v>
      </c>
      <c r="H7" s="13"/>
      <c r="I7" s="13"/>
      <c r="J7" s="13"/>
      <c r="K7" s="13"/>
      <c r="L7" s="52"/>
      <c r="M7" s="53">
        <v>50.0</v>
      </c>
      <c r="N7" s="52"/>
      <c r="O7" s="52"/>
      <c r="P7" s="52"/>
      <c r="Q7" s="52"/>
      <c r="R7" s="52"/>
      <c r="S7" s="13"/>
      <c r="T7" s="14">
        <v>50.0</v>
      </c>
      <c r="U7" s="13"/>
      <c r="V7" s="13"/>
      <c r="W7" s="13"/>
      <c r="X7" s="13"/>
      <c r="Y7" s="13"/>
      <c r="Z7" s="52"/>
      <c r="AA7" s="53">
        <v>40.0</v>
      </c>
      <c r="AB7" s="53">
        <v>90.0</v>
      </c>
      <c r="AC7" s="52"/>
      <c r="AD7" s="52"/>
      <c r="AE7" s="52"/>
      <c r="AF7" s="52"/>
      <c r="AG7" s="13"/>
      <c r="AH7" s="14">
        <v>10.0</v>
      </c>
      <c r="AI7" s="14">
        <v>30.0</v>
      </c>
      <c r="AJ7" s="13"/>
      <c r="AK7" s="13"/>
      <c r="AL7" s="13"/>
      <c r="AM7" s="13"/>
      <c r="AN7" s="52"/>
      <c r="AO7" s="53">
        <v>30.0</v>
      </c>
      <c r="AP7" s="52"/>
      <c r="AQ7" s="52"/>
      <c r="AR7" s="52"/>
      <c r="AS7" s="52"/>
      <c r="AT7" s="52"/>
      <c r="AU7" s="13"/>
      <c r="AV7" s="14">
        <v>40.0</v>
      </c>
      <c r="AW7" s="14">
        <v>40.0</v>
      </c>
      <c r="AX7" s="13"/>
      <c r="AY7" s="13"/>
      <c r="AZ7" s="13"/>
      <c r="BA7" s="13"/>
      <c r="BB7" s="53"/>
      <c r="BC7" s="53">
        <v>40.0</v>
      </c>
      <c r="BD7" s="53">
        <v>40.0</v>
      </c>
      <c r="BE7" s="52"/>
      <c r="BF7" s="52"/>
      <c r="BG7" s="52"/>
      <c r="BH7" s="52"/>
      <c r="BI7" s="13"/>
      <c r="BJ7" s="14">
        <v>40.0</v>
      </c>
      <c r="BK7" s="13"/>
      <c r="BL7" s="13"/>
      <c r="BM7" s="13"/>
      <c r="BN7" s="13"/>
      <c r="BO7" s="13"/>
      <c r="BP7" s="52"/>
      <c r="BQ7" s="52"/>
      <c r="BR7" s="52"/>
      <c r="BS7" s="52"/>
      <c r="BT7" s="52"/>
      <c r="BU7" s="52"/>
      <c r="BV7" s="52"/>
      <c r="BW7" s="13"/>
      <c r="BX7" s="13"/>
      <c r="BY7" s="13"/>
      <c r="BZ7" s="13"/>
      <c r="CA7" s="13"/>
      <c r="CB7" s="13"/>
      <c r="CC7" s="13"/>
      <c r="CD7" s="52"/>
      <c r="CE7" s="52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350</v>
      </c>
      <c r="CM7" s="56">
        <f t="shared" si="2"/>
        <v>250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2"/>
      <c r="BD8" s="52"/>
      <c r="BE8" s="52"/>
      <c r="BF8" s="52"/>
      <c r="BG8" s="52"/>
      <c r="BH8" s="52"/>
      <c r="BI8" s="13"/>
      <c r="BJ8" s="13"/>
      <c r="BK8" s="13"/>
      <c r="BL8" s="13"/>
      <c r="BM8" s="13"/>
      <c r="BN8" s="13"/>
      <c r="BO8" s="13"/>
      <c r="BP8" s="52"/>
      <c r="BQ8" s="52"/>
      <c r="BR8" s="52"/>
      <c r="BS8" s="52"/>
      <c r="BT8" s="52"/>
      <c r="BU8" s="52"/>
      <c r="BV8" s="52"/>
      <c r="BW8" s="13"/>
      <c r="BX8" s="13"/>
      <c r="BY8" s="13"/>
      <c r="BZ8" s="13"/>
      <c r="CA8" s="13"/>
      <c r="CB8" s="13"/>
      <c r="CC8" s="13"/>
      <c r="CD8" s="52"/>
      <c r="CE8" s="52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2"/>
      <c r="BD9" s="52"/>
      <c r="BE9" s="52"/>
      <c r="BF9" s="52"/>
      <c r="BG9" s="52"/>
      <c r="BH9" s="52"/>
      <c r="BI9" s="13"/>
      <c r="BJ9" s="13"/>
      <c r="BK9" s="13"/>
      <c r="BL9" s="13"/>
      <c r="BM9" s="13"/>
      <c r="BN9" s="13"/>
      <c r="BO9" s="13"/>
      <c r="BP9" s="52"/>
      <c r="BQ9" s="52"/>
      <c r="BR9" s="52"/>
      <c r="BS9" s="52"/>
      <c r="BT9" s="52"/>
      <c r="BU9" s="52"/>
      <c r="BV9" s="52"/>
      <c r="BW9" s="13"/>
      <c r="BX9" s="13"/>
      <c r="BY9" s="13"/>
      <c r="BZ9" s="13"/>
      <c r="CA9" s="13"/>
      <c r="CB9" s="13"/>
      <c r="CC9" s="13"/>
      <c r="CD9" s="52"/>
      <c r="CE9" s="52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2"/>
      <c r="BD10" s="52"/>
      <c r="BE10" s="52"/>
      <c r="BF10" s="52"/>
      <c r="BG10" s="52"/>
      <c r="BH10" s="52"/>
      <c r="BI10" s="13"/>
      <c r="BJ10" s="13"/>
      <c r="BK10" s="13"/>
      <c r="BL10" s="13"/>
      <c r="BM10" s="13"/>
      <c r="BN10" s="13"/>
      <c r="BO10" s="13"/>
      <c r="BP10" s="52"/>
      <c r="BQ10" s="52"/>
      <c r="BR10" s="52"/>
      <c r="BS10" s="52"/>
      <c r="BT10" s="52"/>
      <c r="BU10" s="52"/>
      <c r="BV10" s="52"/>
      <c r="BW10" s="13"/>
      <c r="BX10" s="13"/>
      <c r="BY10" s="13"/>
      <c r="BZ10" s="13"/>
      <c r="CA10" s="13"/>
      <c r="CB10" s="13"/>
      <c r="CC10" s="13"/>
      <c r="CD10" s="52"/>
      <c r="CE10" s="52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3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2"/>
      <c r="BD11" s="52"/>
      <c r="BE11" s="52"/>
      <c r="BF11" s="52"/>
      <c r="BG11" s="52"/>
      <c r="BH11" s="52"/>
      <c r="BI11" s="13"/>
      <c r="BJ11" s="13"/>
      <c r="BK11" s="13"/>
      <c r="BL11" s="13"/>
      <c r="BM11" s="13"/>
      <c r="BN11" s="13"/>
      <c r="BO11" s="13"/>
      <c r="BP11" s="52"/>
      <c r="BQ11" s="52"/>
      <c r="BR11" s="52"/>
      <c r="BS11" s="52"/>
      <c r="BT11" s="52"/>
      <c r="BU11" s="52"/>
      <c r="BV11" s="52"/>
      <c r="BW11" s="13"/>
      <c r="BX11" s="13"/>
      <c r="BY11" s="13"/>
      <c r="BZ11" s="13"/>
      <c r="CA11" s="13"/>
      <c r="CB11" s="13"/>
      <c r="CC11" s="13"/>
      <c r="CD11" s="52"/>
      <c r="CE11" s="52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2"/>
      <c r="BD12" s="52"/>
      <c r="BE12" s="52"/>
      <c r="BF12" s="52"/>
      <c r="BG12" s="52"/>
      <c r="BH12" s="52"/>
      <c r="BI12" s="13"/>
      <c r="BJ12" s="13"/>
      <c r="BK12" s="13"/>
      <c r="BL12" s="13"/>
      <c r="BM12" s="13"/>
      <c r="BN12" s="13"/>
      <c r="BO12" s="13"/>
      <c r="BP12" s="52"/>
      <c r="BQ12" s="52"/>
      <c r="BR12" s="52"/>
      <c r="BS12" s="52"/>
      <c r="BT12" s="52"/>
      <c r="BU12" s="52"/>
      <c r="BV12" s="52"/>
      <c r="BW12" s="13"/>
      <c r="BX12" s="13"/>
      <c r="BY12" s="13"/>
      <c r="BZ12" s="13"/>
      <c r="CA12" s="13"/>
      <c r="CB12" s="13"/>
      <c r="CC12" s="13"/>
      <c r="CD12" s="52"/>
      <c r="CE12" s="52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2"/>
      <c r="BD13" s="52"/>
      <c r="BE13" s="52"/>
      <c r="BF13" s="52"/>
      <c r="BG13" s="52"/>
      <c r="BH13" s="52"/>
      <c r="BI13" s="13"/>
      <c r="BJ13" s="13"/>
      <c r="BK13" s="13"/>
      <c r="BL13" s="13"/>
      <c r="BM13" s="13"/>
      <c r="BN13" s="13"/>
      <c r="BO13" s="13"/>
      <c r="BP13" s="52"/>
      <c r="BQ13" s="52"/>
      <c r="BR13" s="52"/>
      <c r="BS13" s="52"/>
      <c r="BT13" s="52"/>
      <c r="BU13" s="52"/>
      <c r="BV13" s="52"/>
      <c r="BW13" s="13"/>
      <c r="BX13" s="13"/>
      <c r="BY13" s="13"/>
      <c r="BZ13" s="13"/>
      <c r="CA13" s="13"/>
      <c r="CB13" s="13"/>
      <c r="CC13" s="13"/>
      <c r="CD13" s="52"/>
      <c r="CE13" s="52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2"/>
      <c r="BD14" s="52"/>
      <c r="BE14" s="52"/>
      <c r="BF14" s="52"/>
      <c r="BG14" s="52"/>
      <c r="BH14" s="52"/>
      <c r="BI14" s="13"/>
      <c r="BJ14" s="13"/>
      <c r="BK14" s="13"/>
      <c r="BL14" s="13"/>
      <c r="BM14" s="13"/>
      <c r="BN14" s="13"/>
      <c r="BO14" s="13"/>
      <c r="BP14" s="52"/>
      <c r="BQ14" s="52"/>
      <c r="BR14" s="52"/>
      <c r="BS14" s="52"/>
      <c r="BT14" s="52"/>
      <c r="BU14" s="52"/>
      <c r="BV14" s="52"/>
      <c r="BW14" s="13"/>
      <c r="BX14" s="13"/>
      <c r="BY14" s="13"/>
      <c r="BZ14" s="13"/>
      <c r="CA14" s="13"/>
      <c r="CB14" s="13"/>
      <c r="CC14" s="13"/>
      <c r="CD14" s="52"/>
      <c r="CE14" s="52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3"/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2"/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2"/>
      <c r="AP15" s="52"/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2"/>
      <c r="BD15" s="52"/>
      <c r="BE15" s="52"/>
      <c r="BF15" s="52"/>
      <c r="BG15" s="52"/>
      <c r="BH15" s="52"/>
      <c r="BI15" s="13"/>
      <c r="BJ15" s="13"/>
      <c r="BK15" s="13"/>
      <c r="BL15" s="13"/>
      <c r="BM15" s="13"/>
      <c r="BN15" s="13"/>
      <c r="BO15" s="13"/>
      <c r="BP15" s="52"/>
      <c r="BQ15" s="52"/>
      <c r="BR15" s="52"/>
      <c r="BS15" s="52"/>
      <c r="BT15" s="52"/>
      <c r="BU15" s="52"/>
      <c r="BV15" s="52"/>
      <c r="BW15" s="13"/>
      <c r="BX15" s="13"/>
      <c r="BY15" s="13"/>
      <c r="BZ15" s="13"/>
      <c r="CA15" s="13"/>
      <c r="CB15" s="13"/>
      <c r="CC15" s="13"/>
      <c r="CD15" s="52"/>
      <c r="CE15" s="52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0</v>
      </c>
      <c r="CM15" s="56">
        <f t="shared" si="10"/>
        <v>0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3"/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2"/>
      <c r="BD16" s="52"/>
      <c r="BE16" s="52"/>
      <c r="BF16" s="52"/>
      <c r="BG16" s="52"/>
      <c r="BH16" s="52"/>
      <c r="BI16" s="13"/>
      <c r="BJ16" s="13"/>
      <c r="BK16" s="13"/>
      <c r="BL16" s="13"/>
      <c r="BM16" s="13"/>
      <c r="BN16" s="13"/>
      <c r="BO16" s="13"/>
      <c r="BP16" s="52"/>
      <c r="BQ16" s="52"/>
      <c r="BR16" s="52"/>
      <c r="BS16" s="52"/>
      <c r="BT16" s="52"/>
      <c r="BU16" s="52"/>
      <c r="BV16" s="52"/>
      <c r="BW16" s="13"/>
      <c r="BX16" s="13"/>
      <c r="BY16" s="13"/>
      <c r="BZ16" s="13"/>
      <c r="CA16" s="13"/>
      <c r="CB16" s="13"/>
      <c r="CC16" s="13"/>
      <c r="CD16" s="52"/>
      <c r="CE16" s="52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0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2"/>
      <c r="BD17" s="52"/>
      <c r="BE17" s="52"/>
      <c r="BF17" s="52"/>
      <c r="BG17" s="52"/>
      <c r="BH17" s="52"/>
      <c r="BI17" s="13"/>
      <c r="BJ17" s="13"/>
      <c r="BK17" s="13"/>
      <c r="BL17" s="13"/>
      <c r="BM17" s="13"/>
      <c r="BN17" s="13"/>
      <c r="BO17" s="13"/>
      <c r="BP17" s="52"/>
      <c r="BQ17" s="52"/>
      <c r="BR17" s="52"/>
      <c r="BS17" s="52"/>
      <c r="BT17" s="52"/>
      <c r="BU17" s="52"/>
      <c r="BV17" s="52"/>
      <c r="BW17" s="13"/>
      <c r="BX17" s="13"/>
      <c r="BY17" s="13"/>
      <c r="BZ17" s="13"/>
      <c r="CA17" s="13"/>
      <c r="CB17" s="13"/>
      <c r="CC17" s="13"/>
      <c r="CD17" s="52"/>
      <c r="CE17" s="52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2"/>
      <c r="BD18" s="52"/>
      <c r="BE18" s="52"/>
      <c r="BF18" s="52"/>
      <c r="BG18" s="52"/>
      <c r="BH18" s="52"/>
      <c r="BI18" s="13"/>
      <c r="BJ18" s="13"/>
      <c r="BK18" s="13"/>
      <c r="BL18" s="13"/>
      <c r="BM18" s="13"/>
      <c r="BN18" s="13"/>
      <c r="BO18" s="13"/>
      <c r="BP18" s="52"/>
      <c r="BQ18" s="52"/>
      <c r="BR18" s="52"/>
      <c r="BS18" s="52"/>
      <c r="BT18" s="52"/>
      <c r="BU18" s="52"/>
      <c r="BV18" s="52"/>
      <c r="BW18" s="13"/>
      <c r="BX18" s="13"/>
      <c r="BY18" s="13"/>
      <c r="BZ18" s="13"/>
      <c r="CA18" s="13"/>
      <c r="CB18" s="13"/>
      <c r="CC18" s="13"/>
      <c r="CD18" s="52"/>
      <c r="CE18" s="52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2"/>
      <c r="BD19" s="52"/>
      <c r="BE19" s="52"/>
      <c r="BF19" s="52"/>
      <c r="BG19" s="52"/>
      <c r="BH19" s="52"/>
      <c r="BI19" s="13"/>
      <c r="BJ19" s="13"/>
      <c r="BK19" s="13"/>
      <c r="BL19" s="13"/>
      <c r="BM19" s="13"/>
      <c r="BN19" s="13"/>
      <c r="BO19" s="13"/>
      <c r="BP19" s="52"/>
      <c r="BQ19" s="52"/>
      <c r="BR19" s="52"/>
      <c r="BS19" s="52"/>
      <c r="BT19" s="52"/>
      <c r="BU19" s="52"/>
      <c r="BV19" s="52"/>
      <c r="BW19" s="13"/>
      <c r="BX19" s="13"/>
      <c r="BY19" s="13"/>
      <c r="BZ19" s="13"/>
      <c r="CA19" s="13"/>
      <c r="CB19" s="13"/>
      <c r="CC19" s="13"/>
      <c r="CD19" s="52"/>
      <c r="CE19" s="52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2"/>
      <c r="BD20" s="52"/>
      <c r="BE20" s="52"/>
      <c r="BF20" s="52"/>
      <c r="BG20" s="52"/>
      <c r="BH20" s="52"/>
      <c r="BI20" s="13"/>
      <c r="BJ20" s="13"/>
      <c r="BK20" s="13"/>
      <c r="BL20" s="13"/>
      <c r="BM20" s="13"/>
      <c r="BN20" s="13"/>
      <c r="BO20" s="13"/>
      <c r="BP20" s="52"/>
      <c r="BQ20" s="52"/>
      <c r="BR20" s="52"/>
      <c r="BS20" s="52"/>
      <c r="BT20" s="52"/>
      <c r="BU20" s="52"/>
      <c r="BV20" s="52"/>
      <c r="BW20" s="13"/>
      <c r="BX20" s="13"/>
      <c r="BY20" s="13"/>
      <c r="BZ20" s="13"/>
      <c r="CA20" s="13"/>
      <c r="CB20" s="13"/>
      <c r="CC20" s="13"/>
      <c r="CD20" s="52"/>
      <c r="CE20" s="52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2"/>
      <c r="BD21" s="52"/>
      <c r="BE21" s="52"/>
      <c r="BF21" s="52"/>
      <c r="BG21" s="52"/>
      <c r="BH21" s="52"/>
      <c r="BI21" s="13"/>
      <c r="BJ21" s="13"/>
      <c r="BK21" s="13"/>
      <c r="BL21" s="13"/>
      <c r="BM21" s="13"/>
      <c r="BN21" s="13"/>
      <c r="BO21" s="13"/>
      <c r="BP21" s="52"/>
      <c r="BQ21" s="52"/>
      <c r="BR21" s="52"/>
      <c r="BS21" s="52"/>
      <c r="BT21" s="52"/>
      <c r="BU21" s="52"/>
      <c r="BV21" s="52"/>
      <c r="BW21" s="13"/>
      <c r="BX21" s="13"/>
      <c r="BY21" s="13"/>
      <c r="BZ21" s="13"/>
      <c r="CA21" s="13"/>
      <c r="CB21" s="13"/>
      <c r="CC21" s="13"/>
      <c r="CD21" s="52"/>
      <c r="CE21" s="52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2"/>
      <c r="BD22" s="52"/>
      <c r="BE22" s="52"/>
      <c r="BF22" s="52"/>
      <c r="BG22" s="52"/>
      <c r="BH22" s="52"/>
      <c r="BI22" s="13"/>
      <c r="BJ22" s="13"/>
      <c r="BK22" s="13"/>
      <c r="BL22" s="13"/>
      <c r="BM22" s="13"/>
      <c r="BN22" s="13"/>
      <c r="BO22" s="13"/>
      <c r="BP22" s="52"/>
      <c r="BQ22" s="52"/>
      <c r="BR22" s="52"/>
      <c r="BS22" s="52"/>
      <c r="BT22" s="52"/>
      <c r="BU22" s="52"/>
      <c r="BV22" s="52"/>
      <c r="BW22" s="13"/>
      <c r="BX22" s="13"/>
      <c r="BY22" s="13"/>
      <c r="BZ22" s="13"/>
      <c r="CA22" s="13"/>
      <c r="CB22" s="13"/>
      <c r="CC22" s="13"/>
      <c r="CD22" s="52"/>
      <c r="CE22" s="52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2"/>
      <c r="BD23" s="52"/>
      <c r="BE23" s="52"/>
      <c r="BF23" s="52"/>
      <c r="BG23" s="52"/>
      <c r="BH23" s="52"/>
      <c r="BI23" s="13"/>
      <c r="BJ23" s="13"/>
      <c r="BK23" s="13"/>
      <c r="BL23" s="13"/>
      <c r="BM23" s="13"/>
      <c r="BN23" s="13"/>
      <c r="BO23" s="13"/>
      <c r="BP23" s="52"/>
      <c r="BQ23" s="52"/>
      <c r="BR23" s="52"/>
      <c r="BS23" s="52"/>
      <c r="BT23" s="52"/>
      <c r="BU23" s="52"/>
      <c r="BV23" s="52"/>
      <c r="BW23" s="13"/>
      <c r="BX23" s="13"/>
      <c r="BY23" s="13"/>
      <c r="BZ23" s="13"/>
      <c r="CA23" s="13"/>
      <c r="CB23" s="13"/>
      <c r="CC23" s="13"/>
      <c r="CD23" s="52"/>
      <c r="CE23" s="52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2"/>
      <c r="BD24" s="52"/>
      <c r="BE24" s="52"/>
      <c r="BF24" s="52"/>
      <c r="BG24" s="52"/>
      <c r="BH24" s="52"/>
      <c r="BI24" s="13"/>
      <c r="BJ24" s="13"/>
      <c r="BK24" s="13"/>
      <c r="BL24" s="13"/>
      <c r="BM24" s="13"/>
      <c r="BN24" s="13"/>
      <c r="BO24" s="13"/>
      <c r="BP24" s="52"/>
      <c r="BQ24" s="52"/>
      <c r="BR24" s="52"/>
      <c r="BS24" s="52"/>
      <c r="BT24" s="52"/>
      <c r="BU24" s="52"/>
      <c r="BV24" s="52"/>
      <c r="BW24" s="13"/>
      <c r="BX24" s="13"/>
      <c r="BY24" s="13"/>
      <c r="BZ24" s="13"/>
      <c r="CA24" s="13"/>
      <c r="CB24" s="13"/>
      <c r="CC24" s="13"/>
      <c r="CD24" s="52"/>
      <c r="CE24" s="52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0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2"/>
      <c r="BD25" s="52"/>
      <c r="BE25" s="52"/>
      <c r="BF25" s="52"/>
      <c r="BG25" s="52"/>
      <c r="BH25" s="52"/>
      <c r="BI25" s="13"/>
      <c r="BJ25" s="13"/>
      <c r="BK25" s="13"/>
      <c r="BL25" s="13"/>
      <c r="BM25" s="13"/>
      <c r="BN25" s="13"/>
      <c r="BO25" s="13"/>
      <c r="BP25" s="52"/>
      <c r="BQ25" s="52"/>
      <c r="BR25" s="52"/>
      <c r="BS25" s="52"/>
      <c r="BT25" s="52"/>
      <c r="BU25" s="52"/>
      <c r="BV25" s="52"/>
      <c r="BW25" s="13"/>
      <c r="BX25" s="13"/>
      <c r="BY25" s="13"/>
      <c r="BZ25" s="13"/>
      <c r="CA25" s="13"/>
      <c r="CB25" s="13"/>
      <c r="CC25" s="13"/>
      <c r="CD25" s="52"/>
      <c r="CE25" s="52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2"/>
      <c r="BD26" s="52"/>
      <c r="BE26" s="52"/>
      <c r="BF26" s="52"/>
      <c r="BG26" s="52"/>
      <c r="BH26" s="52"/>
      <c r="BI26" s="13"/>
      <c r="BJ26" s="13"/>
      <c r="BK26" s="13"/>
      <c r="BL26" s="13"/>
      <c r="BM26" s="13"/>
      <c r="BN26" s="13"/>
      <c r="BO26" s="13"/>
      <c r="BP26" s="52"/>
      <c r="BQ26" s="52"/>
      <c r="BR26" s="52"/>
      <c r="BS26" s="52"/>
      <c r="BT26" s="52"/>
      <c r="BU26" s="52"/>
      <c r="BV26" s="52"/>
      <c r="BW26" s="13"/>
      <c r="BX26" s="13"/>
      <c r="BY26" s="13"/>
      <c r="BZ26" s="13"/>
      <c r="CA26" s="13"/>
      <c r="CB26" s="13"/>
      <c r="CC26" s="13"/>
      <c r="CD26" s="52"/>
      <c r="CE26" s="52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2"/>
      <c r="BD27" s="52"/>
      <c r="BE27" s="52"/>
      <c r="BF27" s="52"/>
      <c r="BG27" s="52"/>
      <c r="BH27" s="52"/>
      <c r="BI27" s="13"/>
      <c r="BJ27" s="13"/>
      <c r="BK27" s="13"/>
      <c r="BL27" s="13"/>
      <c r="BM27" s="13"/>
      <c r="BN27" s="13"/>
      <c r="BO27" s="13"/>
      <c r="BP27" s="52"/>
      <c r="BQ27" s="52"/>
      <c r="BR27" s="52"/>
      <c r="BS27" s="52"/>
      <c r="BT27" s="52"/>
      <c r="BU27" s="52"/>
      <c r="BV27" s="52"/>
      <c r="BW27" s="13"/>
      <c r="BX27" s="13"/>
      <c r="BY27" s="13"/>
      <c r="BZ27" s="13"/>
      <c r="CA27" s="13"/>
      <c r="CB27" s="13"/>
      <c r="CC27" s="13"/>
      <c r="CD27" s="52"/>
      <c r="CE27" s="52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3"/>
      <c r="G28" s="13"/>
      <c r="H28" s="13"/>
      <c r="I28" s="35"/>
      <c r="J28" s="35"/>
      <c r="K28" s="35"/>
      <c r="L28" s="52"/>
      <c r="M28" s="52"/>
      <c r="N28" s="52"/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2"/>
      <c r="AB28" s="52"/>
      <c r="AC28" s="52"/>
      <c r="AD28" s="58"/>
      <c r="AE28" s="58"/>
      <c r="AF28" s="58"/>
      <c r="AG28" s="13"/>
      <c r="AH28" s="14">
        <v>3.0</v>
      </c>
      <c r="AI28" s="14">
        <v>3.0</v>
      </c>
      <c r="AJ28" s="13"/>
      <c r="AK28" s="35"/>
      <c r="AL28" s="35"/>
      <c r="AM28" s="35"/>
      <c r="AN28" s="52"/>
      <c r="AO28" s="52"/>
      <c r="AP28" s="52"/>
      <c r="AQ28" s="52"/>
      <c r="AR28" s="58"/>
      <c r="AS28" s="58"/>
      <c r="AT28" s="58"/>
      <c r="AU28" s="13"/>
      <c r="AV28" s="13"/>
      <c r="AW28" s="13"/>
      <c r="AX28" s="13"/>
      <c r="AY28" s="35"/>
      <c r="AZ28" s="35"/>
      <c r="BA28" s="35"/>
      <c r="BB28" s="52"/>
      <c r="BC28" s="52"/>
      <c r="BD28" s="52"/>
      <c r="BE28" s="52"/>
      <c r="BF28" s="58"/>
      <c r="BG28" s="58"/>
      <c r="BH28" s="58"/>
      <c r="BI28" s="13"/>
      <c r="BJ28" s="13"/>
      <c r="BK28" s="13"/>
      <c r="BL28" s="13"/>
      <c r="BM28" s="35"/>
      <c r="BN28" s="35"/>
      <c r="BO28" s="35"/>
      <c r="BP28" s="52"/>
      <c r="BQ28" s="52"/>
      <c r="BR28" s="52"/>
      <c r="BS28" s="52"/>
      <c r="BT28" s="58"/>
      <c r="BU28" s="58"/>
      <c r="BV28" s="58"/>
      <c r="BW28" s="13"/>
      <c r="BX28" s="13"/>
      <c r="BY28" s="13"/>
      <c r="BZ28" s="13"/>
      <c r="CA28" s="35"/>
      <c r="CB28" s="35"/>
      <c r="CC28" s="35"/>
      <c r="CD28" s="52"/>
      <c r="CE28" s="52"/>
      <c r="CF28" s="52"/>
      <c r="CG28" s="52"/>
      <c r="CH28" s="58"/>
      <c r="CI28" s="58"/>
      <c r="CJ28" s="58"/>
      <c r="CK28" s="56">
        <f t="shared" ref="CK28:CQ28" si="23">SUM(E28,L28,S28,Z28,AG28,AN28,AU28,BB28,BI28,BP28,BW28,CD28)</f>
        <v>0</v>
      </c>
      <c r="CL28" s="56">
        <f t="shared" si="23"/>
        <v>3</v>
      </c>
      <c r="CM28" s="56">
        <f t="shared" si="23"/>
        <v>3</v>
      </c>
      <c r="CN28" s="56">
        <f t="shared" si="23"/>
        <v>0</v>
      </c>
      <c r="CO28" s="56">
        <f t="shared" si="23"/>
        <v>0</v>
      </c>
      <c r="CP28" s="56">
        <f t="shared" si="23"/>
        <v>0</v>
      </c>
      <c r="CQ28" s="56">
        <f t="shared" si="23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3"/>
      <c r="F29" s="13"/>
      <c r="G29" s="13"/>
      <c r="H29" s="13"/>
      <c r="I29" s="35"/>
      <c r="J29" s="35"/>
      <c r="K29" s="35"/>
      <c r="L29" s="52"/>
      <c r="M29" s="52"/>
      <c r="N29" s="52"/>
      <c r="O29" s="52"/>
      <c r="P29" s="58"/>
      <c r="Q29" s="58"/>
      <c r="R29" s="58"/>
      <c r="S29" s="13"/>
      <c r="T29" s="13"/>
      <c r="U29" s="13"/>
      <c r="V29" s="13"/>
      <c r="W29" s="35"/>
      <c r="X29" s="35"/>
      <c r="Y29" s="35"/>
      <c r="Z29" s="52"/>
      <c r="AA29" s="52"/>
      <c r="AB29" s="52"/>
      <c r="AC29" s="52"/>
      <c r="AD29" s="58"/>
      <c r="AE29" s="58"/>
      <c r="AF29" s="58"/>
      <c r="AG29" s="13"/>
      <c r="AH29" s="13"/>
      <c r="AI29" s="13"/>
      <c r="AJ29" s="13"/>
      <c r="AK29" s="35"/>
      <c r="AL29" s="35"/>
      <c r="AM29" s="35"/>
      <c r="AN29" s="52"/>
      <c r="AO29" s="52"/>
      <c r="AP29" s="52"/>
      <c r="AQ29" s="52"/>
      <c r="AR29" s="58"/>
      <c r="AS29" s="58"/>
      <c r="AT29" s="58"/>
      <c r="AU29" s="13"/>
      <c r="AV29" s="13"/>
      <c r="AW29" s="13"/>
      <c r="AX29" s="13"/>
      <c r="AY29" s="35"/>
      <c r="AZ29" s="35"/>
      <c r="BA29" s="35"/>
      <c r="BB29" s="52"/>
      <c r="BC29" s="52"/>
      <c r="BD29" s="52"/>
      <c r="BE29" s="52"/>
      <c r="BF29" s="58"/>
      <c r="BG29" s="58"/>
      <c r="BH29" s="58"/>
      <c r="BI29" s="13"/>
      <c r="BJ29" s="13"/>
      <c r="BK29" s="13"/>
      <c r="BL29" s="13"/>
      <c r="BM29" s="35"/>
      <c r="BN29" s="35"/>
      <c r="BO29" s="35"/>
      <c r="BP29" s="52"/>
      <c r="BQ29" s="52"/>
      <c r="BR29" s="52"/>
      <c r="BS29" s="52"/>
      <c r="BT29" s="58"/>
      <c r="BU29" s="58"/>
      <c r="BV29" s="58"/>
      <c r="BW29" s="13"/>
      <c r="BX29" s="13"/>
      <c r="BY29" s="13"/>
      <c r="BZ29" s="13"/>
      <c r="CA29" s="35"/>
      <c r="CB29" s="35"/>
      <c r="CC29" s="35"/>
      <c r="CD29" s="52"/>
      <c r="CE29" s="52"/>
      <c r="CF29" s="52"/>
      <c r="CG29" s="52"/>
      <c r="CH29" s="58"/>
      <c r="CI29" s="58"/>
      <c r="CJ29" s="58"/>
      <c r="CK29" s="56">
        <f t="shared" ref="CK29:CQ29" si="24">SUM(E29,L29,S29,Z29,AG29,AN29,AU29,BB29,BI29,BP29,BW29,CD29)</f>
        <v>0</v>
      </c>
      <c r="CL29" s="56">
        <f t="shared" si="24"/>
        <v>0</v>
      </c>
      <c r="CM29" s="56">
        <f t="shared" si="24"/>
        <v>0</v>
      </c>
      <c r="CN29" s="56">
        <f t="shared" si="24"/>
        <v>0</v>
      </c>
      <c r="CO29" s="56">
        <f t="shared" si="24"/>
        <v>0</v>
      </c>
      <c r="CP29" s="56">
        <f t="shared" si="24"/>
        <v>0</v>
      </c>
      <c r="CQ29" s="56">
        <f t="shared" si="24"/>
        <v>0</v>
      </c>
    </row>
    <row r="30" ht="15.75" customHeight="1">
      <c r="A30" s="4"/>
      <c r="B30" s="60"/>
      <c r="C30" s="4"/>
      <c r="D30" s="4"/>
      <c r="E30" s="13">
        <f t="shared" ref="E30:Z30" si="25">SUM(E6:E27)</f>
        <v>0</v>
      </c>
      <c r="F30" s="13">
        <f t="shared" si="25"/>
        <v>70</v>
      </c>
      <c r="G30" s="13">
        <f t="shared" si="25"/>
        <v>50</v>
      </c>
      <c r="H30" s="13">
        <f t="shared" si="25"/>
        <v>0</v>
      </c>
      <c r="I30" s="17">
        <f t="shared" si="25"/>
        <v>0</v>
      </c>
      <c r="J30" s="17">
        <f t="shared" si="25"/>
        <v>0</v>
      </c>
      <c r="K30" s="17">
        <f t="shared" si="25"/>
        <v>0</v>
      </c>
      <c r="L30" s="52">
        <f t="shared" si="25"/>
        <v>0</v>
      </c>
      <c r="M30" s="52">
        <f t="shared" si="25"/>
        <v>50</v>
      </c>
      <c r="N30" s="52">
        <f t="shared" si="25"/>
        <v>0</v>
      </c>
      <c r="O30" s="52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13">
        <f t="shared" si="25"/>
        <v>0</v>
      </c>
      <c r="T30" s="13">
        <f t="shared" si="25"/>
        <v>70</v>
      </c>
      <c r="U30" s="13">
        <f t="shared" si="25"/>
        <v>0</v>
      </c>
      <c r="V30" s="13">
        <f t="shared" si="25"/>
        <v>0</v>
      </c>
      <c r="W30" s="17">
        <f t="shared" si="25"/>
        <v>0</v>
      </c>
      <c r="X30" s="17">
        <f t="shared" si="25"/>
        <v>0</v>
      </c>
      <c r="Y30" s="17">
        <f t="shared" si="25"/>
        <v>0</v>
      </c>
      <c r="Z30" s="52">
        <f t="shared" si="25"/>
        <v>0</v>
      </c>
      <c r="AA30" s="52">
        <f>SUM(AA6:AA29)</f>
        <v>100</v>
      </c>
      <c r="AB30" s="52">
        <f t="shared" ref="AB30:AG30" si="26">SUM(AB6:AB27)</f>
        <v>90</v>
      </c>
      <c r="AC30" s="52">
        <f t="shared" si="26"/>
        <v>0</v>
      </c>
      <c r="AD30" s="61">
        <f t="shared" si="26"/>
        <v>0</v>
      </c>
      <c r="AE30" s="61">
        <f t="shared" si="26"/>
        <v>0</v>
      </c>
      <c r="AF30" s="61">
        <f t="shared" si="26"/>
        <v>0</v>
      </c>
      <c r="AG30" s="13">
        <f t="shared" si="26"/>
        <v>0</v>
      </c>
      <c r="AH30" s="13">
        <f>SUM(AH6:AH29)</f>
        <v>23</v>
      </c>
      <c r="AI30" s="13">
        <f t="shared" ref="AI30:AN30" si="27">SUM(AI6:AI27)</f>
        <v>30</v>
      </c>
      <c r="AJ30" s="13">
        <f t="shared" si="27"/>
        <v>0</v>
      </c>
      <c r="AK30" s="17">
        <f t="shared" si="27"/>
        <v>0</v>
      </c>
      <c r="AL30" s="17">
        <f t="shared" si="27"/>
        <v>0</v>
      </c>
      <c r="AM30" s="17">
        <f t="shared" si="27"/>
        <v>0</v>
      </c>
      <c r="AN30" s="52">
        <f t="shared" si="27"/>
        <v>0</v>
      </c>
      <c r="AO30" s="52">
        <f>SUM(AO6:AO29)</f>
        <v>40</v>
      </c>
      <c r="AP30" s="52">
        <f t="shared" ref="AP30:AU30" si="28">SUM(AP6:AP27)</f>
        <v>0</v>
      </c>
      <c r="AQ30" s="52">
        <f t="shared" si="28"/>
        <v>0</v>
      </c>
      <c r="AR30" s="61">
        <f t="shared" si="28"/>
        <v>0</v>
      </c>
      <c r="AS30" s="61">
        <f t="shared" si="28"/>
        <v>0</v>
      </c>
      <c r="AT30" s="61">
        <f t="shared" si="28"/>
        <v>0</v>
      </c>
      <c r="AU30" s="13">
        <f t="shared" si="28"/>
        <v>0</v>
      </c>
      <c r="AV30" s="13">
        <f>SUM(AV6:AV29)</f>
        <v>50</v>
      </c>
      <c r="AW30" s="13">
        <f t="shared" ref="AW30:BB30" si="29">SUM(AW6:AW27)</f>
        <v>40</v>
      </c>
      <c r="AX30" s="13">
        <f t="shared" si="29"/>
        <v>0</v>
      </c>
      <c r="AY30" s="17">
        <f t="shared" si="29"/>
        <v>0</v>
      </c>
      <c r="AZ30" s="17">
        <f t="shared" si="29"/>
        <v>0</v>
      </c>
      <c r="BA30" s="17">
        <f t="shared" si="29"/>
        <v>0</v>
      </c>
      <c r="BB30" s="52">
        <f t="shared" si="29"/>
        <v>0</v>
      </c>
      <c r="BC30" s="52">
        <f>SUM(BC6:BC29)</f>
        <v>40</v>
      </c>
      <c r="BD30" s="52">
        <f t="shared" ref="BD30:BI30" si="30">SUM(BD6:BD27)</f>
        <v>40</v>
      </c>
      <c r="BE30" s="52">
        <f t="shared" si="30"/>
        <v>0</v>
      </c>
      <c r="BF30" s="61">
        <f t="shared" si="30"/>
        <v>0</v>
      </c>
      <c r="BG30" s="61">
        <f t="shared" si="30"/>
        <v>0</v>
      </c>
      <c r="BH30" s="61">
        <f t="shared" si="30"/>
        <v>0</v>
      </c>
      <c r="BI30" s="13">
        <f t="shared" si="30"/>
        <v>0</v>
      </c>
      <c r="BJ30" s="13">
        <f>SUM(BJ6:BJ29)</f>
        <v>40</v>
      </c>
      <c r="BK30" s="13">
        <f t="shared" ref="BK30:BP30" si="31">SUM(BK6:BK27)</f>
        <v>0</v>
      </c>
      <c r="BL30" s="13">
        <f t="shared" si="31"/>
        <v>0</v>
      </c>
      <c r="BM30" s="17">
        <f t="shared" si="31"/>
        <v>0</v>
      </c>
      <c r="BN30" s="17">
        <f t="shared" si="31"/>
        <v>0</v>
      </c>
      <c r="BO30" s="17">
        <f t="shared" si="31"/>
        <v>0</v>
      </c>
      <c r="BP30" s="52">
        <f t="shared" si="31"/>
        <v>0</v>
      </c>
      <c r="BQ30" s="52">
        <f>SUM(BQ6:BQ29)</f>
        <v>0</v>
      </c>
      <c r="BR30" s="52">
        <f t="shared" ref="BR30:BW30" si="32">SUM(BR6:BR27)</f>
        <v>0</v>
      </c>
      <c r="BS30" s="52">
        <f t="shared" si="32"/>
        <v>0</v>
      </c>
      <c r="BT30" s="61">
        <f t="shared" si="32"/>
        <v>0</v>
      </c>
      <c r="BU30" s="61">
        <f t="shared" si="32"/>
        <v>0</v>
      </c>
      <c r="BV30" s="61">
        <f t="shared" si="32"/>
        <v>0</v>
      </c>
      <c r="BW30" s="13">
        <f t="shared" si="32"/>
        <v>0</v>
      </c>
      <c r="BX30" s="13">
        <f>SUM(BX6:BX29)</f>
        <v>0</v>
      </c>
      <c r="BY30" s="13">
        <f t="shared" ref="BY30:CD30" si="33">SUM(BY6:BY27)</f>
        <v>0</v>
      </c>
      <c r="BZ30" s="13">
        <f t="shared" si="33"/>
        <v>0</v>
      </c>
      <c r="CA30" s="17">
        <f t="shared" si="33"/>
        <v>0</v>
      </c>
      <c r="CB30" s="17">
        <f t="shared" si="33"/>
        <v>0</v>
      </c>
      <c r="CC30" s="17">
        <f t="shared" si="33"/>
        <v>0</v>
      </c>
      <c r="CD30" s="52">
        <f t="shared" si="33"/>
        <v>0</v>
      </c>
      <c r="CE30" s="52">
        <f>SUM(CE6:CE29)</f>
        <v>0</v>
      </c>
      <c r="CF30" s="52">
        <f t="shared" ref="CF30:CK30" si="34">SUM(CF6:CF27)</f>
        <v>0</v>
      </c>
      <c r="CG30" s="52">
        <f t="shared" si="34"/>
        <v>0</v>
      </c>
      <c r="CH30" s="61">
        <f t="shared" si="34"/>
        <v>0</v>
      </c>
      <c r="CI30" s="61">
        <f t="shared" si="34"/>
        <v>0</v>
      </c>
      <c r="CJ30" s="61">
        <f t="shared" si="34"/>
        <v>0</v>
      </c>
      <c r="CK30" s="62">
        <f t="shared" si="34"/>
        <v>0</v>
      </c>
      <c r="CL30" s="62">
        <f>SUM(CL6:CL29)</f>
        <v>483</v>
      </c>
      <c r="CM30" s="62">
        <f t="shared" ref="CM30:CQ30" si="35">SUM(CM6:CM27)</f>
        <v>250</v>
      </c>
      <c r="CN30" s="62">
        <f t="shared" si="35"/>
        <v>0</v>
      </c>
      <c r="CO30" s="62">
        <f t="shared" si="35"/>
        <v>0</v>
      </c>
      <c r="CP30" s="62">
        <f t="shared" si="35"/>
        <v>0</v>
      </c>
      <c r="CQ30" s="62">
        <f t="shared" si="35"/>
        <v>0</v>
      </c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63"/>
      <c r="CH31" s="40"/>
      <c r="CI31" s="40"/>
      <c r="CJ31" s="40"/>
      <c r="CK31" s="4"/>
      <c r="CL31" s="4"/>
      <c r="CM31" s="4"/>
      <c r="CN31" s="4"/>
      <c r="CO31" s="40"/>
      <c r="CP31" s="40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17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1:CG31"/>
    <mergeCell ref="CE32:CG32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29">
    <cfRule type="cellIs" dxfId="0" priority="1" operator="greaterThan">
      <formula>0</formula>
    </cfRule>
  </conditionalFormatting>
  <conditionalFormatting sqref="W6:Y29">
    <cfRule type="cellIs" dxfId="0" priority="2" operator="greaterThan">
      <formula>0</formula>
    </cfRule>
  </conditionalFormatting>
  <conditionalFormatting sqref="AY6:BA29">
    <cfRule type="cellIs" dxfId="0" priority="3" operator="greaterThan">
      <formula>0</formula>
    </cfRule>
  </conditionalFormatting>
  <conditionalFormatting sqref="CA6:CC29">
    <cfRule type="cellIs" dxfId="0" priority="4" operator="greaterThan">
      <formula>0</formula>
    </cfRule>
  </conditionalFormatting>
  <conditionalFormatting sqref="AD6:AF29">
    <cfRule type="cellIs" dxfId="0" priority="5" operator="greaterThan">
      <formula>0</formula>
    </cfRule>
  </conditionalFormatting>
  <conditionalFormatting sqref="AR6:AT29">
    <cfRule type="cellIs" dxfId="0" priority="6" operator="greaterThan">
      <formula>0</formula>
    </cfRule>
  </conditionalFormatting>
  <conditionalFormatting sqref="BF6:BH29">
    <cfRule type="cellIs" dxfId="0" priority="7" operator="greaterThan">
      <formula>0</formula>
    </cfRule>
  </conditionalFormatting>
  <conditionalFormatting sqref="BT6:BV29">
    <cfRule type="cellIs" dxfId="0" priority="8" operator="greaterThan">
      <formula>0</formula>
    </cfRule>
  </conditionalFormatting>
  <conditionalFormatting sqref="CH6:CJ29">
    <cfRule type="cellIs" dxfId="0" priority="9" operator="greaterThan">
      <formula>0</formula>
    </cfRule>
  </conditionalFormatting>
  <conditionalFormatting sqref="P6:R29">
    <cfRule type="cellIs" dxfId="0" priority="10" operator="greaterThan">
      <formula>0</formula>
    </cfRule>
  </conditionalFormatting>
  <conditionalFormatting sqref="AK6:AM29">
    <cfRule type="cellIs" dxfId="0" priority="11" operator="greaterThan">
      <formula>0</formula>
    </cfRule>
  </conditionalFormatting>
  <conditionalFormatting sqref="BM6:BO29">
    <cfRule type="cellIs" dxfId="0" priority="12" operator="greaterThan">
      <formula>0</formula>
    </cfRule>
  </conditionalFormatting>
  <conditionalFormatting sqref="E6:H30 L6:O30 S6:V30 AG6:AJ30 AU6:AX30 BI6:BL30 BW6:BZ30">
    <cfRule type="cellIs" dxfId="0" priority="13" operator="greaterThan">
      <formula>0</formula>
    </cfRule>
  </conditionalFormatting>
  <conditionalFormatting sqref="Z6:AC30">
    <cfRule type="cellIs" dxfId="0" priority="14" operator="greaterThan">
      <formula>0</formula>
    </cfRule>
  </conditionalFormatting>
  <conditionalFormatting sqref="AN6:AQ30">
    <cfRule type="cellIs" dxfId="0" priority="15" operator="greaterThan">
      <formula>0</formula>
    </cfRule>
  </conditionalFormatting>
  <conditionalFormatting sqref="BB6:BE30">
    <cfRule type="cellIs" dxfId="0" priority="16" operator="greaterThan">
      <formula>0</formula>
    </cfRule>
  </conditionalFormatting>
  <conditionalFormatting sqref="BP6:BS30">
    <cfRule type="cellIs" dxfId="0" priority="17" operator="greaterThan">
      <formula>0</formula>
    </cfRule>
  </conditionalFormatting>
  <conditionalFormatting sqref="CD6:CG30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4">
        <v>30.0</v>
      </c>
      <c r="G6" s="13"/>
      <c r="H6" s="13"/>
      <c r="I6" s="13"/>
      <c r="J6" s="13"/>
      <c r="K6" s="51"/>
      <c r="L6" s="52"/>
      <c r="M6" s="53">
        <v>20.0</v>
      </c>
      <c r="N6" s="52"/>
      <c r="O6" s="52"/>
      <c r="P6" s="52"/>
      <c r="Q6" s="52"/>
      <c r="R6" s="52"/>
      <c r="S6" s="13"/>
      <c r="T6" s="14">
        <v>30.0</v>
      </c>
      <c r="U6" s="13"/>
      <c r="V6" s="13"/>
      <c r="W6" s="13"/>
      <c r="X6" s="13"/>
      <c r="Y6" s="13"/>
      <c r="Z6" s="52"/>
      <c r="AA6" s="53">
        <v>20.0</v>
      </c>
      <c r="AB6" s="52"/>
      <c r="AC6" s="52"/>
      <c r="AD6" s="52"/>
      <c r="AE6" s="52"/>
      <c r="AF6" s="52"/>
      <c r="AG6" s="13"/>
      <c r="AH6" s="14">
        <v>10.0</v>
      </c>
      <c r="AI6" s="13"/>
      <c r="AJ6" s="13"/>
      <c r="AK6" s="13"/>
      <c r="AL6" s="13"/>
      <c r="AM6" s="13"/>
      <c r="AN6" s="52"/>
      <c r="AO6" s="53">
        <v>10.0</v>
      </c>
      <c r="AP6" s="52"/>
      <c r="AQ6" s="52"/>
      <c r="AR6" s="52"/>
      <c r="AS6" s="52"/>
      <c r="AT6" s="52"/>
      <c r="AU6" s="13"/>
      <c r="AV6" s="14"/>
      <c r="AW6" s="13"/>
      <c r="AX6" s="13"/>
      <c r="AY6" s="13"/>
      <c r="AZ6" s="13"/>
      <c r="BA6" s="13"/>
      <c r="BB6" s="52"/>
      <c r="BC6" s="52"/>
      <c r="BD6" s="52"/>
      <c r="BE6" s="52"/>
      <c r="BF6" s="52"/>
      <c r="BG6" s="52"/>
      <c r="BH6" s="52"/>
      <c r="BI6" s="13"/>
      <c r="BJ6" s="13"/>
      <c r="BK6" s="13"/>
      <c r="BL6" s="13"/>
      <c r="BM6" s="13"/>
      <c r="BN6" s="13"/>
      <c r="BO6" s="13"/>
      <c r="BP6" s="52"/>
      <c r="BQ6" s="52"/>
      <c r="BR6" s="52"/>
      <c r="BS6" s="52"/>
      <c r="BT6" s="52"/>
      <c r="BU6" s="52"/>
      <c r="BV6" s="52"/>
      <c r="BW6" s="13"/>
      <c r="BX6" s="13"/>
      <c r="BY6" s="13"/>
      <c r="BZ6" s="13"/>
      <c r="CA6" s="13"/>
      <c r="CB6" s="13"/>
      <c r="CC6" s="13"/>
      <c r="CD6" s="52"/>
      <c r="CE6" s="52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120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4">
        <v>30.0</v>
      </c>
      <c r="G7" s="14">
        <v>32.0</v>
      </c>
      <c r="H7" s="13"/>
      <c r="I7" s="13"/>
      <c r="J7" s="13"/>
      <c r="K7" s="13"/>
      <c r="L7" s="52"/>
      <c r="M7" s="53">
        <v>30.0</v>
      </c>
      <c r="N7" s="52"/>
      <c r="O7" s="52"/>
      <c r="P7" s="52"/>
      <c r="Q7" s="52"/>
      <c r="R7" s="52"/>
      <c r="S7" s="13"/>
      <c r="T7" s="14">
        <v>30.0</v>
      </c>
      <c r="U7" s="14">
        <v>27.0</v>
      </c>
      <c r="V7" s="13"/>
      <c r="W7" s="13"/>
      <c r="X7" s="13"/>
      <c r="Y7" s="13"/>
      <c r="Z7" s="52"/>
      <c r="AA7" s="53">
        <v>20.0</v>
      </c>
      <c r="AB7" s="53">
        <v>52.0</v>
      </c>
      <c r="AC7" s="52"/>
      <c r="AD7" s="52"/>
      <c r="AE7" s="52"/>
      <c r="AF7" s="52"/>
      <c r="AG7" s="13"/>
      <c r="AH7" s="14">
        <v>10.0</v>
      </c>
      <c r="AI7" s="14">
        <v>11.0</v>
      </c>
      <c r="AJ7" s="13"/>
      <c r="AK7" s="13"/>
      <c r="AL7" s="13"/>
      <c r="AM7" s="13"/>
      <c r="AN7" s="52"/>
      <c r="AO7" s="53">
        <v>10.0</v>
      </c>
      <c r="AP7" s="52"/>
      <c r="AQ7" s="52"/>
      <c r="AR7" s="52"/>
      <c r="AS7" s="52"/>
      <c r="AT7" s="52"/>
      <c r="AU7" s="13"/>
      <c r="AV7" s="14">
        <v>20.0</v>
      </c>
      <c r="AW7" s="14">
        <v>20.0</v>
      </c>
      <c r="AX7" s="13"/>
      <c r="AY7" s="13"/>
      <c r="AZ7" s="13"/>
      <c r="BA7" s="13"/>
      <c r="BB7" s="52"/>
      <c r="BC7" s="53">
        <v>20.0</v>
      </c>
      <c r="BD7" s="53">
        <v>20.0</v>
      </c>
      <c r="BE7" s="52"/>
      <c r="BF7" s="52"/>
      <c r="BG7" s="52"/>
      <c r="BH7" s="52"/>
      <c r="BI7" s="13"/>
      <c r="BJ7" s="14">
        <v>20.0</v>
      </c>
      <c r="BK7" s="13"/>
      <c r="BL7" s="13"/>
      <c r="BM7" s="13"/>
      <c r="BN7" s="13"/>
      <c r="BO7" s="13"/>
      <c r="BP7" s="52"/>
      <c r="BQ7" s="52"/>
      <c r="BR7" s="52"/>
      <c r="BS7" s="52"/>
      <c r="BT7" s="52"/>
      <c r="BU7" s="52"/>
      <c r="BV7" s="52"/>
      <c r="BW7" s="13"/>
      <c r="BX7" s="13"/>
      <c r="BY7" s="13"/>
      <c r="BZ7" s="13"/>
      <c r="CA7" s="13"/>
      <c r="CB7" s="13"/>
      <c r="CC7" s="13"/>
      <c r="CD7" s="52"/>
      <c r="CE7" s="52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190</v>
      </c>
      <c r="CM7" s="56">
        <f t="shared" si="2"/>
        <v>162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2"/>
      <c r="BD8" s="52"/>
      <c r="BE8" s="52"/>
      <c r="BF8" s="52"/>
      <c r="BG8" s="52"/>
      <c r="BH8" s="52"/>
      <c r="BI8" s="13"/>
      <c r="BJ8" s="13"/>
      <c r="BK8" s="13"/>
      <c r="BL8" s="13"/>
      <c r="BM8" s="13"/>
      <c r="BN8" s="13"/>
      <c r="BO8" s="13"/>
      <c r="BP8" s="52"/>
      <c r="BQ8" s="52"/>
      <c r="BR8" s="52"/>
      <c r="BS8" s="52"/>
      <c r="BT8" s="52"/>
      <c r="BU8" s="52"/>
      <c r="BV8" s="52"/>
      <c r="BW8" s="13"/>
      <c r="BX8" s="13"/>
      <c r="BY8" s="13"/>
      <c r="BZ8" s="13"/>
      <c r="CA8" s="13"/>
      <c r="CB8" s="13"/>
      <c r="CC8" s="13"/>
      <c r="CD8" s="52"/>
      <c r="CE8" s="52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2"/>
      <c r="BD9" s="52"/>
      <c r="BE9" s="52"/>
      <c r="BF9" s="52"/>
      <c r="BG9" s="52"/>
      <c r="BH9" s="52"/>
      <c r="BI9" s="13"/>
      <c r="BJ9" s="13"/>
      <c r="BK9" s="13"/>
      <c r="BL9" s="13"/>
      <c r="BM9" s="13"/>
      <c r="BN9" s="13"/>
      <c r="BO9" s="13"/>
      <c r="BP9" s="52"/>
      <c r="BQ9" s="52"/>
      <c r="BR9" s="52"/>
      <c r="BS9" s="52"/>
      <c r="BT9" s="52"/>
      <c r="BU9" s="52"/>
      <c r="BV9" s="52"/>
      <c r="BW9" s="13"/>
      <c r="BX9" s="13"/>
      <c r="BY9" s="13"/>
      <c r="BZ9" s="13"/>
      <c r="CA9" s="13"/>
      <c r="CB9" s="13"/>
      <c r="CC9" s="13"/>
      <c r="CD9" s="52"/>
      <c r="CE9" s="52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2"/>
      <c r="BD10" s="52"/>
      <c r="BE10" s="52"/>
      <c r="BF10" s="52"/>
      <c r="BG10" s="52"/>
      <c r="BH10" s="52"/>
      <c r="BI10" s="13"/>
      <c r="BJ10" s="13"/>
      <c r="BK10" s="13"/>
      <c r="BL10" s="13"/>
      <c r="BM10" s="13"/>
      <c r="BN10" s="13"/>
      <c r="BO10" s="13"/>
      <c r="BP10" s="52"/>
      <c r="BQ10" s="52"/>
      <c r="BR10" s="52"/>
      <c r="BS10" s="52"/>
      <c r="BT10" s="52"/>
      <c r="BU10" s="52"/>
      <c r="BV10" s="52"/>
      <c r="BW10" s="13"/>
      <c r="BX10" s="13"/>
      <c r="BY10" s="13"/>
      <c r="BZ10" s="13"/>
      <c r="CA10" s="13"/>
      <c r="CB10" s="13"/>
      <c r="CC10" s="13"/>
      <c r="CD10" s="52"/>
      <c r="CE10" s="52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3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2"/>
      <c r="BD11" s="52"/>
      <c r="BE11" s="52"/>
      <c r="BF11" s="52"/>
      <c r="BG11" s="52"/>
      <c r="BH11" s="52"/>
      <c r="BI11" s="13"/>
      <c r="BJ11" s="13"/>
      <c r="BK11" s="13"/>
      <c r="BL11" s="13"/>
      <c r="BM11" s="13"/>
      <c r="BN11" s="13"/>
      <c r="BO11" s="13"/>
      <c r="BP11" s="52"/>
      <c r="BQ11" s="52"/>
      <c r="BR11" s="52"/>
      <c r="BS11" s="52"/>
      <c r="BT11" s="52"/>
      <c r="BU11" s="52"/>
      <c r="BV11" s="52"/>
      <c r="BW11" s="13"/>
      <c r="BX11" s="13"/>
      <c r="BY11" s="13"/>
      <c r="BZ11" s="13"/>
      <c r="CA11" s="13"/>
      <c r="CB11" s="13"/>
      <c r="CC11" s="13"/>
      <c r="CD11" s="52"/>
      <c r="CE11" s="52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2"/>
      <c r="BD12" s="52"/>
      <c r="BE12" s="52"/>
      <c r="BF12" s="52"/>
      <c r="BG12" s="52"/>
      <c r="BH12" s="52"/>
      <c r="BI12" s="13"/>
      <c r="BJ12" s="13"/>
      <c r="BK12" s="13"/>
      <c r="BL12" s="13"/>
      <c r="BM12" s="13"/>
      <c r="BN12" s="13"/>
      <c r="BO12" s="13"/>
      <c r="BP12" s="52"/>
      <c r="BQ12" s="52"/>
      <c r="BR12" s="52"/>
      <c r="BS12" s="52"/>
      <c r="BT12" s="52"/>
      <c r="BU12" s="52"/>
      <c r="BV12" s="52"/>
      <c r="BW12" s="13"/>
      <c r="BX12" s="13"/>
      <c r="BY12" s="13"/>
      <c r="BZ12" s="13"/>
      <c r="CA12" s="13"/>
      <c r="CB12" s="13"/>
      <c r="CC12" s="13"/>
      <c r="CD12" s="52"/>
      <c r="CE12" s="52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2"/>
      <c r="BD13" s="52"/>
      <c r="BE13" s="52"/>
      <c r="BF13" s="52"/>
      <c r="BG13" s="52"/>
      <c r="BH13" s="52"/>
      <c r="BI13" s="13"/>
      <c r="BJ13" s="13"/>
      <c r="BK13" s="13"/>
      <c r="BL13" s="13"/>
      <c r="BM13" s="13"/>
      <c r="BN13" s="13"/>
      <c r="BO13" s="13"/>
      <c r="BP13" s="52"/>
      <c r="BQ13" s="52"/>
      <c r="BR13" s="52"/>
      <c r="BS13" s="52"/>
      <c r="BT13" s="52"/>
      <c r="BU13" s="52"/>
      <c r="BV13" s="52"/>
      <c r="BW13" s="13"/>
      <c r="BX13" s="13"/>
      <c r="BY13" s="13"/>
      <c r="BZ13" s="13"/>
      <c r="CA13" s="13"/>
      <c r="CB13" s="13"/>
      <c r="CC13" s="13"/>
      <c r="CD13" s="52"/>
      <c r="CE13" s="52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2"/>
      <c r="BD14" s="52"/>
      <c r="BE14" s="52"/>
      <c r="BF14" s="52"/>
      <c r="BG14" s="52"/>
      <c r="BH14" s="52"/>
      <c r="BI14" s="13"/>
      <c r="BJ14" s="13"/>
      <c r="BK14" s="13"/>
      <c r="BL14" s="13"/>
      <c r="BM14" s="13"/>
      <c r="BN14" s="13"/>
      <c r="BO14" s="13"/>
      <c r="BP14" s="52"/>
      <c r="BQ14" s="52"/>
      <c r="BR14" s="52"/>
      <c r="BS14" s="52"/>
      <c r="BT14" s="52"/>
      <c r="BU14" s="52"/>
      <c r="BV14" s="52"/>
      <c r="BW14" s="13"/>
      <c r="BX14" s="13"/>
      <c r="BY14" s="13"/>
      <c r="BZ14" s="13"/>
      <c r="CA14" s="13"/>
      <c r="CB14" s="13"/>
      <c r="CC14" s="13"/>
      <c r="CD14" s="52"/>
      <c r="CE14" s="52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3"/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3">
        <v>1.0</v>
      </c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2"/>
      <c r="AP15" s="52"/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3">
        <v>1.0</v>
      </c>
      <c r="BD15" s="52"/>
      <c r="BE15" s="52"/>
      <c r="BF15" s="52"/>
      <c r="BG15" s="52"/>
      <c r="BH15" s="52"/>
      <c r="BI15" s="13"/>
      <c r="BJ15" s="13"/>
      <c r="BK15" s="13"/>
      <c r="BL15" s="13"/>
      <c r="BM15" s="13"/>
      <c r="BN15" s="13"/>
      <c r="BO15" s="13"/>
      <c r="BP15" s="52"/>
      <c r="BQ15" s="52"/>
      <c r="BR15" s="52"/>
      <c r="BS15" s="52"/>
      <c r="BT15" s="52"/>
      <c r="BU15" s="52"/>
      <c r="BV15" s="52"/>
      <c r="BW15" s="13"/>
      <c r="BX15" s="13"/>
      <c r="BY15" s="13"/>
      <c r="BZ15" s="13"/>
      <c r="CA15" s="13"/>
      <c r="CB15" s="13"/>
      <c r="CC15" s="13"/>
      <c r="CD15" s="52"/>
      <c r="CE15" s="52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2</v>
      </c>
      <c r="CM15" s="56">
        <f t="shared" si="10"/>
        <v>0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3"/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2"/>
      <c r="BD16" s="52"/>
      <c r="BE16" s="52"/>
      <c r="BF16" s="52"/>
      <c r="BG16" s="52"/>
      <c r="BH16" s="52"/>
      <c r="BI16" s="13"/>
      <c r="BJ16" s="13"/>
      <c r="BK16" s="13"/>
      <c r="BL16" s="13"/>
      <c r="BM16" s="13"/>
      <c r="BN16" s="13"/>
      <c r="BO16" s="13"/>
      <c r="BP16" s="52"/>
      <c r="BQ16" s="52"/>
      <c r="BR16" s="52"/>
      <c r="BS16" s="52"/>
      <c r="BT16" s="52"/>
      <c r="BU16" s="52"/>
      <c r="BV16" s="52"/>
      <c r="BW16" s="13"/>
      <c r="BX16" s="13"/>
      <c r="BY16" s="13"/>
      <c r="BZ16" s="13"/>
      <c r="CA16" s="13"/>
      <c r="CB16" s="13"/>
      <c r="CC16" s="13"/>
      <c r="CD16" s="52"/>
      <c r="CE16" s="52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0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2"/>
      <c r="BD17" s="52"/>
      <c r="BE17" s="52"/>
      <c r="BF17" s="52"/>
      <c r="BG17" s="52"/>
      <c r="BH17" s="52"/>
      <c r="BI17" s="13"/>
      <c r="BJ17" s="13"/>
      <c r="BK17" s="13"/>
      <c r="BL17" s="13"/>
      <c r="BM17" s="13"/>
      <c r="BN17" s="13"/>
      <c r="BO17" s="13"/>
      <c r="BP17" s="52"/>
      <c r="BQ17" s="52"/>
      <c r="BR17" s="52"/>
      <c r="BS17" s="52"/>
      <c r="BT17" s="52"/>
      <c r="BU17" s="52"/>
      <c r="BV17" s="52"/>
      <c r="BW17" s="13"/>
      <c r="BX17" s="13"/>
      <c r="BY17" s="13"/>
      <c r="BZ17" s="13"/>
      <c r="CA17" s="13"/>
      <c r="CB17" s="13"/>
      <c r="CC17" s="13"/>
      <c r="CD17" s="52"/>
      <c r="CE17" s="52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2"/>
      <c r="BD18" s="52"/>
      <c r="BE18" s="52"/>
      <c r="BF18" s="52"/>
      <c r="BG18" s="52"/>
      <c r="BH18" s="52"/>
      <c r="BI18" s="13"/>
      <c r="BJ18" s="13"/>
      <c r="BK18" s="13"/>
      <c r="BL18" s="13"/>
      <c r="BM18" s="13"/>
      <c r="BN18" s="13"/>
      <c r="BO18" s="13"/>
      <c r="BP18" s="52"/>
      <c r="BQ18" s="52"/>
      <c r="BR18" s="52"/>
      <c r="BS18" s="52"/>
      <c r="BT18" s="52"/>
      <c r="BU18" s="52"/>
      <c r="BV18" s="52"/>
      <c r="BW18" s="13"/>
      <c r="BX18" s="13"/>
      <c r="BY18" s="13"/>
      <c r="BZ18" s="13"/>
      <c r="CA18" s="13"/>
      <c r="CB18" s="13"/>
      <c r="CC18" s="13"/>
      <c r="CD18" s="52"/>
      <c r="CE18" s="52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2"/>
      <c r="BD19" s="52"/>
      <c r="BE19" s="52"/>
      <c r="BF19" s="52"/>
      <c r="BG19" s="52"/>
      <c r="BH19" s="52"/>
      <c r="BI19" s="13"/>
      <c r="BJ19" s="13"/>
      <c r="BK19" s="13"/>
      <c r="BL19" s="13"/>
      <c r="BM19" s="13"/>
      <c r="BN19" s="13"/>
      <c r="BO19" s="13"/>
      <c r="BP19" s="52"/>
      <c r="BQ19" s="52"/>
      <c r="BR19" s="52"/>
      <c r="BS19" s="52"/>
      <c r="BT19" s="52"/>
      <c r="BU19" s="52"/>
      <c r="BV19" s="52"/>
      <c r="BW19" s="13"/>
      <c r="BX19" s="13"/>
      <c r="BY19" s="13"/>
      <c r="BZ19" s="13"/>
      <c r="CA19" s="13"/>
      <c r="CB19" s="13"/>
      <c r="CC19" s="13"/>
      <c r="CD19" s="52"/>
      <c r="CE19" s="52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2"/>
      <c r="BD20" s="52"/>
      <c r="BE20" s="52"/>
      <c r="BF20" s="52"/>
      <c r="BG20" s="52"/>
      <c r="BH20" s="52"/>
      <c r="BI20" s="13"/>
      <c r="BJ20" s="13"/>
      <c r="BK20" s="13"/>
      <c r="BL20" s="13"/>
      <c r="BM20" s="13"/>
      <c r="BN20" s="13"/>
      <c r="BO20" s="13"/>
      <c r="BP20" s="52"/>
      <c r="BQ20" s="52"/>
      <c r="BR20" s="52"/>
      <c r="BS20" s="52"/>
      <c r="BT20" s="52"/>
      <c r="BU20" s="52"/>
      <c r="BV20" s="52"/>
      <c r="BW20" s="13"/>
      <c r="BX20" s="13"/>
      <c r="BY20" s="13"/>
      <c r="BZ20" s="13"/>
      <c r="CA20" s="13"/>
      <c r="CB20" s="13"/>
      <c r="CC20" s="13"/>
      <c r="CD20" s="52"/>
      <c r="CE20" s="52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2"/>
      <c r="BD21" s="52"/>
      <c r="BE21" s="52"/>
      <c r="BF21" s="52"/>
      <c r="BG21" s="52"/>
      <c r="BH21" s="52"/>
      <c r="BI21" s="13"/>
      <c r="BJ21" s="13"/>
      <c r="BK21" s="13"/>
      <c r="BL21" s="13"/>
      <c r="BM21" s="13"/>
      <c r="BN21" s="13"/>
      <c r="BO21" s="13"/>
      <c r="BP21" s="52"/>
      <c r="BQ21" s="52"/>
      <c r="BR21" s="52"/>
      <c r="BS21" s="52"/>
      <c r="BT21" s="52"/>
      <c r="BU21" s="52"/>
      <c r="BV21" s="52"/>
      <c r="BW21" s="13"/>
      <c r="BX21" s="13"/>
      <c r="BY21" s="13"/>
      <c r="BZ21" s="13"/>
      <c r="CA21" s="13"/>
      <c r="CB21" s="13"/>
      <c r="CC21" s="13"/>
      <c r="CD21" s="52"/>
      <c r="CE21" s="52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2"/>
      <c r="BD22" s="52"/>
      <c r="BE22" s="52"/>
      <c r="BF22" s="52"/>
      <c r="BG22" s="52"/>
      <c r="BH22" s="52"/>
      <c r="BI22" s="13"/>
      <c r="BJ22" s="13"/>
      <c r="BK22" s="13"/>
      <c r="BL22" s="13"/>
      <c r="BM22" s="13"/>
      <c r="BN22" s="13"/>
      <c r="BO22" s="13"/>
      <c r="BP22" s="52"/>
      <c r="BQ22" s="52"/>
      <c r="BR22" s="52"/>
      <c r="BS22" s="52"/>
      <c r="BT22" s="52"/>
      <c r="BU22" s="52"/>
      <c r="BV22" s="52"/>
      <c r="BW22" s="13"/>
      <c r="BX22" s="13"/>
      <c r="BY22" s="13"/>
      <c r="BZ22" s="13"/>
      <c r="CA22" s="13"/>
      <c r="CB22" s="13"/>
      <c r="CC22" s="13"/>
      <c r="CD22" s="52"/>
      <c r="CE22" s="52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2"/>
      <c r="BD23" s="52"/>
      <c r="BE23" s="52"/>
      <c r="BF23" s="52"/>
      <c r="BG23" s="52"/>
      <c r="BH23" s="52"/>
      <c r="BI23" s="13"/>
      <c r="BJ23" s="13"/>
      <c r="BK23" s="13"/>
      <c r="BL23" s="13"/>
      <c r="BM23" s="13"/>
      <c r="BN23" s="13"/>
      <c r="BO23" s="13"/>
      <c r="BP23" s="52"/>
      <c r="BQ23" s="52"/>
      <c r="BR23" s="52"/>
      <c r="BS23" s="52"/>
      <c r="BT23" s="52"/>
      <c r="BU23" s="52"/>
      <c r="BV23" s="52"/>
      <c r="BW23" s="13"/>
      <c r="BX23" s="13"/>
      <c r="BY23" s="13"/>
      <c r="BZ23" s="13"/>
      <c r="CA23" s="13"/>
      <c r="CB23" s="13"/>
      <c r="CC23" s="13"/>
      <c r="CD23" s="52"/>
      <c r="CE23" s="52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4">
        <v>1.0</v>
      </c>
      <c r="G24" s="13"/>
      <c r="H24" s="13"/>
      <c r="I24" s="13"/>
      <c r="J24" s="13"/>
      <c r="K24" s="13"/>
      <c r="L24" s="52"/>
      <c r="M24" s="53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2"/>
      <c r="BD24" s="52"/>
      <c r="BE24" s="52"/>
      <c r="BF24" s="52"/>
      <c r="BG24" s="52"/>
      <c r="BH24" s="52"/>
      <c r="BI24" s="13"/>
      <c r="BJ24" s="13"/>
      <c r="BK24" s="13"/>
      <c r="BL24" s="13"/>
      <c r="BM24" s="13"/>
      <c r="BN24" s="13"/>
      <c r="BO24" s="13"/>
      <c r="BP24" s="52"/>
      <c r="BQ24" s="52"/>
      <c r="BR24" s="52"/>
      <c r="BS24" s="52"/>
      <c r="BT24" s="52"/>
      <c r="BU24" s="52"/>
      <c r="BV24" s="52"/>
      <c r="BW24" s="13"/>
      <c r="BX24" s="13"/>
      <c r="BY24" s="13"/>
      <c r="BZ24" s="13"/>
      <c r="CA24" s="13"/>
      <c r="CB24" s="13"/>
      <c r="CC24" s="13"/>
      <c r="CD24" s="52"/>
      <c r="CE24" s="52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1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2"/>
      <c r="BD25" s="52"/>
      <c r="BE25" s="52"/>
      <c r="BF25" s="52"/>
      <c r="BG25" s="52"/>
      <c r="BH25" s="52"/>
      <c r="BI25" s="13"/>
      <c r="BJ25" s="13"/>
      <c r="BK25" s="13"/>
      <c r="BL25" s="13"/>
      <c r="BM25" s="13"/>
      <c r="BN25" s="13"/>
      <c r="BO25" s="13"/>
      <c r="BP25" s="52"/>
      <c r="BQ25" s="52"/>
      <c r="BR25" s="52"/>
      <c r="BS25" s="52"/>
      <c r="BT25" s="52"/>
      <c r="BU25" s="52"/>
      <c r="BV25" s="52"/>
      <c r="BW25" s="13"/>
      <c r="BX25" s="13"/>
      <c r="BY25" s="13"/>
      <c r="BZ25" s="13"/>
      <c r="CA25" s="13"/>
      <c r="CB25" s="13"/>
      <c r="CC25" s="13"/>
      <c r="CD25" s="52"/>
      <c r="CE25" s="52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2"/>
      <c r="BD26" s="52"/>
      <c r="BE26" s="52"/>
      <c r="BF26" s="52"/>
      <c r="BG26" s="52"/>
      <c r="BH26" s="52"/>
      <c r="BI26" s="13"/>
      <c r="BJ26" s="13"/>
      <c r="BK26" s="13"/>
      <c r="BL26" s="13"/>
      <c r="BM26" s="13"/>
      <c r="BN26" s="13"/>
      <c r="BO26" s="13"/>
      <c r="BP26" s="52"/>
      <c r="BQ26" s="52"/>
      <c r="BR26" s="52"/>
      <c r="BS26" s="52"/>
      <c r="BT26" s="52"/>
      <c r="BU26" s="52"/>
      <c r="BV26" s="52"/>
      <c r="BW26" s="13"/>
      <c r="BX26" s="13"/>
      <c r="BY26" s="13"/>
      <c r="BZ26" s="13"/>
      <c r="CA26" s="13"/>
      <c r="CB26" s="13"/>
      <c r="CC26" s="13"/>
      <c r="CD26" s="52"/>
      <c r="CE26" s="52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2"/>
      <c r="BD27" s="52"/>
      <c r="BE27" s="52"/>
      <c r="BF27" s="52"/>
      <c r="BG27" s="52"/>
      <c r="BH27" s="52"/>
      <c r="BI27" s="13"/>
      <c r="BJ27" s="13"/>
      <c r="BK27" s="13"/>
      <c r="BL27" s="13"/>
      <c r="BM27" s="13"/>
      <c r="BN27" s="13"/>
      <c r="BO27" s="13"/>
      <c r="BP27" s="52"/>
      <c r="BQ27" s="52"/>
      <c r="BR27" s="52"/>
      <c r="BS27" s="52"/>
      <c r="BT27" s="52"/>
      <c r="BU27" s="52"/>
      <c r="BV27" s="52"/>
      <c r="BW27" s="13"/>
      <c r="BX27" s="13"/>
      <c r="BY27" s="13"/>
      <c r="BZ27" s="13"/>
      <c r="CA27" s="13"/>
      <c r="CB27" s="13"/>
      <c r="CC27" s="13"/>
      <c r="CD27" s="52"/>
      <c r="CE27" s="52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3"/>
      <c r="G28" s="13"/>
      <c r="H28" s="13"/>
      <c r="I28" s="35"/>
      <c r="J28" s="35"/>
      <c r="K28" s="35"/>
      <c r="L28" s="52"/>
      <c r="M28" s="52"/>
      <c r="N28" s="52"/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3">
        <v>1.0</v>
      </c>
      <c r="AB28" s="52"/>
      <c r="AC28" s="52"/>
      <c r="AD28" s="58"/>
      <c r="AE28" s="58"/>
      <c r="AF28" s="58"/>
      <c r="AG28" s="13"/>
      <c r="AH28" s="13"/>
      <c r="AI28" s="13"/>
      <c r="AJ28" s="13"/>
      <c r="AK28" s="35"/>
      <c r="AL28" s="35"/>
      <c r="AM28" s="35"/>
      <c r="AN28" s="52"/>
      <c r="AO28" s="52"/>
      <c r="AP28" s="52"/>
      <c r="AQ28" s="52"/>
      <c r="AR28" s="58"/>
      <c r="AS28" s="58"/>
      <c r="AT28" s="58"/>
      <c r="AU28" s="13"/>
      <c r="AV28" s="13"/>
      <c r="AW28" s="13"/>
      <c r="AX28" s="13"/>
      <c r="AY28" s="35"/>
      <c r="AZ28" s="35"/>
      <c r="BA28" s="35"/>
      <c r="BB28" s="52"/>
      <c r="BC28" s="52"/>
      <c r="BD28" s="52"/>
      <c r="BE28" s="52"/>
      <c r="BF28" s="58"/>
      <c r="BG28" s="58"/>
      <c r="BH28" s="58"/>
      <c r="BI28" s="13"/>
      <c r="BJ28" s="13"/>
      <c r="BK28" s="13"/>
      <c r="BL28" s="13"/>
      <c r="BM28" s="35"/>
      <c r="BN28" s="35"/>
      <c r="BO28" s="35"/>
      <c r="BP28" s="52"/>
      <c r="BQ28" s="52"/>
      <c r="BR28" s="52"/>
      <c r="BS28" s="52"/>
      <c r="BT28" s="58"/>
      <c r="BU28" s="58"/>
      <c r="BV28" s="58"/>
      <c r="BW28" s="13"/>
      <c r="BX28" s="13"/>
      <c r="BY28" s="13"/>
      <c r="BZ28" s="13"/>
      <c r="CA28" s="35"/>
      <c r="CB28" s="35"/>
      <c r="CC28" s="35"/>
      <c r="CD28" s="52"/>
      <c r="CE28" s="52"/>
      <c r="CF28" s="52"/>
      <c r="CG28" s="52"/>
      <c r="CH28" s="58"/>
      <c r="CI28" s="58"/>
      <c r="CJ28" s="58"/>
      <c r="CK28" s="56">
        <f t="shared" ref="CK28:CQ28" si="23">SUM(E28,L28,S28,Z28,AG28,AN28,AU28,BB28,BI28,BP28,BW28,CD28)</f>
        <v>0</v>
      </c>
      <c r="CL28" s="56">
        <f t="shared" si="23"/>
        <v>1</v>
      </c>
      <c r="CM28" s="56">
        <f t="shared" si="23"/>
        <v>0</v>
      </c>
      <c r="CN28" s="56">
        <f t="shared" si="23"/>
        <v>0</v>
      </c>
      <c r="CO28" s="56">
        <f t="shared" si="23"/>
        <v>0</v>
      </c>
      <c r="CP28" s="56">
        <f t="shared" si="23"/>
        <v>0</v>
      </c>
      <c r="CQ28" s="56">
        <f t="shared" si="23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3"/>
      <c r="F29" s="13"/>
      <c r="G29" s="13"/>
      <c r="H29" s="13"/>
      <c r="I29" s="35"/>
      <c r="J29" s="35"/>
      <c r="K29" s="35"/>
      <c r="L29" s="52"/>
      <c r="M29" s="52"/>
      <c r="N29" s="52"/>
      <c r="O29" s="52"/>
      <c r="P29" s="58"/>
      <c r="Q29" s="58"/>
      <c r="R29" s="58"/>
      <c r="S29" s="13"/>
      <c r="T29" s="13"/>
      <c r="U29" s="13"/>
      <c r="V29" s="13"/>
      <c r="W29" s="35"/>
      <c r="X29" s="35"/>
      <c r="Y29" s="35"/>
      <c r="Z29" s="52"/>
      <c r="AA29" s="53">
        <v>1.0</v>
      </c>
      <c r="AB29" s="53">
        <v>2.0</v>
      </c>
      <c r="AC29" s="52"/>
      <c r="AD29" s="58"/>
      <c r="AE29" s="58"/>
      <c r="AF29" s="58"/>
      <c r="AG29" s="13"/>
      <c r="AH29" s="13"/>
      <c r="AI29" s="13"/>
      <c r="AJ29" s="13"/>
      <c r="AK29" s="35"/>
      <c r="AL29" s="35"/>
      <c r="AM29" s="35"/>
      <c r="AN29" s="52"/>
      <c r="AO29" s="52"/>
      <c r="AP29" s="52"/>
      <c r="AQ29" s="52"/>
      <c r="AR29" s="58"/>
      <c r="AS29" s="58"/>
      <c r="AT29" s="58"/>
      <c r="AU29" s="13"/>
      <c r="AV29" s="13"/>
      <c r="AW29" s="13"/>
      <c r="AX29" s="13"/>
      <c r="AY29" s="35"/>
      <c r="AZ29" s="35"/>
      <c r="BA29" s="35"/>
      <c r="BB29" s="52"/>
      <c r="BC29" s="52"/>
      <c r="BD29" s="52"/>
      <c r="BE29" s="52"/>
      <c r="BF29" s="58"/>
      <c r="BG29" s="58"/>
      <c r="BH29" s="58"/>
      <c r="BI29" s="13"/>
      <c r="BJ29" s="13"/>
      <c r="BK29" s="13"/>
      <c r="BL29" s="13"/>
      <c r="BM29" s="35"/>
      <c r="BN29" s="35"/>
      <c r="BO29" s="35"/>
      <c r="BP29" s="52"/>
      <c r="BQ29" s="52"/>
      <c r="BR29" s="52"/>
      <c r="BS29" s="52"/>
      <c r="BT29" s="58"/>
      <c r="BU29" s="58"/>
      <c r="BV29" s="58"/>
      <c r="BW29" s="13"/>
      <c r="BX29" s="13"/>
      <c r="BY29" s="13"/>
      <c r="BZ29" s="13"/>
      <c r="CA29" s="35"/>
      <c r="CB29" s="35"/>
      <c r="CC29" s="35"/>
      <c r="CD29" s="52"/>
      <c r="CE29" s="52"/>
      <c r="CF29" s="52"/>
      <c r="CG29" s="52"/>
      <c r="CH29" s="58"/>
      <c r="CI29" s="58"/>
      <c r="CJ29" s="58"/>
      <c r="CK29" s="56">
        <f t="shared" ref="CK29:CQ29" si="24">SUM(E29,L29,S29,Z29,AG29,AN29,AU29,BB29,BI29,BP29,BW29,CD29)</f>
        <v>0</v>
      </c>
      <c r="CL29" s="56">
        <f t="shared" si="24"/>
        <v>1</v>
      </c>
      <c r="CM29" s="56">
        <f t="shared" si="24"/>
        <v>2</v>
      </c>
      <c r="CN29" s="56">
        <f t="shared" si="24"/>
        <v>0</v>
      </c>
      <c r="CO29" s="56">
        <f t="shared" si="24"/>
        <v>0</v>
      </c>
      <c r="CP29" s="56">
        <f t="shared" si="24"/>
        <v>0</v>
      </c>
      <c r="CQ29" s="56">
        <f t="shared" si="24"/>
        <v>0</v>
      </c>
    </row>
    <row r="30" ht="15.75" customHeight="1">
      <c r="A30" s="4"/>
      <c r="B30" s="60"/>
      <c r="C30" s="4"/>
      <c r="D30" s="4"/>
      <c r="E30" s="13">
        <f t="shared" ref="E30:S30" si="25">SUM(E6:E27)</f>
        <v>0</v>
      </c>
      <c r="F30" s="13">
        <f t="shared" si="25"/>
        <v>61</v>
      </c>
      <c r="G30" s="13">
        <f t="shared" si="25"/>
        <v>32</v>
      </c>
      <c r="H30" s="13">
        <f t="shared" si="25"/>
        <v>0</v>
      </c>
      <c r="I30" s="17">
        <f t="shared" si="25"/>
        <v>0</v>
      </c>
      <c r="J30" s="17">
        <f t="shared" si="25"/>
        <v>0</v>
      </c>
      <c r="K30" s="17">
        <f t="shared" si="25"/>
        <v>0</v>
      </c>
      <c r="L30" s="52">
        <f t="shared" si="25"/>
        <v>0</v>
      </c>
      <c r="M30" s="52">
        <f t="shared" si="25"/>
        <v>50</v>
      </c>
      <c r="N30" s="52">
        <f t="shared" si="25"/>
        <v>0</v>
      </c>
      <c r="O30" s="52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13">
        <f t="shared" si="25"/>
        <v>0</v>
      </c>
      <c r="T30" s="13"/>
      <c r="U30" s="13">
        <f t="shared" ref="U30:Z30" si="26">SUM(U6:U27)</f>
        <v>27</v>
      </c>
      <c r="V30" s="13">
        <f t="shared" si="26"/>
        <v>0</v>
      </c>
      <c r="W30" s="17">
        <f t="shared" si="26"/>
        <v>0</v>
      </c>
      <c r="X30" s="17">
        <f t="shared" si="26"/>
        <v>0</v>
      </c>
      <c r="Y30" s="17">
        <f t="shared" si="26"/>
        <v>0</v>
      </c>
      <c r="Z30" s="52">
        <f t="shared" si="26"/>
        <v>0</v>
      </c>
      <c r="AA30" s="52">
        <f>SUM(AA6:AA29)</f>
        <v>43</v>
      </c>
      <c r="AB30" s="52">
        <f t="shared" ref="AB30:AG30" si="27">SUM(AB6:AB27)</f>
        <v>52</v>
      </c>
      <c r="AC30" s="52">
        <f t="shared" si="27"/>
        <v>0</v>
      </c>
      <c r="AD30" s="61">
        <f t="shared" si="27"/>
        <v>0</v>
      </c>
      <c r="AE30" s="61">
        <f t="shared" si="27"/>
        <v>0</v>
      </c>
      <c r="AF30" s="61">
        <f t="shared" si="27"/>
        <v>0</v>
      </c>
      <c r="AG30" s="13">
        <f t="shared" si="27"/>
        <v>0</v>
      </c>
      <c r="AH30" s="13">
        <f>SUM(AH6:AH29)</f>
        <v>20</v>
      </c>
      <c r="AI30" s="13">
        <f t="shared" ref="AI30:AN30" si="28">SUM(AI6:AI27)</f>
        <v>11</v>
      </c>
      <c r="AJ30" s="13">
        <f t="shared" si="28"/>
        <v>0</v>
      </c>
      <c r="AK30" s="17">
        <f t="shared" si="28"/>
        <v>0</v>
      </c>
      <c r="AL30" s="17">
        <f t="shared" si="28"/>
        <v>0</v>
      </c>
      <c r="AM30" s="17">
        <f t="shared" si="28"/>
        <v>0</v>
      </c>
      <c r="AN30" s="52">
        <f t="shared" si="28"/>
        <v>0</v>
      </c>
      <c r="AO30" s="52">
        <f>SUM(AO6:AO29)</f>
        <v>20</v>
      </c>
      <c r="AP30" s="52">
        <f t="shared" ref="AP30:AU30" si="29">SUM(AP6:AP27)</f>
        <v>0</v>
      </c>
      <c r="AQ30" s="52">
        <f t="shared" si="29"/>
        <v>0</v>
      </c>
      <c r="AR30" s="61">
        <f t="shared" si="29"/>
        <v>0</v>
      </c>
      <c r="AS30" s="61">
        <f t="shared" si="29"/>
        <v>0</v>
      </c>
      <c r="AT30" s="61">
        <f t="shared" si="29"/>
        <v>0</v>
      </c>
      <c r="AU30" s="13">
        <f t="shared" si="29"/>
        <v>0</v>
      </c>
      <c r="AV30" s="13">
        <f>SUM(AV6:AV29)</f>
        <v>20</v>
      </c>
      <c r="AW30" s="13">
        <f t="shared" ref="AW30:BB30" si="30">SUM(AW6:AW27)</f>
        <v>20</v>
      </c>
      <c r="AX30" s="13">
        <f t="shared" si="30"/>
        <v>0</v>
      </c>
      <c r="AY30" s="17">
        <f t="shared" si="30"/>
        <v>0</v>
      </c>
      <c r="AZ30" s="17">
        <f t="shared" si="30"/>
        <v>0</v>
      </c>
      <c r="BA30" s="17">
        <f t="shared" si="30"/>
        <v>0</v>
      </c>
      <c r="BB30" s="52">
        <f t="shared" si="30"/>
        <v>0</v>
      </c>
      <c r="BC30" s="52">
        <f>SUM(BC6:BC29)</f>
        <v>21</v>
      </c>
      <c r="BD30" s="52">
        <f t="shared" ref="BD30:BI30" si="31">SUM(BD6:BD27)</f>
        <v>20</v>
      </c>
      <c r="BE30" s="52">
        <f t="shared" si="31"/>
        <v>0</v>
      </c>
      <c r="BF30" s="61">
        <f t="shared" si="31"/>
        <v>0</v>
      </c>
      <c r="BG30" s="61">
        <f t="shared" si="31"/>
        <v>0</v>
      </c>
      <c r="BH30" s="61">
        <f t="shared" si="31"/>
        <v>0</v>
      </c>
      <c r="BI30" s="13">
        <f t="shared" si="31"/>
        <v>0</v>
      </c>
      <c r="BJ30" s="13">
        <f>SUM(BJ6:BJ29)</f>
        <v>20</v>
      </c>
      <c r="BK30" s="13">
        <f t="shared" ref="BK30:BP30" si="32">SUM(BK6:BK27)</f>
        <v>0</v>
      </c>
      <c r="BL30" s="13">
        <f t="shared" si="32"/>
        <v>0</v>
      </c>
      <c r="BM30" s="17">
        <f t="shared" si="32"/>
        <v>0</v>
      </c>
      <c r="BN30" s="17">
        <f t="shared" si="32"/>
        <v>0</v>
      </c>
      <c r="BO30" s="17">
        <f t="shared" si="32"/>
        <v>0</v>
      </c>
      <c r="BP30" s="52">
        <f t="shared" si="32"/>
        <v>0</v>
      </c>
      <c r="BQ30" s="52">
        <f>SUM(BQ6:BQ29)</f>
        <v>0</v>
      </c>
      <c r="BR30" s="52">
        <f t="shared" ref="BR30:BW30" si="33">SUM(BR6:BR27)</f>
        <v>0</v>
      </c>
      <c r="BS30" s="52">
        <f t="shared" si="33"/>
        <v>0</v>
      </c>
      <c r="BT30" s="61">
        <f t="shared" si="33"/>
        <v>0</v>
      </c>
      <c r="BU30" s="61">
        <f t="shared" si="33"/>
        <v>0</v>
      </c>
      <c r="BV30" s="61">
        <f t="shared" si="33"/>
        <v>0</v>
      </c>
      <c r="BW30" s="13">
        <f t="shared" si="33"/>
        <v>0</v>
      </c>
      <c r="BX30" s="13">
        <f>SUM(BX6:BX29)</f>
        <v>0</v>
      </c>
      <c r="BY30" s="13">
        <f t="shared" ref="BY30:CD30" si="34">SUM(BY6:BY27)</f>
        <v>0</v>
      </c>
      <c r="BZ30" s="13">
        <f t="shared" si="34"/>
        <v>0</v>
      </c>
      <c r="CA30" s="17">
        <f t="shared" si="34"/>
        <v>0</v>
      </c>
      <c r="CB30" s="17">
        <f t="shared" si="34"/>
        <v>0</v>
      </c>
      <c r="CC30" s="17">
        <f t="shared" si="34"/>
        <v>0</v>
      </c>
      <c r="CD30" s="52">
        <f t="shared" si="34"/>
        <v>0</v>
      </c>
      <c r="CE30" s="52">
        <f>SUM(CE6:CE29)</f>
        <v>0</v>
      </c>
      <c r="CF30" s="52">
        <f t="shared" ref="CF30:CK30" si="35">SUM(CF6:CF27)</f>
        <v>0</v>
      </c>
      <c r="CG30" s="52">
        <f t="shared" si="35"/>
        <v>0</v>
      </c>
      <c r="CH30" s="61">
        <f t="shared" si="35"/>
        <v>0</v>
      </c>
      <c r="CI30" s="61">
        <f t="shared" si="35"/>
        <v>0</v>
      </c>
      <c r="CJ30" s="61">
        <f t="shared" si="35"/>
        <v>0</v>
      </c>
      <c r="CK30" s="62">
        <f t="shared" si="35"/>
        <v>0</v>
      </c>
      <c r="CL30" s="62">
        <f>SUM(CL6:CL29)</f>
        <v>315</v>
      </c>
      <c r="CM30" s="62">
        <f t="shared" ref="CM30:CQ30" si="36">SUM(CM6:CM27)</f>
        <v>162</v>
      </c>
      <c r="CN30" s="62">
        <f t="shared" si="36"/>
        <v>0</v>
      </c>
      <c r="CO30" s="62">
        <f t="shared" si="36"/>
        <v>0</v>
      </c>
      <c r="CP30" s="62">
        <f t="shared" si="36"/>
        <v>0</v>
      </c>
      <c r="CQ30" s="62">
        <f t="shared" si="36"/>
        <v>0</v>
      </c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63"/>
      <c r="CH31" s="40"/>
      <c r="CI31" s="40"/>
      <c r="CJ31" s="40"/>
      <c r="CK31" s="4"/>
      <c r="CL31" s="4"/>
      <c r="CM31" s="4"/>
      <c r="CN31" s="4"/>
      <c r="CO31" s="40"/>
      <c r="CP31" s="40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17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1:CG31"/>
    <mergeCell ref="CE32:CG32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29">
    <cfRule type="cellIs" dxfId="0" priority="1" operator="greaterThan">
      <formula>0</formula>
    </cfRule>
  </conditionalFormatting>
  <conditionalFormatting sqref="W6:Y29">
    <cfRule type="cellIs" dxfId="0" priority="2" operator="greaterThan">
      <formula>0</formula>
    </cfRule>
  </conditionalFormatting>
  <conditionalFormatting sqref="AY6:BA29">
    <cfRule type="cellIs" dxfId="0" priority="3" operator="greaterThan">
      <formula>0</formula>
    </cfRule>
  </conditionalFormatting>
  <conditionalFormatting sqref="CA6:CC29">
    <cfRule type="cellIs" dxfId="0" priority="4" operator="greaterThan">
      <formula>0</formula>
    </cfRule>
  </conditionalFormatting>
  <conditionalFormatting sqref="AD6:AF29">
    <cfRule type="cellIs" dxfId="0" priority="5" operator="greaterThan">
      <formula>0</formula>
    </cfRule>
  </conditionalFormatting>
  <conditionalFormatting sqref="AR6:AT29">
    <cfRule type="cellIs" dxfId="0" priority="6" operator="greaterThan">
      <formula>0</formula>
    </cfRule>
  </conditionalFormatting>
  <conditionalFormatting sqref="BF6:BH29">
    <cfRule type="cellIs" dxfId="0" priority="7" operator="greaterThan">
      <formula>0</formula>
    </cfRule>
  </conditionalFormatting>
  <conditionalFormatting sqref="BT6:BV29">
    <cfRule type="cellIs" dxfId="0" priority="8" operator="greaterThan">
      <formula>0</formula>
    </cfRule>
  </conditionalFormatting>
  <conditionalFormatting sqref="CH6:CJ29">
    <cfRule type="cellIs" dxfId="0" priority="9" operator="greaterThan">
      <formula>0</formula>
    </cfRule>
  </conditionalFormatting>
  <conditionalFormatting sqref="P6:R29">
    <cfRule type="cellIs" dxfId="0" priority="10" operator="greaterThan">
      <formula>0</formula>
    </cfRule>
  </conditionalFormatting>
  <conditionalFormatting sqref="AK6:AM29">
    <cfRule type="cellIs" dxfId="0" priority="11" operator="greaterThan">
      <formula>0</formula>
    </cfRule>
  </conditionalFormatting>
  <conditionalFormatting sqref="BM6:BO29">
    <cfRule type="cellIs" dxfId="0" priority="12" operator="greaterThan">
      <formula>0</formula>
    </cfRule>
  </conditionalFormatting>
  <conditionalFormatting sqref="E6:H30 L6:O30 S6:V30 AG6:AJ30 AU6:AX30 BI6:BL30 BW6:BZ30">
    <cfRule type="cellIs" dxfId="0" priority="13" operator="greaterThan">
      <formula>0</formula>
    </cfRule>
  </conditionalFormatting>
  <conditionalFormatting sqref="Z6:AC30">
    <cfRule type="cellIs" dxfId="0" priority="14" operator="greaterThan">
      <formula>0</formula>
    </cfRule>
  </conditionalFormatting>
  <conditionalFormatting sqref="AN6:AQ30">
    <cfRule type="cellIs" dxfId="0" priority="15" operator="greaterThan">
      <formula>0</formula>
    </cfRule>
  </conditionalFormatting>
  <conditionalFormatting sqref="BB6:BE30">
    <cfRule type="cellIs" dxfId="0" priority="16" operator="greaterThan">
      <formula>0</formula>
    </cfRule>
  </conditionalFormatting>
  <conditionalFormatting sqref="BP6:BS30">
    <cfRule type="cellIs" dxfId="0" priority="17" operator="greaterThan">
      <formula>0</formula>
    </cfRule>
  </conditionalFormatting>
  <conditionalFormatting sqref="CD6:CG30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4">
        <v>10.0</v>
      </c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4">
        <v>10.0</v>
      </c>
      <c r="U6" s="13"/>
      <c r="V6" s="13"/>
      <c r="W6" s="13"/>
      <c r="X6" s="13"/>
      <c r="Y6" s="13"/>
      <c r="Z6" s="52"/>
      <c r="AA6" s="53">
        <v>20.0</v>
      </c>
      <c r="AB6" s="52"/>
      <c r="AC6" s="52"/>
      <c r="AD6" s="52"/>
      <c r="AE6" s="52"/>
      <c r="AF6" s="52"/>
      <c r="AG6" s="13"/>
      <c r="AH6" s="14">
        <v>10.0</v>
      </c>
      <c r="AI6" s="13"/>
      <c r="AJ6" s="13"/>
      <c r="AK6" s="13"/>
      <c r="AL6" s="13"/>
      <c r="AM6" s="13"/>
      <c r="AN6" s="52"/>
      <c r="AO6" s="52"/>
      <c r="AP6" s="52"/>
      <c r="AQ6" s="52"/>
      <c r="AR6" s="52"/>
      <c r="AS6" s="52"/>
      <c r="AT6" s="52"/>
      <c r="AU6" s="13"/>
      <c r="AV6" s="13"/>
      <c r="AW6" s="13"/>
      <c r="AX6" s="13"/>
      <c r="AY6" s="13"/>
      <c r="AZ6" s="13"/>
      <c r="BA6" s="13"/>
      <c r="BB6" s="52"/>
      <c r="BC6" s="53">
        <v>50.0</v>
      </c>
      <c r="BD6" s="52"/>
      <c r="BE6" s="52"/>
      <c r="BF6" s="52"/>
      <c r="BG6" s="52"/>
      <c r="BH6" s="52"/>
      <c r="BI6" s="13"/>
      <c r="BJ6" s="13"/>
      <c r="BK6" s="13"/>
      <c r="BL6" s="13"/>
      <c r="BM6" s="13"/>
      <c r="BN6" s="13"/>
      <c r="BO6" s="13"/>
      <c r="BP6" s="52"/>
      <c r="BQ6" s="52"/>
      <c r="BR6" s="52"/>
      <c r="BS6" s="52"/>
      <c r="BT6" s="52"/>
      <c r="BU6" s="52"/>
      <c r="BV6" s="52"/>
      <c r="BW6" s="13"/>
      <c r="BX6" s="13"/>
      <c r="BY6" s="13"/>
      <c r="BZ6" s="13"/>
      <c r="CA6" s="13"/>
      <c r="CB6" s="13"/>
      <c r="CC6" s="13"/>
      <c r="CD6" s="52"/>
      <c r="CE6" s="52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100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4">
        <v>20.0</v>
      </c>
      <c r="G7" s="14">
        <v>20.0</v>
      </c>
      <c r="H7" s="13"/>
      <c r="I7" s="13"/>
      <c r="J7" s="13"/>
      <c r="K7" s="13"/>
      <c r="L7" s="52"/>
      <c r="M7" s="53">
        <v>20.0</v>
      </c>
      <c r="N7" s="52"/>
      <c r="O7" s="52"/>
      <c r="P7" s="52"/>
      <c r="Q7" s="52"/>
      <c r="R7" s="52"/>
      <c r="S7" s="13"/>
      <c r="T7" s="14">
        <v>20.0</v>
      </c>
      <c r="U7" s="13"/>
      <c r="V7" s="13"/>
      <c r="W7" s="13"/>
      <c r="X7" s="13"/>
      <c r="Y7" s="13"/>
      <c r="Z7" s="52"/>
      <c r="AA7" s="53">
        <v>20.0</v>
      </c>
      <c r="AB7" s="53">
        <v>40.0</v>
      </c>
      <c r="AC7" s="52"/>
      <c r="AD7" s="52"/>
      <c r="AE7" s="52"/>
      <c r="AF7" s="52"/>
      <c r="AG7" s="13"/>
      <c r="AH7" s="14">
        <v>10.0</v>
      </c>
      <c r="AI7" s="14">
        <v>20.0</v>
      </c>
      <c r="AJ7" s="13"/>
      <c r="AK7" s="13"/>
      <c r="AL7" s="13"/>
      <c r="AM7" s="13"/>
      <c r="AN7" s="52"/>
      <c r="AO7" s="53">
        <v>20.0</v>
      </c>
      <c r="AP7" s="52"/>
      <c r="AQ7" s="52"/>
      <c r="AR7" s="52"/>
      <c r="AS7" s="52"/>
      <c r="AT7" s="52"/>
      <c r="AU7" s="13"/>
      <c r="AV7" s="14">
        <v>20.0</v>
      </c>
      <c r="AW7" s="14">
        <v>20.0</v>
      </c>
      <c r="AX7" s="13"/>
      <c r="AY7" s="13"/>
      <c r="AZ7" s="13"/>
      <c r="BA7" s="13"/>
      <c r="BB7" s="52"/>
      <c r="BC7" s="53">
        <v>20.0</v>
      </c>
      <c r="BD7" s="53">
        <v>20.0</v>
      </c>
      <c r="BE7" s="52"/>
      <c r="BF7" s="52"/>
      <c r="BG7" s="52"/>
      <c r="BH7" s="52"/>
      <c r="BI7" s="13"/>
      <c r="BJ7" s="14">
        <v>20.0</v>
      </c>
      <c r="BK7" s="13"/>
      <c r="BL7" s="13"/>
      <c r="BM7" s="13"/>
      <c r="BN7" s="13"/>
      <c r="BO7" s="13"/>
      <c r="BP7" s="52"/>
      <c r="BQ7" s="52"/>
      <c r="BR7" s="52"/>
      <c r="BS7" s="52"/>
      <c r="BT7" s="52"/>
      <c r="BU7" s="52"/>
      <c r="BV7" s="52"/>
      <c r="BW7" s="13"/>
      <c r="BX7" s="13"/>
      <c r="BY7" s="13"/>
      <c r="BZ7" s="13"/>
      <c r="CA7" s="13"/>
      <c r="CB7" s="13"/>
      <c r="CC7" s="13"/>
      <c r="CD7" s="52"/>
      <c r="CE7" s="52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170</v>
      </c>
      <c r="CM7" s="56">
        <f t="shared" si="2"/>
        <v>120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2"/>
      <c r="BD8" s="52"/>
      <c r="BE8" s="52"/>
      <c r="BF8" s="52"/>
      <c r="BG8" s="52"/>
      <c r="BH8" s="52"/>
      <c r="BI8" s="13"/>
      <c r="BJ8" s="13"/>
      <c r="BK8" s="13"/>
      <c r="BL8" s="13"/>
      <c r="BM8" s="13"/>
      <c r="BN8" s="13"/>
      <c r="BO8" s="13"/>
      <c r="BP8" s="52"/>
      <c r="BQ8" s="52"/>
      <c r="BR8" s="52"/>
      <c r="BS8" s="52"/>
      <c r="BT8" s="52"/>
      <c r="BU8" s="52"/>
      <c r="BV8" s="52"/>
      <c r="BW8" s="13"/>
      <c r="BX8" s="13"/>
      <c r="BY8" s="13"/>
      <c r="BZ8" s="13"/>
      <c r="CA8" s="13"/>
      <c r="CB8" s="13"/>
      <c r="CC8" s="13"/>
      <c r="CD8" s="52"/>
      <c r="CE8" s="52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2"/>
      <c r="BD9" s="52"/>
      <c r="BE9" s="52"/>
      <c r="BF9" s="52"/>
      <c r="BG9" s="52"/>
      <c r="BH9" s="52"/>
      <c r="BI9" s="13"/>
      <c r="BJ9" s="13"/>
      <c r="BK9" s="13"/>
      <c r="BL9" s="13"/>
      <c r="BM9" s="13"/>
      <c r="BN9" s="13"/>
      <c r="BO9" s="13"/>
      <c r="BP9" s="52"/>
      <c r="BQ9" s="52"/>
      <c r="BR9" s="52"/>
      <c r="BS9" s="52"/>
      <c r="BT9" s="52"/>
      <c r="BU9" s="52"/>
      <c r="BV9" s="52"/>
      <c r="BW9" s="13"/>
      <c r="BX9" s="13"/>
      <c r="BY9" s="13"/>
      <c r="BZ9" s="13"/>
      <c r="CA9" s="13"/>
      <c r="CB9" s="13"/>
      <c r="CC9" s="13"/>
      <c r="CD9" s="52"/>
      <c r="CE9" s="52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2"/>
      <c r="BD10" s="52"/>
      <c r="BE10" s="52"/>
      <c r="BF10" s="52"/>
      <c r="BG10" s="52"/>
      <c r="BH10" s="52"/>
      <c r="BI10" s="13"/>
      <c r="BJ10" s="13"/>
      <c r="BK10" s="13"/>
      <c r="BL10" s="13"/>
      <c r="BM10" s="13"/>
      <c r="BN10" s="13"/>
      <c r="BO10" s="13"/>
      <c r="BP10" s="52"/>
      <c r="BQ10" s="52"/>
      <c r="BR10" s="52"/>
      <c r="BS10" s="52"/>
      <c r="BT10" s="52"/>
      <c r="BU10" s="52"/>
      <c r="BV10" s="52"/>
      <c r="BW10" s="13"/>
      <c r="BX10" s="13"/>
      <c r="BY10" s="13"/>
      <c r="BZ10" s="13"/>
      <c r="CA10" s="13"/>
      <c r="CB10" s="13"/>
      <c r="CC10" s="13"/>
      <c r="CD10" s="52"/>
      <c r="CE10" s="52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4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2"/>
      <c r="BD11" s="52"/>
      <c r="BE11" s="52"/>
      <c r="BF11" s="52"/>
      <c r="BG11" s="52"/>
      <c r="BH11" s="52"/>
      <c r="BI11" s="13"/>
      <c r="BJ11" s="13"/>
      <c r="BK11" s="13"/>
      <c r="BL11" s="13"/>
      <c r="BM11" s="13"/>
      <c r="BN11" s="13"/>
      <c r="BO11" s="13"/>
      <c r="BP11" s="52"/>
      <c r="BQ11" s="52"/>
      <c r="BR11" s="52"/>
      <c r="BS11" s="52"/>
      <c r="BT11" s="52"/>
      <c r="BU11" s="52"/>
      <c r="BV11" s="52"/>
      <c r="BW11" s="13"/>
      <c r="BX11" s="13"/>
      <c r="BY11" s="13"/>
      <c r="BZ11" s="13"/>
      <c r="CA11" s="13"/>
      <c r="CB11" s="13"/>
      <c r="CC11" s="13"/>
      <c r="CD11" s="52"/>
      <c r="CE11" s="52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4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2"/>
      <c r="BD12" s="52"/>
      <c r="BE12" s="52"/>
      <c r="BF12" s="52"/>
      <c r="BG12" s="52"/>
      <c r="BH12" s="52"/>
      <c r="BI12" s="13"/>
      <c r="BJ12" s="13"/>
      <c r="BK12" s="13"/>
      <c r="BL12" s="13"/>
      <c r="BM12" s="13"/>
      <c r="BN12" s="13"/>
      <c r="BO12" s="13"/>
      <c r="BP12" s="52"/>
      <c r="BQ12" s="52"/>
      <c r="BR12" s="52"/>
      <c r="BS12" s="52"/>
      <c r="BT12" s="52"/>
      <c r="BU12" s="52"/>
      <c r="BV12" s="52"/>
      <c r="BW12" s="13"/>
      <c r="BX12" s="13"/>
      <c r="BY12" s="13"/>
      <c r="BZ12" s="13"/>
      <c r="CA12" s="13"/>
      <c r="CB12" s="13"/>
      <c r="CC12" s="13"/>
      <c r="CD12" s="52"/>
      <c r="CE12" s="52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2"/>
      <c r="BD13" s="52"/>
      <c r="BE13" s="52"/>
      <c r="BF13" s="52"/>
      <c r="BG13" s="52"/>
      <c r="BH13" s="52"/>
      <c r="BI13" s="13"/>
      <c r="BJ13" s="13"/>
      <c r="BK13" s="13"/>
      <c r="BL13" s="13"/>
      <c r="BM13" s="13"/>
      <c r="BN13" s="13"/>
      <c r="BO13" s="13"/>
      <c r="BP13" s="52"/>
      <c r="BQ13" s="52"/>
      <c r="BR13" s="52"/>
      <c r="BS13" s="52"/>
      <c r="BT13" s="52"/>
      <c r="BU13" s="52"/>
      <c r="BV13" s="52"/>
      <c r="BW13" s="13"/>
      <c r="BX13" s="13"/>
      <c r="BY13" s="13"/>
      <c r="BZ13" s="13"/>
      <c r="CA13" s="13"/>
      <c r="CB13" s="13"/>
      <c r="CC13" s="13"/>
      <c r="CD13" s="52"/>
      <c r="CE13" s="52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2"/>
      <c r="BD14" s="52"/>
      <c r="BE14" s="52"/>
      <c r="BF14" s="52"/>
      <c r="BG14" s="52"/>
      <c r="BH14" s="52"/>
      <c r="BI14" s="13"/>
      <c r="BJ14" s="13"/>
      <c r="BK14" s="13"/>
      <c r="BL14" s="13"/>
      <c r="BM14" s="13"/>
      <c r="BN14" s="13"/>
      <c r="BO14" s="13"/>
      <c r="BP14" s="52"/>
      <c r="BQ14" s="52"/>
      <c r="BR14" s="52"/>
      <c r="BS14" s="52"/>
      <c r="BT14" s="52"/>
      <c r="BU14" s="52"/>
      <c r="BV14" s="52"/>
      <c r="BW14" s="13"/>
      <c r="BX14" s="13"/>
      <c r="BY14" s="13"/>
      <c r="BZ14" s="13"/>
      <c r="CA14" s="13"/>
      <c r="CB14" s="13"/>
      <c r="CC14" s="13"/>
      <c r="CD14" s="52"/>
      <c r="CE14" s="52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3"/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2"/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3">
        <v>1.0</v>
      </c>
      <c r="AP15" s="52"/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2"/>
      <c r="BD15" s="52"/>
      <c r="BE15" s="52"/>
      <c r="BF15" s="52"/>
      <c r="BG15" s="52"/>
      <c r="BH15" s="52"/>
      <c r="BI15" s="13"/>
      <c r="BJ15" s="13"/>
      <c r="BK15" s="13"/>
      <c r="BL15" s="13"/>
      <c r="BM15" s="13"/>
      <c r="BN15" s="13"/>
      <c r="BO15" s="13"/>
      <c r="BP15" s="52"/>
      <c r="BQ15" s="52"/>
      <c r="BR15" s="52"/>
      <c r="BS15" s="52"/>
      <c r="BT15" s="52"/>
      <c r="BU15" s="52"/>
      <c r="BV15" s="52"/>
      <c r="BW15" s="13"/>
      <c r="BX15" s="13"/>
      <c r="BY15" s="13"/>
      <c r="BZ15" s="13"/>
      <c r="CA15" s="13"/>
      <c r="CB15" s="13"/>
      <c r="CC15" s="13"/>
      <c r="CD15" s="52"/>
      <c r="CE15" s="52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1</v>
      </c>
      <c r="CM15" s="56">
        <f t="shared" si="10"/>
        <v>0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4">
        <v>2.0</v>
      </c>
      <c r="G16" s="14">
        <v>2.0</v>
      </c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2"/>
      <c r="BD16" s="52"/>
      <c r="BE16" s="52"/>
      <c r="BF16" s="52"/>
      <c r="BG16" s="52"/>
      <c r="BH16" s="52"/>
      <c r="BI16" s="13"/>
      <c r="BJ16" s="13"/>
      <c r="BK16" s="13"/>
      <c r="BL16" s="13"/>
      <c r="BM16" s="13"/>
      <c r="BN16" s="13"/>
      <c r="BO16" s="13"/>
      <c r="BP16" s="52"/>
      <c r="BQ16" s="52"/>
      <c r="BR16" s="52"/>
      <c r="BS16" s="52"/>
      <c r="BT16" s="52"/>
      <c r="BU16" s="52"/>
      <c r="BV16" s="52"/>
      <c r="BW16" s="13"/>
      <c r="BX16" s="13"/>
      <c r="BY16" s="13"/>
      <c r="BZ16" s="13"/>
      <c r="CA16" s="13"/>
      <c r="CB16" s="13"/>
      <c r="CC16" s="13"/>
      <c r="CD16" s="52"/>
      <c r="CE16" s="52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2</v>
      </c>
      <c r="CM16" s="56">
        <f t="shared" si="11"/>
        <v>2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2"/>
      <c r="BD17" s="52"/>
      <c r="BE17" s="52"/>
      <c r="BF17" s="52"/>
      <c r="BG17" s="52"/>
      <c r="BH17" s="52"/>
      <c r="BI17" s="13"/>
      <c r="BJ17" s="13"/>
      <c r="BK17" s="13"/>
      <c r="BL17" s="13"/>
      <c r="BM17" s="13"/>
      <c r="BN17" s="13"/>
      <c r="BO17" s="13"/>
      <c r="BP17" s="52"/>
      <c r="BQ17" s="52"/>
      <c r="BR17" s="52"/>
      <c r="BS17" s="52"/>
      <c r="BT17" s="52"/>
      <c r="BU17" s="52"/>
      <c r="BV17" s="52"/>
      <c r="BW17" s="13"/>
      <c r="BX17" s="13"/>
      <c r="BY17" s="13"/>
      <c r="BZ17" s="13"/>
      <c r="CA17" s="13"/>
      <c r="CB17" s="13"/>
      <c r="CC17" s="13"/>
      <c r="CD17" s="52"/>
      <c r="CE17" s="52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2"/>
      <c r="BD18" s="52"/>
      <c r="BE18" s="52"/>
      <c r="BF18" s="52"/>
      <c r="BG18" s="52"/>
      <c r="BH18" s="52"/>
      <c r="BI18" s="13"/>
      <c r="BJ18" s="13"/>
      <c r="BK18" s="13"/>
      <c r="BL18" s="13"/>
      <c r="BM18" s="13"/>
      <c r="BN18" s="13"/>
      <c r="BO18" s="13"/>
      <c r="BP18" s="52"/>
      <c r="BQ18" s="52"/>
      <c r="BR18" s="52"/>
      <c r="BS18" s="52"/>
      <c r="BT18" s="52"/>
      <c r="BU18" s="52"/>
      <c r="BV18" s="52"/>
      <c r="BW18" s="13"/>
      <c r="BX18" s="13"/>
      <c r="BY18" s="13"/>
      <c r="BZ18" s="13"/>
      <c r="CA18" s="13"/>
      <c r="CB18" s="13"/>
      <c r="CC18" s="13"/>
      <c r="CD18" s="52"/>
      <c r="CE18" s="52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2"/>
      <c r="BD19" s="52"/>
      <c r="BE19" s="52"/>
      <c r="BF19" s="52"/>
      <c r="BG19" s="52"/>
      <c r="BH19" s="52"/>
      <c r="BI19" s="13"/>
      <c r="BJ19" s="13"/>
      <c r="BK19" s="13"/>
      <c r="BL19" s="13"/>
      <c r="BM19" s="13"/>
      <c r="BN19" s="13"/>
      <c r="BO19" s="13"/>
      <c r="BP19" s="52"/>
      <c r="BQ19" s="52"/>
      <c r="BR19" s="52"/>
      <c r="BS19" s="52"/>
      <c r="BT19" s="52"/>
      <c r="BU19" s="52"/>
      <c r="BV19" s="52"/>
      <c r="BW19" s="13"/>
      <c r="BX19" s="13"/>
      <c r="BY19" s="13"/>
      <c r="BZ19" s="13"/>
      <c r="CA19" s="13"/>
      <c r="CB19" s="13"/>
      <c r="CC19" s="13"/>
      <c r="CD19" s="52"/>
      <c r="CE19" s="52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2"/>
      <c r="BD20" s="52"/>
      <c r="BE20" s="52"/>
      <c r="BF20" s="52"/>
      <c r="BG20" s="52"/>
      <c r="BH20" s="52"/>
      <c r="BI20" s="13"/>
      <c r="BJ20" s="13"/>
      <c r="BK20" s="13"/>
      <c r="BL20" s="13"/>
      <c r="BM20" s="13"/>
      <c r="BN20" s="13"/>
      <c r="BO20" s="13"/>
      <c r="BP20" s="52"/>
      <c r="BQ20" s="52"/>
      <c r="BR20" s="52"/>
      <c r="BS20" s="52"/>
      <c r="BT20" s="52"/>
      <c r="BU20" s="52"/>
      <c r="BV20" s="52"/>
      <c r="BW20" s="13"/>
      <c r="BX20" s="13"/>
      <c r="BY20" s="13"/>
      <c r="BZ20" s="13"/>
      <c r="CA20" s="13"/>
      <c r="CB20" s="13"/>
      <c r="CC20" s="13"/>
      <c r="CD20" s="52"/>
      <c r="CE20" s="52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2"/>
      <c r="BD21" s="52"/>
      <c r="BE21" s="52"/>
      <c r="BF21" s="52"/>
      <c r="BG21" s="52"/>
      <c r="BH21" s="52"/>
      <c r="BI21" s="13"/>
      <c r="BJ21" s="13"/>
      <c r="BK21" s="13"/>
      <c r="BL21" s="13"/>
      <c r="BM21" s="13"/>
      <c r="BN21" s="13"/>
      <c r="BO21" s="13"/>
      <c r="BP21" s="52"/>
      <c r="BQ21" s="52"/>
      <c r="BR21" s="52"/>
      <c r="BS21" s="52"/>
      <c r="BT21" s="52"/>
      <c r="BU21" s="52"/>
      <c r="BV21" s="52"/>
      <c r="BW21" s="13"/>
      <c r="BX21" s="13"/>
      <c r="BY21" s="13"/>
      <c r="BZ21" s="13"/>
      <c r="CA21" s="13"/>
      <c r="CB21" s="13"/>
      <c r="CC21" s="13"/>
      <c r="CD21" s="52"/>
      <c r="CE21" s="52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2"/>
      <c r="BD22" s="52"/>
      <c r="BE22" s="52"/>
      <c r="BF22" s="52"/>
      <c r="BG22" s="52"/>
      <c r="BH22" s="52"/>
      <c r="BI22" s="13"/>
      <c r="BJ22" s="13"/>
      <c r="BK22" s="13"/>
      <c r="BL22" s="13"/>
      <c r="BM22" s="13"/>
      <c r="BN22" s="13"/>
      <c r="BO22" s="13"/>
      <c r="BP22" s="52"/>
      <c r="BQ22" s="52"/>
      <c r="BR22" s="52"/>
      <c r="BS22" s="52"/>
      <c r="BT22" s="52"/>
      <c r="BU22" s="52"/>
      <c r="BV22" s="52"/>
      <c r="BW22" s="13"/>
      <c r="BX22" s="13"/>
      <c r="BY22" s="13"/>
      <c r="BZ22" s="13"/>
      <c r="CA22" s="13"/>
      <c r="CB22" s="13"/>
      <c r="CC22" s="13"/>
      <c r="CD22" s="52"/>
      <c r="CE22" s="52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2"/>
      <c r="BD23" s="52"/>
      <c r="BE23" s="52"/>
      <c r="BF23" s="52"/>
      <c r="BG23" s="52"/>
      <c r="BH23" s="52"/>
      <c r="BI23" s="13"/>
      <c r="BJ23" s="13"/>
      <c r="BK23" s="13"/>
      <c r="BL23" s="13"/>
      <c r="BM23" s="13"/>
      <c r="BN23" s="13"/>
      <c r="BO23" s="13"/>
      <c r="BP23" s="52"/>
      <c r="BQ23" s="52"/>
      <c r="BR23" s="52"/>
      <c r="BS23" s="52"/>
      <c r="BT23" s="52"/>
      <c r="BU23" s="52"/>
      <c r="BV23" s="52"/>
      <c r="BW23" s="13"/>
      <c r="BX23" s="13"/>
      <c r="BY23" s="13"/>
      <c r="BZ23" s="13"/>
      <c r="CA23" s="13"/>
      <c r="CB23" s="13"/>
      <c r="CC23" s="13"/>
      <c r="CD23" s="52"/>
      <c r="CE23" s="52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2"/>
      <c r="BD24" s="52"/>
      <c r="BE24" s="52"/>
      <c r="BF24" s="52"/>
      <c r="BG24" s="52"/>
      <c r="BH24" s="52"/>
      <c r="BI24" s="13"/>
      <c r="BJ24" s="13"/>
      <c r="BK24" s="13"/>
      <c r="BL24" s="13"/>
      <c r="BM24" s="13"/>
      <c r="BN24" s="13"/>
      <c r="BO24" s="13"/>
      <c r="BP24" s="52"/>
      <c r="BQ24" s="52"/>
      <c r="BR24" s="52"/>
      <c r="BS24" s="52"/>
      <c r="BT24" s="52"/>
      <c r="BU24" s="52"/>
      <c r="BV24" s="52"/>
      <c r="BW24" s="13"/>
      <c r="BX24" s="13"/>
      <c r="BY24" s="13"/>
      <c r="BZ24" s="13"/>
      <c r="CA24" s="13"/>
      <c r="CB24" s="13"/>
      <c r="CC24" s="13"/>
      <c r="CD24" s="52"/>
      <c r="CE24" s="52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0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2"/>
      <c r="BD25" s="52"/>
      <c r="BE25" s="52"/>
      <c r="BF25" s="52"/>
      <c r="BG25" s="52"/>
      <c r="BH25" s="52"/>
      <c r="BI25" s="13"/>
      <c r="BJ25" s="13"/>
      <c r="BK25" s="13"/>
      <c r="BL25" s="13"/>
      <c r="BM25" s="13"/>
      <c r="BN25" s="13"/>
      <c r="BO25" s="13"/>
      <c r="BP25" s="52"/>
      <c r="BQ25" s="52"/>
      <c r="BR25" s="52"/>
      <c r="BS25" s="52"/>
      <c r="BT25" s="52"/>
      <c r="BU25" s="52"/>
      <c r="BV25" s="52"/>
      <c r="BW25" s="13"/>
      <c r="BX25" s="13"/>
      <c r="BY25" s="13"/>
      <c r="BZ25" s="13"/>
      <c r="CA25" s="13"/>
      <c r="CB25" s="13"/>
      <c r="CC25" s="13"/>
      <c r="CD25" s="52"/>
      <c r="CE25" s="52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2"/>
      <c r="BD26" s="52"/>
      <c r="BE26" s="52"/>
      <c r="BF26" s="52"/>
      <c r="BG26" s="52"/>
      <c r="BH26" s="52"/>
      <c r="BI26" s="13"/>
      <c r="BJ26" s="13"/>
      <c r="BK26" s="13"/>
      <c r="BL26" s="13"/>
      <c r="BM26" s="13"/>
      <c r="BN26" s="13"/>
      <c r="BO26" s="13"/>
      <c r="BP26" s="52"/>
      <c r="BQ26" s="52"/>
      <c r="BR26" s="52"/>
      <c r="BS26" s="52"/>
      <c r="BT26" s="52"/>
      <c r="BU26" s="52"/>
      <c r="BV26" s="52"/>
      <c r="BW26" s="13"/>
      <c r="BX26" s="13"/>
      <c r="BY26" s="13"/>
      <c r="BZ26" s="13"/>
      <c r="CA26" s="13"/>
      <c r="CB26" s="13"/>
      <c r="CC26" s="13"/>
      <c r="CD26" s="52"/>
      <c r="CE26" s="52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2"/>
      <c r="BD27" s="52"/>
      <c r="BE27" s="52"/>
      <c r="BF27" s="52"/>
      <c r="BG27" s="52"/>
      <c r="BH27" s="52"/>
      <c r="BI27" s="13"/>
      <c r="BJ27" s="13"/>
      <c r="BK27" s="13"/>
      <c r="BL27" s="13"/>
      <c r="BM27" s="13"/>
      <c r="BN27" s="13"/>
      <c r="BO27" s="13"/>
      <c r="BP27" s="52"/>
      <c r="BQ27" s="52"/>
      <c r="BR27" s="52"/>
      <c r="BS27" s="52"/>
      <c r="BT27" s="52"/>
      <c r="BU27" s="52"/>
      <c r="BV27" s="52"/>
      <c r="BW27" s="13"/>
      <c r="BX27" s="13"/>
      <c r="BY27" s="13"/>
      <c r="BZ27" s="13"/>
      <c r="CA27" s="13"/>
      <c r="CB27" s="13"/>
      <c r="CC27" s="13"/>
      <c r="CD27" s="52"/>
      <c r="CE27" s="52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 outlineLevel="1">
      <c r="A28" s="4"/>
      <c r="B28" s="36" t="s">
        <v>77</v>
      </c>
      <c r="C28" s="36" t="s">
        <v>78</v>
      </c>
      <c r="D28" s="12" t="s">
        <v>26</v>
      </c>
      <c r="E28" s="13"/>
      <c r="F28" s="14">
        <v>1.0</v>
      </c>
      <c r="G28" s="14">
        <v>1.0</v>
      </c>
      <c r="H28" s="13"/>
      <c r="I28" s="35"/>
      <c r="J28" s="35"/>
      <c r="K28" s="35"/>
      <c r="L28" s="52"/>
      <c r="M28" s="52"/>
      <c r="N28" s="52"/>
      <c r="O28" s="52"/>
      <c r="P28" s="58"/>
      <c r="Q28" s="58"/>
      <c r="R28" s="58"/>
      <c r="S28" s="13"/>
      <c r="T28" s="13"/>
      <c r="U28" s="13"/>
      <c r="V28" s="13"/>
      <c r="W28" s="35"/>
      <c r="X28" s="35"/>
      <c r="Y28" s="35"/>
      <c r="Z28" s="52"/>
      <c r="AA28" s="52"/>
      <c r="AB28" s="52"/>
      <c r="AC28" s="52"/>
      <c r="AD28" s="58"/>
      <c r="AE28" s="58"/>
      <c r="AF28" s="58"/>
      <c r="AG28" s="13"/>
      <c r="AH28" s="13"/>
      <c r="AI28" s="13"/>
      <c r="AJ28" s="13"/>
      <c r="AK28" s="35"/>
      <c r="AL28" s="35"/>
      <c r="AM28" s="35"/>
      <c r="AN28" s="52"/>
      <c r="AO28" s="52"/>
      <c r="AP28" s="52"/>
      <c r="AQ28" s="52"/>
      <c r="AR28" s="58"/>
      <c r="AS28" s="58"/>
      <c r="AT28" s="58"/>
      <c r="AU28" s="13"/>
      <c r="AV28" s="13"/>
      <c r="AW28" s="13"/>
      <c r="AX28" s="13"/>
      <c r="AY28" s="35"/>
      <c r="AZ28" s="35"/>
      <c r="BA28" s="35"/>
      <c r="BB28" s="52"/>
      <c r="BC28" s="53">
        <v>1.0</v>
      </c>
      <c r="BD28" s="53">
        <v>1.0</v>
      </c>
      <c r="BE28" s="52"/>
      <c r="BF28" s="58"/>
      <c r="BG28" s="58"/>
      <c r="BH28" s="58"/>
      <c r="BI28" s="13"/>
      <c r="BJ28" s="13"/>
      <c r="BK28" s="13"/>
      <c r="BL28" s="13"/>
      <c r="BM28" s="35"/>
      <c r="BN28" s="35"/>
      <c r="BO28" s="35"/>
      <c r="BP28" s="52"/>
      <c r="BQ28" s="52"/>
      <c r="BR28" s="52"/>
      <c r="BS28" s="52"/>
      <c r="BT28" s="58"/>
      <c r="BU28" s="58"/>
      <c r="BV28" s="58"/>
      <c r="BW28" s="13"/>
      <c r="BX28" s="13"/>
      <c r="BY28" s="13"/>
      <c r="BZ28" s="13"/>
      <c r="CA28" s="35"/>
      <c r="CB28" s="35"/>
      <c r="CC28" s="35"/>
      <c r="CD28" s="52"/>
      <c r="CE28" s="52"/>
      <c r="CF28" s="52"/>
      <c r="CG28" s="52"/>
      <c r="CH28" s="58"/>
      <c r="CI28" s="58"/>
      <c r="CJ28" s="58"/>
      <c r="CK28" s="56">
        <f t="shared" ref="CK28:CQ28" si="23">SUM(E28,L28,S28,Z28,AG28,AN28,AU28,BB28,BI28,BP28,BW28,CD28)</f>
        <v>0</v>
      </c>
      <c r="CL28" s="56">
        <f t="shared" si="23"/>
        <v>2</v>
      </c>
      <c r="CM28" s="56">
        <f t="shared" si="23"/>
        <v>2</v>
      </c>
      <c r="CN28" s="56">
        <f t="shared" si="23"/>
        <v>0</v>
      </c>
      <c r="CO28" s="56">
        <f t="shared" si="23"/>
        <v>0</v>
      </c>
      <c r="CP28" s="56">
        <f t="shared" si="23"/>
        <v>0</v>
      </c>
      <c r="CQ28" s="56">
        <f t="shared" si="23"/>
        <v>0</v>
      </c>
    </row>
    <row r="29" ht="15.75" customHeight="1" outlineLevel="1">
      <c r="A29" s="4"/>
      <c r="B29" s="36" t="s">
        <v>80</v>
      </c>
      <c r="C29" s="36" t="s">
        <v>81</v>
      </c>
      <c r="D29" s="12" t="s">
        <v>26</v>
      </c>
      <c r="E29" s="13"/>
      <c r="F29" s="13"/>
      <c r="G29" s="13"/>
      <c r="H29" s="13"/>
      <c r="I29" s="35"/>
      <c r="J29" s="35"/>
      <c r="K29" s="35"/>
      <c r="L29" s="52"/>
      <c r="M29" s="52"/>
      <c r="N29" s="52"/>
      <c r="O29" s="52"/>
      <c r="P29" s="58"/>
      <c r="Q29" s="58"/>
      <c r="R29" s="58"/>
      <c r="S29" s="13"/>
      <c r="T29" s="13"/>
      <c r="U29" s="13"/>
      <c r="V29" s="13"/>
      <c r="W29" s="35"/>
      <c r="X29" s="35"/>
      <c r="Y29" s="35"/>
      <c r="Z29" s="52"/>
      <c r="AA29" s="52"/>
      <c r="AB29" s="52"/>
      <c r="AC29" s="52"/>
      <c r="AD29" s="58"/>
      <c r="AE29" s="58"/>
      <c r="AF29" s="58"/>
      <c r="AG29" s="13"/>
      <c r="AH29" s="13"/>
      <c r="AI29" s="13"/>
      <c r="AJ29" s="13"/>
      <c r="AK29" s="35"/>
      <c r="AL29" s="35"/>
      <c r="AM29" s="35"/>
      <c r="AN29" s="52"/>
      <c r="AO29" s="52"/>
      <c r="AP29" s="52"/>
      <c r="AQ29" s="52"/>
      <c r="AR29" s="58"/>
      <c r="AS29" s="58"/>
      <c r="AT29" s="58"/>
      <c r="AU29" s="13"/>
      <c r="AV29" s="13"/>
      <c r="AW29" s="13"/>
      <c r="AX29" s="13"/>
      <c r="AY29" s="35"/>
      <c r="AZ29" s="35"/>
      <c r="BA29" s="35"/>
      <c r="BB29" s="52"/>
      <c r="BC29" s="52"/>
      <c r="BD29" s="52"/>
      <c r="BE29" s="52"/>
      <c r="BF29" s="58"/>
      <c r="BG29" s="58"/>
      <c r="BH29" s="58"/>
      <c r="BI29" s="13"/>
      <c r="BJ29" s="13"/>
      <c r="BK29" s="13"/>
      <c r="BL29" s="13"/>
      <c r="BM29" s="35"/>
      <c r="BN29" s="35"/>
      <c r="BO29" s="35"/>
      <c r="BP29" s="52"/>
      <c r="BQ29" s="52"/>
      <c r="BR29" s="52"/>
      <c r="BS29" s="52"/>
      <c r="BT29" s="58"/>
      <c r="BU29" s="58"/>
      <c r="BV29" s="58"/>
      <c r="BW29" s="13"/>
      <c r="BX29" s="13"/>
      <c r="BY29" s="13"/>
      <c r="BZ29" s="13"/>
      <c r="CA29" s="35"/>
      <c r="CB29" s="35"/>
      <c r="CC29" s="35"/>
      <c r="CD29" s="52"/>
      <c r="CE29" s="52"/>
      <c r="CF29" s="52"/>
      <c r="CG29" s="52"/>
      <c r="CH29" s="58"/>
      <c r="CI29" s="58"/>
      <c r="CJ29" s="58"/>
      <c r="CK29" s="56">
        <f t="shared" ref="CK29:CQ29" si="24">SUM(E29,L29,S29,Z29,AG29,AN29,AU29,BB29,BI29,BP29,BW29,CD29)</f>
        <v>0</v>
      </c>
      <c r="CL29" s="56">
        <f t="shared" si="24"/>
        <v>0</v>
      </c>
      <c r="CM29" s="56">
        <f t="shared" si="24"/>
        <v>0</v>
      </c>
      <c r="CN29" s="56">
        <f t="shared" si="24"/>
        <v>0</v>
      </c>
      <c r="CO29" s="56">
        <f t="shared" si="24"/>
        <v>0</v>
      </c>
      <c r="CP29" s="56">
        <f t="shared" si="24"/>
        <v>0</v>
      </c>
      <c r="CQ29" s="56">
        <f t="shared" si="24"/>
        <v>0</v>
      </c>
    </row>
    <row r="30" ht="15.75" customHeight="1">
      <c r="A30" s="4"/>
      <c r="B30" s="60"/>
      <c r="C30" s="4"/>
      <c r="D30" s="4"/>
      <c r="E30" s="13">
        <f t="shared" ref="E30:Z30" si="25">SUM(E6:E27)</f>
        <v>0</v>
      </c>
      <c r="F30" s="13">
        <f t="shared" si="25"/>
        <v>32</v>
      </c>
      <c r="G30" s="13">
        <f t="shared" si="25"/>
        <v>22</v>
      </c>
      <c r="H30" s="13">
        <f t="shared" si="25"/>
        <v>0</v>
      </c>
      <c r="I30" s="17">
        <f t="shared" si="25"/>
        <v>0</v>
      </c>
      <c r="J30" s="17">
        <f t="shared" si="25"/>
        <v>0</v>
      </c>
      <c r="K30" s="17">
        <f t="shared" si="25"/>
        <v>0</v>
      </c>
      <c r="L30" s="52">
        <f t="shared" si="25"/>
        <v>0</v>
      </c>
      <c r="M30" s="52">
        <f t="shared" si="25"/>
        <v>20</v>
      </c>
      <c r="N30" s="52">
        <f t="shared" si="25"/>
        <v>0</v>
      </c>
      <c r="O30" s="52">
        <f t="shared" si="25"/>
        <v>0</v>
      </c>
      <c r="P30" s="61">
        <f t="shared" si="25"/>
        <v>0</v>
      </c>
      <c r="Q30" s="61">
        <f t="shared" si="25"/>
        <v>0</v>
      </c>
      <c r="R30" s="61">
        <f t="shared" si="25"/>
        <v>0</v>
      </c>
      <c r="S30" s="13">
        <f t="shared" si="25"/>
        <v>0</v>
      </c>
      <c r="T30" s="13">
        <f t="shared" si="25"/>
        <v>30</v>
      </c>
      <c r="U30" s="13">
        <f t="shared" si="25"/>
        <v>0</v>
      </c>
      <c r="V30" s="13">
        <f t="shared" si="25"/>
        <v>0</v>
      </c>
      <c r="W30" s="17">
        <f t="shared" si="25"/>
        <v>0</v>
      </c>
      <c r="X30" s="17">
        <f t="shared" si="25"/>
        <v>0</v>
      </c>
      <c r="Y30" s="17">
        <f t="shared" si="25"/>
        <v>0</v>
      </c>
      <c r="Z30" s="52">
        <f t="shared" si="25"/>
        <v>0</v>
      </c>
      <c r="AA30" s="52">
        <f>SUM(AA6:AA29)</f>
        <v>40</v>
      </c>
      <c r="AB30" s="52">
        <f t="shared" ref="AB30:AG30" si="26">SUM(AB6:AB27)</f>
        <v>40</v>
      </c>
      <c r="AC30" s="52">
        <f t="shared" si="26"/>
        <v>0</v>
      </c>
      <c r="AD30" s="61">
        <f t="shared" si="26"/>
        <v>0</v>
      </c>
      <c r="AE30" s="61">
        <f t="shared" si="26"/>
        <v>0</v>
      </c>
      <c r="AF30" s="61">
        <f t="shared" si="26"/>
        <v>0</v>
      </c>
      <c r="AG30" s="13">
        <f t="shared" si="26"/>
        <v>0</v>
      </c>
      <c r="AH30" s="13">
        <f>SUM(AH6:AH29)</f>
        <v>20</v>
      </c>
      <c r="AI30" s="13">
        <f t="shared" ref="AI30:AN30" si="27">SUM(AI6:AI27)</f>
        <v>20</v>
      </c>
      <c r="AJ30" s="13">
        <f t="shared" si="27"/>
        <v>0</v>
      </c>
      <c r="AK30" s="17">
        <f t="shared" si="27"/>
        <v>0</v>
      </c>
      <c r="AL30" s="17">
        <f t="shared" si="27"/>
        <v>0</v>
      </c>
      <c r="AM30" s="17">
        <f t="shared" si="27"/>
        <v>0</v>
      </c>
      <c r="AN30" s="52">
        <f t="shared" si="27"/>
        <v>0</v>
      </c>
      <c r="AO30" s="52">
        <f>SUM(AO6:AO29)</f>
        <v>21</v>
      </c>
      <c r="AP30" s="52">
        <f t="shared" ref="AP30:AU30" si="28">SUM(AP6:AP27)</f>
        <v>0</v>
      </c>
      <c r="AQ30" s="52">
        <f t="shared" si="28"/>
        <v>0</v>
      </c>
      <c r="AR30" s="61">
        <f t="shared" si="28"/>
        <v>0</v>
      </c>
      <c r="AS30" s="61">
        <f t="shared" si="28"/>
        <v>0</v>
      </c>
      <c r="AT30" s="61">
        <f t="shared" si="28"/>
        <v>0</v>
      </c>
      <c r="AU30" s="13">
        <f t="shared" si="28"/>
        <v>0</v>
      </c>
      <c r="AV30" s="13">
        <f>SUM(AV6:AV29)</f>
        <v>20</v>
      </c>
      <c r="AW30" s="13">
        <f t="shared" ref="AW30:BB30" si="29">SUM(AW6:AW27)</f>
        <v>20</v>
      </c>
      <c r="AX30" s="13">
        <f t="shared" si="29"/>
        <v>0</v>
      </c>
      <c r="AY30" s="17">
        <f t="shared" si="29"/>
        <v>0</v>
      </c>
      <c r="AZ30" s="17">
        <f t="shared" si="29"/>
        <v>0</v>
      </c>
      <c r="BA30" s="17">
        <f t="shared" si="29"/>
        <v>0</v>
      </c>
      <c r="BB30" s="52">
        <f t="shared" si="29"/>
        <v>0</v>
      </c>
      <c r="BC30" s="52">
        <f>SUM(BC6:BC29)</f>
        <v>71</v>
      </c>
      <c r="BD30" s="52">
        <f t="shared" ref="BD30:BI30" si="30">SUM(BD6:BD27)</f>
        <v>20</v>
      </c>
      <c r="BE30" s="52">
        <f t="shared" si="30"/>
        <v>0</v>
      </c>
      <c r="BF30" s="61">
        <f t="shared" si="30"/>
        <v>0</v>
      </c>
      <c r="BG30" s="61">
        <f t="shared" si="30"/>
        <v>0</v>
      </c>
      <c r="BH30" s="61">
        <f t="shared" si="30"/>
        <v>0</v>
      </c>
      <c r="BI30" s="13">
        <f t="shared" si="30"/>
        <v>0</v>
      </c>
      <c r="BJ30" s="13">
        <f>SUM(BJ6:BJ29)</f>
        <v>20</v>
      </c>
      <c r="BK30" s="13">
        <f t="shared" ref="BK30:BP30" si="31">SUM(BK6:BK27)</f>
        <v>0</v>
      </c>
      <c r="BL30" s="13">
        <f t="shared" si="31"/>
        <v>0</v>
      </c>
      <c r="BM30" s="17">
        <f t="shared" si="31"/>
        <v>0</v>
      </c>
      <c r="BN30" s="17">
        <f t="shared" si="31"/>
        <v>0</v>
      </c>
      <c r="BO30" s="17">
        <f t="shared" si="31"/>
        <v>0</v>
      </c>
      <c r="BP30" s="52">
        <f t="shared" si="31"/>
        <v>0</v>
      </c>
      <c r="BQ30" s="52">
        <f>SUM(BQ6:BQ29)</f>
        <v>0</v>
      </c>
      <c r="BR30" s="52">
        <f t="shared" ref="BR30:BW30" si="32">SUM(BR6:BR27)</f>
        <v>0</v>
      </c>
      <c r="BS30" s="52">
        <f t="shared" si="32"/>
        <v>0</v>
      </c>
      <c r="BT30" s="61">
        <f t="shared" si="32"/>
        <v>0</v>
      </c>
      <c r="BU30" s="61">
        <f t="shared" si="32"/>
        <v>0</v>
      </c>
      <c r="BV30" s="61">
        <f t="shared" si="32"/>
        <v>0</v>
      </c>
      <c r="BW30" s="13">
        <f t="shared" si="32"/>
        <v>0</v>
      </c>
      <c r="BX30" s="13">
        <f>SUM(BX6:BX29)</f>
        <v>0</v>
      </c>
      <c r="BY30" s="13">
        <f t="shared" ref="BY30:CD30" si="33">SUM(BY6:BY27)</f>
        <v>0</v>
      </c>
      <c r="BZ30" s="13">
        <f t="shared" si="33"/>
        <v>0</v>
      </c>
      <c r="CA30" s="17">
        <f t="shared" si="33"/>
        <v>0</v>
      </c>
      <c r="CB30" s="17">
        <f t="shared" si="33"/>
        <v>0</v>
      </c>
      <c r="CC30" s="17">
        <f t="shared" si="33"/>
        <v>0</v>
      </c>
      <c r="CD30" s="52">
        <f t="shared" si="33"/>
        <v>0</v>
      </c>
      <c r="CE30" s="52">
        <f>SUM(CE6:CE29)</f>
        <v>0</v>
      </c>
      <c r="CF30" s="52">
        <f t="shared" ref="CF30:CK30" si="34">SUM(CF6:CF27)</f>
        <v>0</v>
      </c>
      <c r="CG30" s="52">
        <f t="shared" si="34"/>
        <v>0</v>
      </c>
      <c r="CH30" s="61">
        <f t="shared" si="34"/>
        <v>0</v>
      </c>
      <c r="CI30" s="61">
        <f t="shared" si="34"/>
        <v>0</v>
      </c>
      <c r="CJ30" s="61">
        <f t="shared" si="34"/>
        <v>0</v>
      </c>
      <c r="CK30" s="62">
        <f t="shared" si="34"/>
        <v>0</v>
      </c>
      <c r="CL30" s="62">
        <f>SUM(CL6:CL29)</f>
        <v>275</v>
      </c>
      <c r="CM30" s="62">
        <f t="shared" ref="CM30:CQ30" si="35">SUM(CM6:CM27)</f>
        <v>122</v>
      </c>
      <c r="CN30" s="62">
        <f t="shared" si="35"/>
        <v>0</v>
      </c>
      <c r="CO30" s="62">
        <f t="shared" si="35"/>
        <v>0</v>
      </c>
      <c r="CP30" s="62">
        <f t="shared" si="35"/>
        <v>0</v>
      </c>
      <c r="CQ30" s="62">
        <f t="shared" si="35"/>
        <v>0</v>
      </c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63"/>
      <c r="CH31" s="40"/>
      <c r="CI31" s="40"/>
      <c r="CJ31" s="40"/>
      <c r="CK31" s="4"/>
      <c r="CL31" s="4"/>
      <c r="CM31" s="4"/>
      <c r="CN31" s="4"/>
      <c r="CO31" s="40"/>
      <c r="CP31" s="40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63"/>
      <c r="CH32" s="40"/>
      <c r="CI32" s="40"/>
      <c r="CJ32" s="40"/>
      <c r="CK32" s="4"/>
      <c r="CL32" s="17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17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17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>
      <c r="A229" s="4"/>
      <c r="B229" s="4"/>
      <c r="C229" s="4"/>
      <c r="D229" s="4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"/>
      <c r="AB229" s="4"/>
      <c r="AC229" s="4"/>
      <c r="AD229" s="40"/>
      <c r="AE229" s="40"/>
      <c r="AF229" s="40"/>
      <c r="AG229" s="4"/>
      <c r="AH229" s="4"/>
      <c r="AI229" s="4"/>
      <c r="AJ229" s="4"/>
      <c r="AK229" s="40"/>
      <c r="AL229" s="40"/>
      <c r="AM229" s="40"/>
      <c r="AN229" s="4"/>
      <c r="AO229" s="4"/>
      <c r="AP229" s="4"/>
      <c r="AQ229" s="4"/>
      <c r="AR229" s="40"/>
      <c r="AS229" s="40"/>
      <c r="AT229" s="40"/>
      <c r="AU229" s="4"/>
      <c r="AV229" s="4"/>
      <c r="AW229" s="4"/>
      <c r="AX229" s="4"/>
      <c r="AY229" s="40"/>
      <c r="AZ229" s="40"/>
      <c r="BA229" s="40"/>
      <c r="BB229" s="4"/>
      <c r="BC229" s="4"/>
      <c r="BD229" s="4"/>
      <c r="BE229" s="4"/>
      <c r="BF229" s="40"/>
      <c r="BG229" s="40"/>
      <c r="BH229" s="40"/>
      <c r="BI229" s="4"/>
      <c r="BJ229" s="4"/>
      <c r="BK229" s="4"/>
      <c r="BL229" s="4"/>
      <c r="BM229" s="40"/>
      <c r="BN229" s="40"/>
      <c r="BO229" s="40"/>
      <c r="BP229" s="4"/>
      <c r="BQ229" s="4"/>
      <c r="BR229" s="4"/>
      <c r="BS229" s="4"/>
      <c r="BT229" s="40"/>
      <c r="BU229" s="40"/>
      <c r="BV229" s="40"/>
      <c r="BW229" s="4"/>
      <c r="BX229" s="4"/>
      <c r="BY229" s="4"/>
      <c r="BZ229" s="4"/>
      <c r="CA229" s="40"/>
      <c r="CB229" s="40"/>
      <c r="CC229" s="40"/>
      <c r="CD229" s="4"/>
      <c r="CE229" s="4"/>
      <c r="CF229" s="4"/>
      <c r="CG229" s="4"/>
      <c r="CH229" s="40"/>
      <c r="CI229" s="40"/>
      <c r="CJ229" s="40"/>
      <c r="CK229" s="4"/>
      <c r="CL229" s="4"/>
      <c r="CM229" s="4"/>
      <c r="CN229" s="4"/>
      <c r="CO229" s="40"/>
      <c r="CP229" s="40"/>
      <c r="CQ229" s="40"/>
    </row>
    <row r="230" ht="15.75" customHeight="1">
      <c r="A230" s="4"/>
      <c r="B230" s="4"/>
      <c r="C230" s="4"/>
      <c r="D230" s="4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"/>
      <c r="AB230" s="4"/>
      <c r="AC230" s="4"/>
      <c r="AD230" s="40"/>
      <c r="AE230" s="40"/>
      <c r="AF230" s="40"/>
      <c r="AG230" s="4"/>
      <c r="AH230" s="4"/>
      <c r="AI230" s="4"/>
      <c r="AJ230" s="4"/>
      <c r="AK230" s="40"/>
      <c r="AL230" s="40"/>
      <c r="AM230" s="40"/>
      <c r="AN230" s="4"/>
      <c r="AO230" s="4"/>
      <c r="AP230" s="4"/>
      <c r="AQ230" s="4"/>
      <c r="AR230" s="40"/>
      <c r="AS230" s="40"/>
      <c r="AT230" s="40"/>
      <c r="AU230" s="4"/>
      <c r="AV230" s="4"/>
      <c r="AW230" s="4"/>
      <c r="AX230" s="4"/>
      <c r="AY230" s="40"/>
      <c r="AZ230" s="40"/>
      <c r="BA230" s="40"/>
      <c r="BB230" s="4"/>
      <c r="BC230" s="4"/>
      <c r="BD230" s="4"/>
      <c r="BE230" s="4"/>
      <c r="BF230" s="40"/>
      <c r="BG230" s="40"/>
      <c r="BH230" s="40"/>
      <c r="BI230" s="4"/>
      <c r="BJ230" s="4"/>
      <c r="BK230" s="4"/>
      <c r="BL230" s="4"/>
      <c r="BM230" s="40"/>
      <c r="BN230" s="40"/>
      <c r="BO230" s="40"/>
      <c r="BP230" s="4"/>
      <c r="BQ230" s="4"/>
      <c r="BR230" s="4"/>
      <c r="BS230" s="4"/>
      <c r="BT230" s="40"/>
      <c r="BU230" s="40"/>
      <c r="BV230" s="40"/>
      <c r="BW230" s="4"/>
      <c r="BX230" s="4"/>
      <c r="BY230" s="4"/>
      <c r="BZ230" s="4"/>
      <c r="CA230" s="40"/>
      <c r="CB230" s="40"/>
      <c r="CC230" s="40"/>
      <c r="CD230" s="4"/>
      <c r="CE230" s="4"/>
      <c r="CF230" s="4"/>
      <c r="CG230" s="4"/>
      <c r="CH230" s="40"/>
      <c r="CI230" s="40"/>
      <c r="CJ230" s="40"/>
      <c r="CK230" s="4"/>
      <c r="CL230" s="4"/>
      <c r="CM230" s="4"/>
      <c r="CN230" s="4"/>
      <c r="CO230" s="40"/>
      <c r="CP230" s="40"/>
      <c r="CQ230" s="40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31:CG31"/>
    <mergeCell ref="CE32:CG32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29">
    <cfRule type="cellIs" dxfId="0" priority="1" operator="greaterThan">
      <formula>0</formula>
    </cfRule>
  </conditionalFormatting>
  <conditionalFormatting sqref="W6:Y29">
    <cfRule type="cellIs" dxfId="0" priority="2" operator="greaterThan">
      <formula>0</formula>
    </cfRule>
  </conditionalFormatting>
  <conditionalFormatting sqref="AY6:BA29">
    <cfRule type="cellIs" dxfId="0" priority="3" operator="greaterThan">
      <formula>0</formula>
    </cfRule>
  </conditionalFormatting>
  <conditionalFormatting sqref="CA6:CC29">
    <cfRule type="cellIs" dxfId="0" priority="4" operator="greaterThan">
      <formula>0</formula>
    </cfRule>
  </conditionalFormatting>
  <conditionalFormatting sqref="AD6:AF29">
    <cfRule type="cellIs" dxfId="0" priority="5" operator="greaterThan">
      <formula>0</formula>
    </cfRule>
  </conditionalFormatting>
  <conditionalFormatting sqref="AR6:AT29">
    <cfRule type="cellIs" dxfId="0" priority="6" operator="greaterThan">
      <formula>0</formula>
    </cfRule>
  </conditionalFormatting>
  <conditionalFormatting sqref="BF6:BH29">
    <cfRule type="cellIs" dxfId="0" priority="7" operator="greaterThan">
      <formula>0</formula>
    </cfRule>
  </conditionalFormatting>
  <conditionalFormatting sqref="BT6:BV29">
    <cfRule type="cellIs" dxfId="0" priority="8" operator="greaterThan">
      <formula>0</formula>
    </cfRule>
  </conditionalFormatting>
  <conditionalFormatting sqref="CH6:CJ29">
    <cfRule type="cellIs" dxfId="0" priority="9" operator="greaterThan">
      <formula>0</formula>
    </cfRule>
  </conditionalFormatting>
  <conditionalFormatting sqref="P6:R29">
    <cfRule type="cellIs" dxfId="0" priority="10" operator="greaterThan">
      <formula>0</formula>
    </cfRule>
  </conditionalFormatting>
  <conditionalFormatting sqref="AK6:AM29">
    <cfRule type="cellIs" dxfId="0" priority="11" operator="greaterThan">
      <formula>0</formula>
    </cfRule>
  </conditionalFormatting>
  <conditionalFormatting sqref="BM6:BO29">
    <cfRule type="cellIs" dxfId="0" priority="12" operator="greaterThan">
      <formula>0</formula>
    </cfRule>
  </conditionalFormatting>
  <conditionalFormatting sqref="E6:H30 L6:O30 S6:V30 AG6:AJ30 AU6:AX30 BI6:BL30 BW6:BZ30">
    <cfRule type="cellIs" dxfId="0" priority="13" operator="greaterThan">
      <formula>0</formula>
    </cfRule>
  </conditionalFormatting>
  <conditionalFormatting sqref="Z6:AC30">
    <cfRule type="cellIs" dxfId="0" priority="14" operator="greaterThan">
      <formula>0</formula>
    </cfRule>
  </conditionalFormatting>
  <conditionalFormatting sqref="AN6:AQ30">
    <cfRule type="cellIs" dxfId="0" priority="15" operator="greaterThan">
      <formula>0</formula>
    </cfRule>
  </conditionalFormatting>
  <conditionalFormatting sqref="BB6:BE30">
    <cfRule type="cellIs" dxfId="0" priority="16" operator="greaterThan">
      <formula>0</formula>
    </cfRule>
  </conditionalFormatting>
  <conditionalFormatting sqref="BP6:BS30">
    <cfRule type="cellIs" dxfId="0" priority="17" operator="greaterThan">
      <formula>0</formula>
    </cfRule>
  </conditionalFormatting>
  <conditionalFormatting sqref="CD6:CG30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95" width="7.0"/>
    <col customWidth="1" min="96" max="96" width="8.0"/>
    <col customWidth="1" min="97" max="97" width="7.14"/>
  </cols>
  <sheetData>
    <row r="1">
      <c r="A1" s="1" t="s">
        <v>92</v>
      </c>
      <c r="AA1" s="1"/>
      <c r="AB1" s="1"/>
      <c r="AC1" s="1"/>
      <c r="CR1" s="4"/>
      <c r="CS1" s="4"/>
    </row>
    <row r="2">
      <c r="A2" s="2"/>
      <c r="AA2" s="2"/>
      <c r="AB2" s="2"/>
      <c r="AC2" s="2"/>
      <c r="CR2" s="4"/>
      <c r="CS2" s="4"/>
    </row>
    <row r="3" ht="16.5" customHeight="1">
      <c r="B3" s="3" t="s">
        <v>1</v>
      </c>
      <c r="C3" s="3" t="s">
        <v>3</v>
      </c>
      <c r="D3" s="3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66" t="s">
        <v>12</v>
      </c>
      <c r="CL3" s="25"/>
      <c r="CM3" s="25"/>
      <c r="CN3" s="25"/>
      <c r="CO3" s="25"/>
      <c r="CP3" s="25"/>
      <c r="CQ3" s="67"/>
      <c r="CR3" s="68" t="s">
        <v>94</v>
      </c>
      <c r="CS3" s="68" t="s">
        <v>95</v>
      </c>
    </row>
    <row r="4" ht="21.0" customHeight="1"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69"/>
      <c r="CR4" s="70"/>
      <c r="CS4" s="70"/>
    </row>
    <row r="5">
      <c r="A5" s="9" t="s">
        <v>22</v>
      </c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71" t="s">
        <v>87</v>
      </c>
      <c r="CR5" s="72"/>
      <c r="CS5" s="72"/>
    </row>
    <row r="6" outlineLevel="1">
      <c r="B6" s="12" t="s">
        <v>24</v>
      </c>
      <c r="C6" s="12" t="s">
        <v>25</v>
      </c>
      <c r="D6" s="12" t="s">
        <v>26</v>
      </c>
      <c r="E6" s="13">
        <f>SUM('TP1'!E6,'TP2'!E6,MS!E6,'MC + Vân hồ'!E6,YC!E6,PY!E6,BY!E6,SM!E6,SC!E6,TC!E6,ML!E6,QN!E6,XL!E6,'XL (BHTP1)'!E6,'XL (BHTP2)'!E6)</f>
        <v>0</v>
      </c>
      <c r="F6" s="13">
        <f>SUM('TP1'!F6,'TP2'!F6,MS!F6,'MC + Vân hồ'!F6,YC!F6,PY!F6,BY!F6,SM!F6,SC!F6,TC!F6,ML!F6,QN!F6,XL!F6,'XL (BHTP1)'!F6,'XL (BHTP2)'!F6)</f>
        <v>180</v>
      </c>
      <c r="G6" s="13">
        <f>SUM('TP1'!G6,'TP2'!G6,MS!G6,'MC + Vân hồ'!G6,YC!G6,PY!G6,BY!G6,SM!G6,SC!G6,TC!G6,ML!G6,QN!G6,XL!G6,'XL (BHTP1)'!G6,'XL (BHTP2)'!G6)</f>
        <v>0</v>
      </c>
      <c r="H6" s="13">
        <f>SUM('TP1'!H6,'TP2'!H6,MS!H6,'MC + Vân hồ'!H6,YC!H6,PY!H6,BY!H6,SM!H6,SC!H6,TC!H6,ML!H6,QN!H6,XL!H6,'XL (BHTP1)'!H6,'XL (BHTP2)'!H6)</f>
        <v>0</v>
      </c>
      <c r="I6" s="13">
        <f>SUM('TP1'!I6,'TP2'!I6,MS!I6,'MC + Vân hồ'!I6,YC!I6,PY!I6,BY!I6,SM!I6,SC!I6,TC!I6,ML!I6,QN!I6,XL!I6,'XL (BHTP1)'!I6,'XL (BHTP2)'!I6)</f>
        <v>0</v>
      </c>
      <c r="J6" s="13">
        <f>SUM('TP1'!J6,'TP2'!J6,MS!J6,'MC + Vân hồ'!J6,YC!J6,PY!J6,BY!J6,SM!J6,SC!J6,TC!J6,ML!J6,QN!J6,XL!J6,'XL (BHTP1)'!J6,'XL (BHTP2)'!J6)</f>
        <v>0</v>
      </c>
      <c r="K6" s="13">
        <f>SUM('TP1'!K6,'TP2'!K6,MS!K6,'MC + Vân hồ'!K6,YC!K6,PY!K6,BY!K6,SM!K6,SC!K6,TC!K6,ML!K6,QN!K6,XL!K6,'XL (BHTP1)'!K6,'XL (BHTP2)'!K6)</f>
        <v>0</v>
      </c>
      <c r="L6" s="13">
        <f>SUM('TP1'!L6,'TP2'!L6,MS!L6,'MC + Vân hồ'!L6,YC!L6,PY!L6,BY!L6,SM!L6,SC!L6,TC!L6,ML!L6,QN!L6,XL!L6,'XL (BHTP1)'!L6,'XL (BHTP2)'!L6)</f>
        <v>0</v>
      </c>
      <c r="M6" s="13">
        <f>SUM('TP1'!M6,'TP2'!M6,MS!M6,'MC + Vân hồ'!M6,YC!M6,PY!M6,BY!M6,SM!M6,SC!M6,TC!M6,ML!M6,QN!M6,XL!M6,'XL (BHTP1)'!M6,'XL (BHTP2)'!M6)</f>
        <v>60</v>
      </c>
      <c r="N6" s="13">
        <f>SUM('TP1'!N6,'TP2'!N6,MS!N6,'MC + Vân hồ'!N6,YC!N6,PY!N6,BY!N6,SM!N6,SC!N6,TC!N6,ML!N6,QN!N6,XL!N6,'XL (BHTP1)'!N6,'XL (BHTP2)'!N6)</f>
        <v>0</v>
      </c>
      <c r="O6" s="13">
        <f>SUM('TP1'!O6,'TP2'!O6,MS!O6,'MC + Vân hồ'!O6,YC!O6,PY!O6,BY!O6,SM!O6,SC!O6,TC!O6,ML!O6,QN!O6,XL!O6,'XL (BHTP1)'!O6,'XL (BHTP2)'!O6)</f>
        <v>0</v>
      </c>
      <c r="P6" s="13">
        <f>SUM('TP1'!P6,'TP2'!P6,MS!P6,'MC + Vân hồ'!P6,YC!P6,PY!P6,BY!P6,SM!P6,SC!P6,TC!P6,ML!P6,QN!P6,XL!P6,'XL (BHTP1)'!P6,'XL (BHTP2)'!P6)</f>
        <v>0</v>
      </c>
      <c r="Q6" s="13">
        <f>SUM('TP1'!Q6,'TP2'!Q6,MS!Q6,'MC + Vân hồ'!Q6,YC!Q6,PY!Q6,BY!Q6,SM!Q6,SC!Q6,TC!Q6,ML!Q6,QN!Q6,XL!Q6,'XL (BHTP1)'!Q6,'XL (BHTP2)'!Q6)</f>
        <v>0</v>
      </c>
      <c r="R6" s="13">
        <f>SUM('TP1'!R6,'TP2'!R6,MS!R6,'MC + Vân hồ'!R6,YC!R6,PY!R6,BY!R6,SM!R6,SC!R6,TC!R6,ML!R6,QN!R6,XL!R6,'XL (BHTP1)'!R6,'XL (BHTP2)'!R6)</f>
        <v>0</v>
      </c>
      <c r="S6" s="13">
        <f>SUM('TP1'!S6,'TP2'!S6,MS!S6,'MC + Vân hồ'!S6,YC!S6,PY!S6,BY!S6,SM!S6,SC!S6,TC!S6,ML!S6,QN!S6,XL!S6,'XL (BHTP1)'!S6,'XL (BHTP2)'!S6)</f>
        <v>0</v>
      </c>
      <c r="T6" s="13">
        <f>SUM('TP1'!T6,'TP2'!T6,MS!T6,'MC + Vân hồ'!T6,YC!T6,PY!T6,BY!T6,SM!T6,SC!T6,TC!T6,ML!T6,QN!T6,XL!T6,'XL (BHTP1)'!T6,'XL (BHTP2)'!T6)</f>
        <v>310</v>
      </c>
      <c r="U6" s="13">
        <f>SUM('TP1'!U6,'TP2'!U6,MS!U6,'MC + Vân hồ'!U6,YC!U6,PY!U6,BY!U6,SM!U6,SC!U6,TC!U6,ML!U6,QN!U6,XL!U6,'XL (BHTP1)'!U6,'XL (BHTP2)'!U6)</f>
        <v>0</v>
      </c>
      <c r="V6" s="13">
        <f>SUM('TP1'!V6,'TP2'!V6,MS!V6,'MC + Vân hồ'!V6,YC!V6,PY!V6,BY!V6,SM!V6,SC!V6,TC!V6,ML!V6,QN!V6,XL!V6,'XL (BHTP1)'!V6,'XL (BHTP2)'!V6)</f>
        <v>0</v>
      </c>
      <c r="W6" s="13">
        <f>SUM('TP1'!W6,'TP2'!W6,MS!W6,'MC + Vân hồ'!W6,YC!W6,PY!W6,BY!W6,SM!W6,SC!W6,TC!W6,ML!W6,QN!W6,XL!W6,'XL (BHTP1)'!W6,'XL (BHTP2)'!W6)</f>
        <v>0</v>
      </c>
      <c r="X6" s="13">
        <f>SUM('TP1'!X6,'TP2'!X6,MS!X6,'MC + Vân hồ'!X6,YC!X6,PY!X6,BY!X6,SM!X6,SC!X6,TC!X6,ML!X6,QN!X6,XL!X6,'XL (BHTP1)'!X6,'XL (BHTP2)'!X6)</f>
        <v>0</v>
      </c>
      <c r="Y6" s="13">
        <f>SUM('TP1'!Y6,'TP2'!Y6,MS!Y6,'MC + Vân hồ'!Y6,YC!Y6,PY!Y6,BY!Y6,SM!Y6,SC!Y6,TC!Y6,ML!Y6,QN!Y6,XL!Y6,'XL (BHTP1)'!Y6,'XL (BHTP2)'!Y6)</f>
        <v>0</v>
      </c>
      <c r="Z6" s="13">
        <f>SUM('TP1'!Z6,'TP2'!Z6,MS!Z6,'MC + Vân hồ'!Z6,YC!Z6,PY!Z6,BY!Z6,SM!Z6,SC!Z6,TC!Z6,ML!Z6,QN!Z6,XL!Z6,'XL (BHTP1)'!Z6,'XL (BHTP2)'!Z6)</f>
        <v>0</v>
      </c>
      <c r="AA6" s="13">
        <f>SUM('TP1'!AA6,'TP2'!AA6,MS!AA6,'MC + Vân hồ'!AA6,YC!AA6,PY!AA6,BY!AA6,SM!AA6,SC!AA6,TC!AA6,ML!AA6,QN!AA6,XL!AA6,'XL (BHTP1)'!AA6,'XL (BHTP2)'!AA6)</f>
        <v>700</v>
      </c>
      <c r="AB6" s="13">
        <f>SUM('TP1'!AB6,'TP2'!AB6,MS!AB6,'MC + Vân hồ'!AB6,YC!AB6,PY!AB6,BY!AB6,SM!AB6,SC!AB6,TC!AB6,ML!AB6,QN!AB6,XL!AB6,'XL (BHTP1)'!AB6,'XL (BHTP2)'!AB6)</f>
        <v>0</v>
      </c>
      <c r="AC6" s="13">
        <f>SUM('TP1'!AC6,'TP2'!AC6,MS!AC6,'MC + Vân hồ'!AC6,YC!AC6,PY!AC6,BY!AC6,SM!AC6,SC!AC6,TC!AC6,ML!AC6,QN!AC6,XL!AC6,'XL (BHTP1)'!AC6,'XL (BHTP2)'!AC6)</f>
        <v>0</v>
      </c>
      <c r="AD6" s="13">
        <f>SUM('TP1'!AD6,'TP2'!AD6,MS!AD6,'MC + Vân hồ'!AD6,YC!AD6,PY!AD6,BY!AD6,SM!AD6,SC!AD6,TC!AD6,ML!AD6,QN!AD6,XL!AD6,'XL (BHTP1)'!AD6,'XL (BHTP2)'!AD6)</f>
        <v>0</v>
      </c>
      <c r="AE6" s="13">
        <f>SUM('TP1'!AE6,'TP2'!AE6,MS!AE6,'MC + Vân hồ'!AE6,YC!AE6,PY!AE6,BY!AE6,SM!AE6,SC!AE6,TC!AE6,ML!AE6,QN!AE6,XL!AE6,'XL (BHTP1)'!AE6,'XL (BHTP2)'!AE6)</f>
        <v>0</v>
      </c>
      <c r="AF6" s="13">
        <f>SUM('TP1'!AF6,'TP2'!AF6,MS!AF6,'MC + Vân hồ'!AF6,YC!AF6,PY!AF6,BY!AF6,SM!AF6,SC!AF6,TC!AF6,ML!AF6,QN!AF6,XL!AF6,'XL (BHTP1)'!AF6,'XL (BHTP2)'!AF6)</f>
        <v>0</v>
      </c>
      <c r="AG6" s="13">
        <f>SUM('TP1'!AG6,'TP2'!AG6,MS!AG6,'MC + Vân hồ'!AG6,YC!AG6,PY!AG6,BY!AG6,SM!AG6,SC!AG6,TC!AG6,ML!AG6,QN!AG6,XL!AG6,'XL (BHTP1)'!AG6,'XL (BHTP2)'!AG6)</f>
        <v>0</v>
      </c>
      <c r="AH6" s="13">
        <f>SUM('TP1'!AH6,'TP2'!AH6,MS!AH6,'MC + Vân hồ'!AH6,YC!AH6,PY!AH6,BY!AH6,SM!AH6,SC!AH6,TC!AH6,ML!AH6,QN!AH6,XL!AH6,'XL (BHTP1)'!AH6,'XL (BHTP2)'!AH6)</f>
        <v>120</v>
      </c>
      <c r="AI6" s="13">
        <f>SUM('TP1'!AI6,'TP2'!AI6,MS!AI6,'MC + Vân hồ'!AI6,YC!AI6,PY!AI6,BY!AI6,SM!AI6,SC!AI6,TC!AI6,ML!AI6,QN!AI6,XL!AI6,'XL (BHTP1)'!AI6,'XL (BHTP2)'!AI6)</f>
        <v>0</v>
      </c>
      <c r="AJ6" s="13">
        <f>SUM('TP1'!AJ6,'TP2'!AJ6,MS!AJ6,'MC + Vân hồ'!AJ6,YC!AJ6,PY!AJ6,BY!AJ6,SM!AJ6,SC!AJ6,TC!AJ6,ML!AJ6,QN!AJ6,XL!AJ6,'XL (BHTP1)'!AJ6,'XL (BHTP2)'!AJ6)</f>
        <v>0</v>
      </c>
      <c r="AK6" s="13">
        <f>SUM('TP1'!AK6,'TP2'!AK6,MS!AK6,'MC + Vân hồ'!AK6,YC!AK6,PY!AK6,BY!AK6,SM!AK6,SC!AK6,TC!AK6,ML!AK6,QN!AK6,XL!AK6,'XL (BHTP1)'!AK6,'XL (BHTP2)'!AK6)</f>
        <v>0</v>
      </c>
      <c r="AL6" s="13">
        <f>SUM('TP1'!AL6,'TP2'!AL6,MS!AL6,'MC + Vân hồ'!AL6,YC!AL6,PY!AL6,BY!AL6,SM!AL6,SC!AL6,TC!AL6,ML!AL6,QN!AL6,XL!AL6,'XL (BHTP1)'!AL6,'XL (BHTP2)'!AL6)</f>
        <v>0</v>
      </c>
      <c r="AM6" s="13">
        <f>SUM('TP1'!AM6,'TP2'!AM6,MS!AM6,'MC + Vân hồ'!AM6,YC!AM6,PY!AM6,BY!AM6,SM!AM6,SC!AM6,TC!AM6,ML!AM6,QN!AM6,XL!AM6,'XL (BHTP1)'!AM6,'XL (BHTP2)'!AM6)</f>
        <v>0</v>
      </c>
      <c r="AN6" s="13">
        <f>SUM('TP1'!AN6,'TP2'!AN6,MS!AN6,'MC + Vân hồ'!AN6,YC!AN6,PY!AN6,BY!AN6,SM!AN6,SC!AN6,TC!AN6,ML!AN6,QN!AN6,XL!AN6,'XL (BHTP1)'!AN6,'XL (BHTP2)'!AN6)</f>
        <v>0</v>
      </c>
      <c r="AO6" s="13">
        <f>SUM('TP1'!AO6,'TP2'!AO6,MS!AO6,'MC + Vân hồ'!AO6,YC!AO6,PY!AO6,BY!AO6,SM!AO6,SC!AO6,TC!AO6,ML!AO6,QN!AO6,XL!AO6,'XL (BHTP1)'!AO6,'XL (BHTP2)'!AO6)</f>
        <v>120</v>
      </c>
      <c r="AP6" s="13">
        <f>SUM('TP1'!AP6,'TP2'!AP6,MS!AP6,'MC + Vân hồ'!AP6,YC!AP6,PY!AP6,BY!AP6,SM!AP6,SC!AP6,TC!AP6,ML!AP6,QN!AP6,XL!AP6,'XL (BHTP1)'!AP6,'XL (BHTP2)'!AP6)</f>
        <v>0</v>
      </c>
      <c r="AQ6" s="13">
        <f>SUM('TP1'!AQ6,'TP2'!AQ6,MS!AQ6,'MC + Vân hồ'!AQ6,YC!AQ6,PY!AQ6,BY!AQ6,SM!AQ6,SC!AQ6,TC!AQ6,ML!AQ6,QN!AQ6,XL!AQ6,'XL (BHTP1)'!AQ6,'XL (BHTP2)'!AQ6)</f>
        <v>0</v>
      </c>
      <c r="AR6" s="13">
        <f>SUM('TP1'!AR6,'TP2'!AR6,MS!AR6,'MC + Vân hồ'!AR6,YC!AR6,PY!AR6,BY!AR6,SM!AR6,SC!AR6,TC!AR6,ML!AR6,QN!AR6,XL!AR6,'XL (BHTP1)'!AR6,'XL (BHTP2)'!AR6)</f>
        <v>0</v>
      </c>
      <c r="AS6" s="13">
        <f>SUM('TP1'!AS6,'TP2'!AS6,MS!AS6,'MC + Vân hồ'!AS6,YC!AS6,PY!AS6,BY!AS6,SM!AS6,SC!AS6,TC!AS6,ML!AS6,QN!AS6,XL!AS6,'XL (BHTP1)'!AS6,'XL (BHTP2)'!AS6)</f>
        <v>0</v>
      </c>
      <c r="AT6" s="13">
        <f>SUM('TP1'!AT6,'TP2'!AT6,MS!AT6,'MC + Vân hồ'!AT6,YC!AT6,PY!AT6,BY!AT6,SM!AT6,SC!AT6,TC!AT6,ML!AT6,QN!AT6,XL!AT6,'XL (BHTP1)'!AT6,'XL (BHTP2)'!AT6)</f>
        <v>0</v>
      </c>
      <c r="AU6" s="13">
        <f>SUM('TP1'!AU6,'TP2'!AU6,MS!AU6,'MC + Vân hồ'!AU6,YC!AU6,PY!AU6,BY!AU6,SM!AU6,SC!AU6,TC!AU6,ML!AU6,QN!AU6,XL!AU6,'XL (BHTP1)'!AU6,'XL (BHTP2)'!AU6)</f>
        <v>0</v>
      </c>
      <c r="AV6" s="13">
        <f>SUM('TP1'!AV6,'TP2'!AV6,MS!AV6,'MC + Vân hồ'!AV6,YC!AV6,PY!AV6,BY!AV6,SM!AV6,SC!AV6,TC!AV6,ML!AV6,QN!AV6,XL!AV6,'XL (BHTP1)'!AV6,'XL (BHTP2)'!AV6)</f>
        <v>90</v>
      </c>
      <c r="AW6" s="13">
        <f>SUM('TP1'!AW6,'TP2'!AW6,MS!AW6,'MC + Vân hồ'!AW6,YC!AW6,PY!AW6,BY!AW6,SM!AW6,SC!AW6,TC!AW6,ML!AW6,QN!AW6,XL!AW6,'XL (BHTP1)'!AW6,'XL (BHTP2)'!AW6)</f>
        <v>0</v>
      </c>
      <c r="AX6" s="13">
        <f>SUM('TP1'!AX6,'TP2'!AX6,MS!AX6,'MC + Vân hồ'!AX6,YC!AX6,PY!AX6,BY!AX6,SM!AX6,SC!AX6,TC!AX6,ML!AX6,QN!AX6,XL!AX6,'XL (BHTP1)'!AX6,'XL (BHTP2)'!AX6)</f>
        <v>0</v>
      </c>
      <c r="AY6" s="13">
        <f>SUM('TP1'!AY6,'TP2'!AY6,MS!AY6,'MC + Vân hồ'!AY6,YC!AY6,PY!AY6,BY!AY6,SM!AY6,SC!AY6,TC!AY6,ML!AY6,QN!AY6,XL!AY6,'XL (BHTP1)'!AY6,'XL (BHTP2)'!AY6)</f>
        <v>0</v>
      </c>
      <c r="AZ6" s="13">
        <f>SUM('TP1'!AZ6,'TP2'!AZ6,MS!AZ6,'MC + Vân hồ'!AZ6,YC!AZ6,PY!AZ6,BY!AZ6,SM!AZ6,SC!AZ6,TC!AZ6,ML!AZ6,QN!AZ6,XL!AZ6,'XL (BHTP1)'!AZ6,'XL (BHTP2)'!AZ6)</f>
        <v>0</v>
      </c>
      <c r="BA6" s="13">
        <f>SUM('TP1'!BA6,'TP2'!BA6,MS!BA6,'MC + Vân hồ'!BA6,YC!BA6,PY!BA6,BY!BA6,SM!BA6,SC!BA6,TC!BA6,ML!BA6,QN!BA6,XL!BA6,'XL (BHTP1)'!BA6,'XL (BHTP2)'!BA6)</f>
        <v>0</v>
      </c>
      <c r="BB6" s="13">
        <f>SUM('TP1'!BB6,'TP2'!BB6,MS!BB6,'MC + Vân hồ'!BB6,YC!BB6,PY!BB6,BY!BB6,SM!BB6,SC!BB6,TC!BB6,ML!BB6,QN!BB6,XL!BB6,'XL (BHTP1)'!BB6,'XL (BHTP2)'!BB6)</f>
        <v>0</v>
      </c>
      <c r="BC6" s="13">
        <f>SUM('TP1'!BC6,'TP2'!BC6,MS!BC6,'MC + Vân hồ'!BC6,YC!BC6,PY!BC6,BY!BC6,SM!BC6,SC!BC6,TC!BC6,ML!BC6,QN!BC6,XL!BC6,'XL (BHTP1)'!BC6,'XL (BHTP2)'!BC6)</f>
        <v>160</v>
      </c>
      <c r="BD6" s="13">
        <f>SUM('TP1'!BD6,'TP2'!BD6,MS!BD6,'MC + Vân hồ'!BD6,YC!BD6,PY!BD6,BY!BD6,SM!BD6,SC!BD6,TC!BD6,ML!BD6,QN!BD6,XL!BD6,'XL (BHTP1)'!BD6,'XL (BHTP2)'!BD6)</f>
        <v>0</v>
      </c>
      <c r="BE6" s="13">
        <f>SUM('TP1'!BE6,'TP2'!BE6,MS!BE6,'MC + Vân hồ'!BE6,YC!BE6,PY!BE6,BY!BE6,SM!BE6,SC!BE6,TC!BE6,ML!BE6,QN!BE6,XL!BE6,'XL (BHTP1)'!BE6,'XL (BHTP2)'!BE6)</f>
        <v>0</v>
      </c>
      <c r="BF6" s="13">
        <f>SUM('TP1'!BF6,'TP2'!BF6,MS!BF6,'MC + Vân hồ'!BF6,YC!BF6,PY!BF6,BY!BF6,SM!BF6,SC!BF6,TC!BF6,ML!BF6,QN!BF6,XL!BF6,'XL (BHTP1)'!BF6,'XL (BHTP2)'!BF6)</f>
        <v>0</v>
      </c>
      <c r="BG6" s="13">
        <f>SUM('TP1'!BG6,'TP2'!BG6,MS!BG6,'MC + Vân hồ'!BG6,YC!BG6,PY!BG6,BY!BG6,SM!BG6,SC!BG6,TC!BG6,ML!BG6,QN!BG6,XL!BG6,'XL (BHTP1)'!BG6,'XL (BHTP2)'!BG6)</f>
        <v>0</v>
      </c>
      <c r="BH6" s="13">
        <f>SUM('TP1'!BH6,'TP2'!BH6,MS!BH6,'MC + Vân hồ'!BH6,YC!BH6,PY!BH6,BY!BH6,SM!BH6,SC!BH6,TC!BH6,ML!BH6,QN!BH6,XL!BH6,'XL (BHTP1)'!BH6,'XL (BHTP2)'!BH6)</f>
        <v>0</v>
      </c>
      <c r="BI6" s="13">
        <f>SUM('TP1'!BI6,'TP2'!BI6,MS!BI6,'MC + Vân hồ'!BI6,YC!BI6,PY!BI6,BY!BI6,SM!BI6,SC!BI6,TC!BI6,ML!BI6,QN!BI6,XL!BI6,'XL (BHTP1)'!BI6,'XL (BHTP2)'!BI6)</f>
        <v>0</v>
      </c>
      <c r="BJ6" s="13">
        <f>SUM('TP1'!BJ6,'TP2'!BJ6,MS!BJ6,'MC + Vân hồ'!BJ6,YC!BJ6,PY!BJ6,BY!BJ6,SM!BJ6,SC!BJ6,TC!BJ6,ML!BJ6,QN!BJ6,XL!BJ6,'XL (BHTP1)'!BJ6,'XL (BHTP2)'!BJ6)</f>
        <v>0</v>
      </c>
      <c r="BK6" s="13">
        <f>SUM('TP1'!BK6,'TP2'!BK6,MS!BK6,'MC + Vân hồ'!BK6,YC!BK6,PY!BK6,BY!BK6,SM!BK6,SC!BK6,TC!BK6,ML!BK6,QN!BK6,XL!BK6,'XL (BHTP1)'!BK6,'XL (BHTP2)'!BK6)</f>
        <v>0</v>
      </c>
      <c r="BL6" s="13">
        <f>SUM('TP1'!BL6,'TP2'!BL6,MS!BL6,'MC + Vân hồ'!BL6,YC!BL6,PY!BL6,BY!BL6,SM!BL6,SC!BL6,TC!BL6,ML!BL6,QN!BL6,XL!BL6,'XL (BHTP1)'!BL6,'XL (BHTP2)'!BL6)</f>
        <v>0</v>
      </c>
      <c r="BM6" s="13">
        <f>SUM('TP1'!BM6,'TP2'!BM6,MS!BM6,'MC + Vân hồ'!BM6,YC!BM6,PY!BM6,BY!BM6,SM!BM6,SC!BM6,TC!BM6,ML!BM6,QN!BM6,XL!BM6,'XL (BHTP1)'!BM6,'XL (BHTP2)'!BM6)</f>
        <v>0</v>
      </c>
      <c r="BN6" s="13">
        <f>SUM('TP1'!BN6,'TP2'!BN6,MS!BN6,'MC + Vân hồ'!BN6,YC!BN6,PY!BN6,BY!BN6,SM!BN6,SC!BN6,TC!BN6,ML!BN6,QN!BN6,XL!BN6,'XL (BHTP1)'!BN6,'XL (BHTP2)'!BN6)</f>
        <v>0</v>
      </c>
      <c r="BO6" s="13">
        <f>SUM('TP1'!BO6,'TP2'!BO6,MS!BO6,'MC + Vân hồ'!BO6,YC!BO6,PY!BO6,BY!BO6,SM!BO6,SC!BO6,TC!BO6,ML!BO6,QN!BO6,XL!BO6,'XL (BHTP1)'!BO6,'XL (BHTP2)'!BO6)</f>
        <v>0</v>
      </c>
      <c r="BP6" s="13">
        <f>SUM('TP1'!BP6,'TP2'!BP6,MS!BP6,'MC + Vân hồ'!BP6,YC!BP6,PY!BP6,BY!BP6,SM!BP6,SC!BP6,TC!BP6,ML!BP6,QN!BP6,XL!BP6,'XL (BHTP1)'!BP6,'XL (BHTP2)'!BP6)</f>
        <v>0</v>
      </c>
      <c r="BQ6" s="13">
        <f>SUM('TP1'!BQ6,'TP2'!BQ6,MS!BQ6,'MC + Vân hồ'!BQ6,YC!BQ6,PY!BQ6,BY!BQ6,SM!BQ6,SC!BQ6,TC!BQ6,ML!BQ6,QN!BQ6,XL!BQ6,'XL (BHTP1)'!BQ6,'XL (BHTP2)'!BQ6)</f>
        <v>0</v>
      </c>
      <c r="BR6" s="13">
        <f>SUM('TP1'!BR6,'TP2'!BR6,MS!BR6,'MC + Vân hồ'!BR6,YC!BR6,PY!BR6,BY!BR6,SM!BR6,SC!BR6,TC!BR6,ML!BR6,QN!BR6,XL!BR6,'XL (BHTP1)'!BR6,'XL (BHTP2)'!BR6)</f>
        <v>0</v>
      </c>
      <c r="BS6" s="13">
        <f>SUM('TP1'!BS6,'TP2'!BS6,MS!BS6,'MC + Vân hồ'!BS6,YC!BS6,PY!BS6,BY!BS6,SM!BS6,SC!BS6,TC!BS6,ML!BS6,QN!BS6,XL!BS6,'XL (BHTP1)'!BS6,'XL (BHTP2)'!BS6)</f>
        <v>0</v>
      </c>
      <c r="BT6" s="13">
        <f>SUM('TP1'!BT6,'TP2'!BT6,MS!BT6,'MC + Vân hồ'!BT6,YC!BT6,PY!BT6,BY!BT6,SM!BT6,SC!BT6,TC!BT6,ML!BT6,QN!BT6,XL!BT6,'XL (BHTP1)'!BT6,'XL (BHTP2)'!BT6)</f>
        <v>0</v>
      </c>
      <c r="BU6" s="13">
        <f>SUM('TP1'!BU6,'TP2'!BU6,MS!BU6,'MC + Vân hồ'!BU6,YC!BU6,PY!BU6,BY!BU6,SM!BU6,SC!BU6,TC!BU6,ML!BU6,QN!BU6,XL!BU6,'XL (BHTP1)'!BU6,'XL (BHTP2)'!BU6)</f>
        <v>0</v>
      </c>
      <c r="BV6" s="13">
        <f>SUM('TP1'!BV6,'TP2'!BV6,MS!BV6,'MC + Vân hồ'!BV6,YC!BV6,PY!BV6,BY!BV6,SM!BV6,SC!BV6,TC!BV6,ML!BV6,QN!BV6,XL!BV6,'XL (BHTP1)'!BV6,'XL (BHTP2)'!BV6)</f>
        <v>0</v>
      </c>
      <c r="BW6" s="13">
        <f>SUM('TP1'!BW6,'TP2'!BW6,MS!BW6,'MC + Vân hồ'!BW6,YC!BW6,PY!BW6,BY!BW6,SM!BW6,SC!BW6,TC!BW6,ML!BW6,QN!BW6,XL!BW6,'XL (BHTP1)'!BW6,'XL (BHTP2)'!BW6)</f>
        <v>0</v>
      </c>
      <c r="BX6" s="13">
        <f>SUM('TP1'!BX6,'TP2'!BX6,MS!BX6,'MC + Vân hồ'!BX6,YC!BX6,PY!BX6,BY!BX6,SM!BX6,SC!BX6,TC!BX6,ML!BX6,QN!BX6,XL!BX6,'XL (BHTP1)'!BX6,'XL (BHTP2)'!BX6)</f>
        <v>0</v>
      </c>
      <c r="BY6" s="13">
        <f>SUM('TP1'!BY6,'TP2'!BY6,MS!BY6,'MC + Vân hồ'!BY6,YC!BY6,PY!BY6,BY!BY6,SM!BY6,SC!BY6,TC!BY6,ML!BY6,QN!BY6,XL!BY6,'XL (BHTP1)'!BY6,'XL (BHTP2)'!BY6)</f>
        <v>0</v>
      </c>
      <c r="BZ6" s="13">
        <f>SUM('TP1'!BZ6,'TP2'!BZ6,MS!BZ6,'MC + Vân hồ'!BZ6,YC!BZ6,PY!BZ6,BY!BZ6,SM!BZ6,SC!BZ6,TC!BZ6,ML!BZ6,QN!BZ6,XL!BZ6,'XL (BHTP1)'!BZ6,'XL (BHTP2)'!BZ6)</f>
        <v>0</v>
      </c>
      <c r="CA6" s="13">
        <f>SUM('TP1'!CA6,'TP2'!CA6,MS!CA6,'MC + Vân hồ'!CA6,YC!CA6,PY!CA6,BY!CA6,SM!CA6,SC!CA6,TC!CA6,ML!CA6,QN!CA6,XL!CA6,'XL (BHTP1)'!CA6,'XL (BHTP2)'!CA6)</f>
        <v>0</v>
      </c>
      <c r="CB6" s="13">
        <f>SUM('TP1'!CB6,'TP2'!CB6,MS!CB6,'MC + Vân hồ'!CB6,YC!CB6,PY!CB6,BY!CB6,SM!CB6,SC!CB6,TC!CB6,ML!CB6,QN!CB6,XL!CB6,'XL (BHTP1)'!CB6,'XL (BHTP2)'!CB6)</f>
        <v>0</v>
      </c>
      <c r="CC6" s="13">
        <f>SUM('TP1'!CC6,'TP2'!CC6,MS!CC6,'MC + Vân hồ'!CC6,YC!CC6,PY!CC6,BY!CC6,SM!CC6,SC!CC6,TC!CC6,ML!CC6,QN!CC6,XL!CC6,'XL (BHTP1)'!CC6,'XL (BHTP2)'!CC6)</f>
        <v>0</v>
      </c>
      <c r="CD6" s="13">
        <f>SUM('TP1'!CD6,'TP2'!CD6,MS!CD6,'MC + Vân hồ'!CD6,YC!CD6,PY!CD6,BY!CD6,SM!CD6,SC!CD6,TC!CD6,ML!CD6,QN!CD6,XL!CD6,'XL (BHTP1)'!CD6,'XL (BHTP2)'!CD6)</f>
        <v>0</v>
      </c>
      <c r="CE6" s="13">
        <f>SUM('TP1'!CE6,'TP2'!CE6,MS!CE6,'MC + Vân hồ'!CE6,YC!CE6,PY!CE6,BY!CE6,SM!CE6,SC!CE6,TC!CE6,ML!CE6,QN!CE6,XL!CE6,'XL (BHTP1)'!CE6,'XL (BHTP2)'!CE6)</f>
        <v>0</v>
      </c>
      <c r="CF6" s="13">
        <f>SUM('TP1'!CF6,'TP2'!CF6,MS!CF6,'MC + Vân hồ'!CF6,YC!CF6,PY!CF6,BY!CF6,SM!CF6,SC!CF6,TC!CF6,ML!CF6,QN!CF6,XL!CF6,'XL (BHTP1)'!CF6,'XL (BHTP2)'!CF6)</f>
        <v>0</v>
      </c>
      <c r="CG6" s="13">
        <f>SUM('TP1'!CG6,'TP2'!CG6,MS!CG6,'MC + Vân hồ'!CG6,YC!CG6,PY!CG6,BY!CG6,SM!CG6,SC!CG6,TC!CG6,ML!CG6,QN!CG6,XL!CG6,'XL (BHTP1)'!CG6,'XL (BHTP2)'!CG6)</f>
        <v>0</v>
      </c>
      <c r="CH6" s="13">
        <f>SUM('TP1'!CH6,'TP2'!CH6,MS!CH6,'MC + Vân hồ'!CH6,YC!CH6,PY!CH6,BY!CH6,SM!CH6,SC!CH6,TC!CH6,ML!CH6,QN!CH6,XL!CH6,'XL (BHTP1)'!CH6,'XL (BHTP2)'!CH6)</f>
        <v>0</v>
      </c>
      <c r="CI6" s="13">
        <f>SUM('TP1'!CI6,'TP2'!CI6,MS!CI6,'MC + Vân hồ'!CI6,YC!CI6,PY!CI6,BY!CI6,SM!CI6,SC!CI6,TC!CI6,ML!CI6,QN!CI6,XL!CI6,'XL (BHTP1)'!CI6,'XL (BHTP2)'!CI6)</f>
        <v>0</v>
      </c>
      <c r="CJ6" s="13">
        <f>SUM('TP1'!CJ6,'TP2'!CJ6,MS!CJ6,'MC + Vân hồ'!CJ6,YC!CJ6,PY!CJ6,BY!CJ6,SM!CJ6,SC!CJ6,TC!CJ6,ML!CJ6,QN!CJ6,XL!CJ6,'XL (BHTP1)'!CJ6,'XL (BHTP2)'!CJ6)</f>
        <v>0</v>
      </c>
      <c r="CK6" s="73">
        <f t="shared" ref="CK6:CQ6" si="1">SUM(E6,L6,S6,Z6,AG6,AN6,AU6,BB6,BI6,BP6,BW6,CD6)</f>
        <v>0</v>
      </c>
      <c r="CL6" s="73">
        <f t="shared" si="1"/>
        <v>1740</v>
      </c>
      <c r="CM6" s="73">
        <f t="shared" si="1"/>
        <v>0</v>
      </c>
      <c r="CN6" s="73">
        <f t="shared" si="1"/>
        <v>0</v>
      </c>
      <c r="CO6" s="73">
        <f t="shared" si="1"/>
        <v>0</v>
      </c>
      <c r="CP6" s="73">
        <f t="shared" si="1"/>
        <v>0</v>
      </c>
      <c r="CQ6" s="73">
        <f t="shared" si="1"/>
        <v>0</v>
      </c>
      <c r="CR6" s="74"/>
      <c r="CS6" s="74">
        <f t="shared" ref="CS6:CS27" si="3">CN6+CR6</f>
        <v>0</v>
      </c>
    </row>
    <row r="7" outlineLevel="1">
      <c r="B7" s="12" t="s">
        <v>27</v>
      </c>
      <c r="C7" s="12" t="s">
        <v>28</v>
      </c>
      <c r="D7" s="12" t="s">
        <v>26</v>
      </c>
      <c r="E7" s="13">
        <f>SUM('TP1'!E7,'TP2'!E7,MS!E7,'MC + Vân hồ'!E7,YC!E7,PY!E7,BY!E7,SM!E7,SC!E7,TC!E7,ML!E7,QN!E7,XL!E7,'XL (BHTP1)'!E7,'XL (BHTP2)'!E7)</f>
        <v>0</v>
      </c>
      <c r="F7" s="13">
        <f>SUM('TP1'!F7,'TP2'!F7,MS!F7,'MC + Vân hồ'!F7,YC!F7,PY!F7,BY!F7,SM!F7,SC!F7,TC!F7,ML!F7,QN!F7,XL!F7,'XL (BHTP1)'!F7,'XL (BHTP2)'!F7)</f>
        <v>920</v>
      </c>
      <c r="G7" s="13">
        <f>SUM('TP1'!G7,'TP2'!G7,MS!G7,'MC + Vân hồ'!G7,YC!G7,PY!G7,BY!G7,SM!G7,SC!G7,TC!G7,ML!G7,QN!G7,XL!G7,'XL (BHTP1)'!G7,'XL (BHTP2)'!G7)</f>
        <v>811</v>
      </c>
      <c r="H7" s="13">
        <f>SUM('TP1'!H7,'TP2'!H7,MS!H7,'MC + Vân hồ'!H7,YC!H7,PY!H7,BY!H7,SM!H7,SC!H7,TC!H7,ML!H7,QN!H7,XL!H7,'XL (BHTP1)'!H7,'XL (BHTP2)'!H7)</f>
        <v>0</v>
      </c>
      <c r="I7" s="13">
        <f>SUM('TP1'!I7,'TP2'!I7,MS!I7,'MC + Vân hồ'!I7,YC!I7,PY!I7,BY!I7,SM!I7,SC!I7,TC!I7,ML!I7,QN!I7,XL!I7,'XL (BHTP1)'!I7,'XL (BHTP2)'!I7)</f>
        <v>0</v>
      </c>
      <c r="J7" s="13">
        <f>SUM('TP1'!J7,'TP2'!J7,MS!J7,'MC + Vân hồ'!J7,YC!J7,PY!J7,BY!J7,SM!J7,SC!J7,TC!J7,ML!J7,QN!J7,XL!J7,'XL (BHTP1)'!J7,'XL (BHTP2)'!J7)</f>
        <v>0</v>
      </c>
      <c r="K7" s="13">
        <f>SUM('TP1'!K7,'TP2'!K7,MS!K7,'MC + Vân hồ'!K7,YC!K7,PY!K7,BY!K7,SM!K7,SC!K7,TC!K7,ML!K7,QN!K7,XL!K7,'XL (BHTP1)'!K7,'XL (BHTP2)'!K7)</f>
        <v>0</v>
      </c>
      <c r="L7" s="13">
        <f>SUM('TP1'!L7,'TP2'!L7,MS!L7,'MC + Vân hồ'!L7,YC!L7,PY!L7,BY!L7,SM!L7,SC!L7,TC!L7,ML!L7,QN!L7,XL!L7,'XL (BHTP1)'!L7,'XL (BHTP2)'!L7)</f>
        <v>0</v>
      </c>
      <c r="M7" s="13">
        <f>SUM('TP1'!M7,'TP2'!M7,MS!M7,'MC + Vân hồ'!M7,YC!M7,PY!M7,BY!M7,SM!M7,SC!M7,TC!M7,ML!M7,QN!M7,XL!M7,'XL (BHTP1)'!M7,'XL (BHTP2)'!M7)</f>
        <v>920</v>
      </c>
      <c r="N7" s="13">
        <f>SUM('TP1'!N7,'TP2'!N7,MS!N7,'MC + Vân hồ'!N7,YC!N7,PY!N7,BY!N7,SM!N7,SC!N7,TC!N7,ML!N7,QN!N7,XL!N7,'XL (BHTP1)'!N7,'XL (BHTP2)'!N7)</f>
        <v>471</v>
      </c>
      <c r="O7" s="13">
        <f>SUM('TP1'!O7,'TP2'!O7,MS!O7,'MC + Vân hồ'!O7,YC!O7,PY!O7,BY!O7,SM!O7,SC!O7,TC!O7,ML!O7,QN!O7,XL!O7,'XL (BHTP1)'!O7,'XL (BHTP2)'!O7)</f>
        <v>0</v>
      </c>
      <c r="P7" s="13">
        <f>SUM('TP1'!P7,'TP2'!P7,MS!P7,'MC + Vân hồ'!P7,YC!P7,PY!P7,BY!P7,SM!P7,SC!P7,TC!P7,ML!P7,QN!P7,XL!P7,'XL (BHTP1)'!P7,'XL (BHTP2)'!P7)</f>
        <v>0</v>
      </c>
      <c r="Q7" s="13">
        <f>SUM('TP1'!Q7,'TP2'!Q7,MS!Q7,'MC + Vân hồ'!Q7,YC!Q7,PY!Q7,BY!Q7,SM!Q7,SC!Q7,TC!Q7,ML!Q7,QN!Q7,XL!Q7,'XL (BHTP1)'!Q7,'XL (BHTP2)'!Q7)</f>
        <v>0</v>
      </c>
      <c r="R7" s="13">
        <f>SUM('TP1'!R7,'TP2'!R7,MS!R7,'MC + Vân hồ'!R7,YC!R7,PY!R7,BY!R7,SM!R7,SC!R7,TC!R7,ML!R7,QN!R7,XL!R7,'XL (BHTP1)'!R7,'XL (BHTP2)'!R7)</f>
        <v>0</v>
      </c>
      <c r="S7" s="13">
        <f>SUM('TP1'!S7,'TP2'!S7,MS!S7,'MC + Vân hồ'!S7,YC!S7,PY!S7,BY!S7,SM!S7,SC!S7,TC!S7,ML!S7,QN!S7,XL!S7,'XL (BHTP1)'!S7,'XL (BHTP2)'!S7)</f>
        <v>0</v>
      </c>
      <c r="T7" s="13">
        <f>SUM('TP1'!T7,'TP2'!T7,MS!T7,'MC + Vân hồ'!T7,YC!T7,PY!T7,BY!T7,SM!T7,SC!T7,TC!T7,ML!T7,QN!T7,XL!T7,'XL (BHTP1)'!T7,'XL (BHTP2)'!T7)</f>
        <v>920</v>
      </c>
      <c r="U7" s="13">
        <f>SUM('TP1'!U7,'TP2'!U7,MS!U7,'MC + Vân hồ'!U7,YC!U7,PY!U7,BY!U7,SM!U7,SC!U7,TC!U7,ML!U7,QN!U7,XL!U7,'XL (BHTP1)'!U7,'XL (BHTP2)'!U7)</f>
        <v>387</v>
      </c>
      <c r="V7" s="13">
        <f>SUM('TP1'!V7,'TP2'!V7,MS!V7,'MC + Vân hồ'!V7,YC!V7,PY!V7,BY!V7,SM!V7,SC!V7,TC!V7,ML!V7,QN!V7,XL!V7,'XL (BHTP1)'!V7,'XL (BHTP2)'!V7)</f>
        <v>0</v>
      </c>
      <c r="W7" s="13">
        <f>SUM('TP1'!W7,'TP2'!W7,MS!W7,'MC + Vân hồ'!W7,YC!W7,PY!W7,BY!W7,SM!W7,SC!W7,TC!W7,ML!W7,QN!W7,XL!W7,'XL (BHTP1)'!W7,'XL (BHTP2)'!W7)</f>
        <v>0</v>
      </c>
      <c r="X7" s="13">
        <f>SUM('TP1'!X7,'TP2'!X7,MS!X7,'MC + Vân hồ'!X7,YC!X7,PY!X7,BY!X7,SM!X7,SC!X7,TC!X7,ML!X7,QN!X7,XL!X7,'XL (BHTP1)'!X7,'XL (BHTP2)'!X7)</f>
        <v>0</v>
      </c>
      <c r="Y7" s="13">
        <f>SUM('TP1'!Y7,'TP2'!Y7,MS!Y7,'MC + Vân hồ'!Y7,YC!Y7,PY!Y7,BY!Y7,SM!Y7,SC!Y7,TC!Y7,ML!Y7,QN!Y7,XL!Y7,'XL (BHTP1)'!Y7,'XL (BHTP2)'!Y7)</f>
        <v>0</v>
      </c>
      <c r="Z7" s="13">
        <f>SUM('TP1'!Z7,'TP2'!Z7,MS!Z7,'MC + Vân hồ'!Z7,YC!Z7,PY!Z7,BY!Z7,SM!Z7,SC!Z7,TC!Z7,ML!Z7,QN!Z7,XL!Z7,'XL (BHTP1)'!Z7,'XL (BHTP2)'!Z7)</f>
        <v>0</v>
      </c>
      <c r="AA7" s="13">
        <f>SUM('TP1'!AA7,'TP2'!AA7,MS!AA7,'MC + Vân hồ'!AA7,YC!AA7,PY!AA7,BY!AA7,SM!AA7,SC!AA7,TC!AA7,ML!AA7,QN!AA7,XL!AA7,'XL (BHTP1)'!AA7,'XL (BHTP2)'!AA7)</f>
        <v>620</v>
      </c>
      <c r="AB7" s="13">
        <f>SUM('TP1'!AB7,'TP2'!AB7,MS!AB7,'MC + Vân hồ'!AB7,YC!AB7,PY!AB7,BY!AB7,SM!AB7,SC!AB7,TC!AB7,ML!AB7,QN!AB7,XL!AB7,'XL (BHTP1)'!AB7,'XL (BHTP2)'!AB7)</f>
        <v>1307</v>
      </c>
      <c r="AC7" s="13">
        <f>SUM('TP1'!AC7,'TP2'!AC7,MS!AC7,'MC + Vân hồ'!AC7,YC!AC7,PY!AC7,BY!AC7,SM!AC7,SC!AC7,TC!AC7,ML!AC7,QN!AC7,XL!AC7,'XL (BHTP1)'!AC7,'XL (BHTP2)'!AC7)</f>
        <v>0</v>
      </c>
      <c r="AD7" s="13">
        <f>SUM('TP1'!AD7,'TP2'!AD7,MS!AD7,'MC + Vân hồ'!AD7,YC!AD7,PY!AD7,BY!AD7,SM!AD7,SC!AD7,TC!AD7,ML!AD7,QN!AD7,XL!AD7,'XL (BHTP1)'!AD7,'XL (BHTP2)'!AD7)</f>
        <v>0</v>
      </c>
      <c r="AE7" s="13">
        <f>SUM('TP1'!AE7,'TP2'!AE7,MS!AE7,'MC + Vân hồ'!AE7,YC!AE7,PY!AE7,BY!AE7,SM!AE7,SC!AE7,TC!AE7,ML!AE7,QN!AE7,XL!AE7,'XL (BHTP1)'!AE7,'XL (BHTP2)'!AE7)</f>
        <v>0</v>
      </c>
      <c r="AF7" s="13">
        <f>SUM('TP1'!AF7,'TP2'!AF7,MS!AF7,'MC + Vân hồ'!AF7,YC!AF7,PY!AF7,BY!AF7,SM!AF7,SC!AF7,TC!AF7,ML!AF7,QN!AF7,XL!AF7,'XL (BHTP1)'!AF7,'XL (BHTP2)'!AF7)</f>
        <v>0</v>
      </c>
      <c r="AG7" s="13">
        <f>SUM('TP1'!AG7,'TP2'!AG7,MS!AG7,'MC + Vân hồ'!AG7,YC!AG7,PY!AG7,BY!AG7,SM!AG7,SC!AG7,TC!AG7,ML!AG7,QN!AG7,XL!AG7,'XL (BHTP1)'!AG7,'XL (BHTP2)'!AG7)</f>
        <v>0</v>
      </c>
      <c r="AH7" s="13">
        <f>SUM('TP1'!AH7,'TP2'!AH7,MS!AH7,'MC + Vân hồ'!AH7,YC!AH7,PY!AH7,BY!AH7,SM!AH7,SC!AH7,TC!AH7,ML!AH7,QN!AH7,XL!AH7,'XL (BHTP1)'!AH7,'XL (BHTP2)'!AH7)</f>
        <v>390</v>
      </c>
      <c r="AI7" s="13">
        <f>SUM('TP1'!AI7,'TP2'!AI7,MS!AI7,'MC + Vân hồ'!AI7,YC!AI7,PY!AI7,BY!AI7,SM!AI7,SC!AI7,TC!AI7,ML!AI7,QN!AI7,XL!AI7,'XL (BHTP1)'!AI7,'XL (BHTP2)'!AI7)</f>
        <v>484</v>
      </c>
      <c r="AJ7" s="13">
        <f>SUM('TP1'!AJ7,'TP2'!AJ7,MS!AJ7,'MC + Vân hồ'!AJ7,YC!AJ7,PY!AJ7,BY!AJ7,SM!AJ7,SC!AJ7,TC!AJ7,ML!AJ7,QN!AJ7,XL!AJ7,'XL (BHTP1)'!AJ7,'XL (BHTP2)'!AJ7)</f>
        <v>0</v>
      </c>
      <c r="AK7" s="13">
        <f>SUM('TP1'!AK7,'TP2'!AK7,MS!AK7,'MC + Vân hồ'!AK7,YC!AK7,PY!AK7,BY!AK7,SM!AK7,SC!AK7,TC!AK7,ML!AK7,QN!AK7,XL!AK7,'XL (BHTP1)'!AK7,'XL (BHTP2)'!AK7)</f>
        <v>0</v>
      </c>
      <c r="AL7" s="13">
        <f>SUM('TP1'!AL7,'TP2'!AL7,MS!AL7,'MC + Vân hồ'!AL7,YC!AL7,PY!AL7,BY!AL7,SM!AL7,SC!AL7,TC!AL7,ML!AL7,QN!AL7,XL!AL7,'XL (BHTP1)'!AL7,'XL (BHTP2)'!AL7)</f>
        <v>0</v>
      </c>
      <c r="AM7" s="13">
        <f>SUM('TP1'!AM7,'TP2'!AM7,MS!AM7,'MC + Vân hồ'!AM7,YC!AM7,PY!AM7,BY!AM7,SM!AM7,SC!AM7,TC!AM7,ML!AM7,QN!AM7,XL!AM7,'XL (BHTP1)'!AM7,'XL (BHTP2)'!AM7)</f>
        <v>0</v>
      </c>
      <c r="AN7" s="13">
        <f>SUM('TP1'!AN7,'TP2'!AN7,MS!AN7,'MC + Vân hồ'!AN7,YC!AN7,PY!AN7,BY!AN7,SM!AN7,SC!AN7,TC!AN7,ML!AN7,QN!AN7,XL!AN7,'XL (BHTP1)'!AN7,'XL (BHTP2)'!AN7)</f>
        <v>0</v>
      </c>
      <c r="AO7" s="13">
        <f>SUM('TP1'!AO7,'TP2'!AO7,MS!AO7,'MC + Vân hồ'!AO7,YC!AO7,PY!AO7,BY!AO7,SM!AO7,SC!AO7,TC!AO7,ML!AO7,QN!AO7,XL!AO7,'XL (BHTP1)'!AO7,'XL (BHTP2)'!AO7)</f>
        <v>620</v>
      </c>
      <c r="AP7" s="13">
        <f>SUM('TP1'!AP7,'TP2'!AP7,MS!AP7,'MC + Vân hồ'!AP7,YC!AP7,PY!AP7,BY!AP7,SM!AP7,SC!AP7,TC!AP7,ML!AP7,QN!AP7,XL!AP7,'XL (BHTP1)'!AP7,'XL (BHTP2)'!AP7)</f>
        <v>254</v>
      </c>
      <c r="AQ7" s="13">
        <f>SUM('TP1'!AQ7,'TP2'!AQ7,MS!AQ7,'MC + Vân hồ'!AQ7,YC!AQ7,PY!AQ7,BY!AQ7,SM!AQ7,SC!AQ7,TC!AQ7,ML!AQ7,QN!AQ7,XL!AQ7,'XL (BHTP1)'!AQ7,'XL (BHTP2)'!AQ7)</f>
        <v>0</v>
      </c>
      <c r="AR7" s="13">
        <f>SUM('TP1'!AR7,'TP2'!AR7,MS!AR7,'MC + Vân hồ'!AR7,YC!AR7,PY!AR7,BY!AR7,SM!AR7,SC!AR7,TC!AR7,ML!AR7,QN!AR7,XL!AR7,'XL (BHTP1)'!AR7,'XL (BHTP2)'!AR7)</f>
        <v>0</v>
      </c>
      <c r="AS7" s="13">
        <f>SUM('TP1'!AS7,'TP2'!AS7,MS!AS7,'MC + Vân hồ'!AS7,YC!AS7,PY!AS7,BY!AS7,SM!AS7,SC!AS7,TC!AS7,ML!AS7,QN!AS7,XL!AS7,'XL (BHTP1)'!AS7,'XL (BHTP2)'!AS7)</f>
        <v>0</v>
      </c>
      <c r="AT7" s="13">
        <f>SUM('TP1'!AT7,'TP2'!AT7,MS!AT7,'MC + Vân hồ'!AT7,YC!AT7,PY!AT7,BY!AT7,SM!AT7,SC!AT7,TC!AT7,ML!AT7,QN!AT7,XL!AT7,'XL (BHTP1)'!AT7,'XL (BHTP2)'!AT7)</f>
        <v>0</v>
      </c>
      <c r="AU7" s="13">
        <f>SUM('TP1'!AU7,'TP2'!AU7,MS!AU7,'MC + Vân hồ'!AU7,YC!AU7,PY!AU7,BY!AU7,SM!AU7,SC!AU7,TC!AU7,ML!AU7,QN!AU7,XL!AU7,'XL (BHTP1)'!AU7,'XL (BHTP2)'!AU7)</f>
        <v>0</v>
      </c>
      <c r="AV7" s="13">
        <f>SUM('TP1'!AV7,'TP2'!AV7,MS!AV7,'MC + Vân hồ'!AV7,YC!AV7,PY!AV7,BY!AV7,SM!AV7,SC!AV7,TC!AV7,ML!AV7,QN!AV7,XL!AV7,'XL (BHTP1)'!AV7,'XL (BHTP2)'!AV7)</f>
        <v>700</v>
      </c>
      <c r="AW7" s="13">
        <f>SUM('TP1'!AW7,'TP2'!AW7,MS!AW7,'MC + Vân hồ'!AW7,YC!AW7,PY!AW7,BY!AW7,SM!AW7,SC!AW7,TC!AW7,ML!AW7,QN!AW7,XL!AW7,'XL (BHTP1)'!AW7,'XL (BHTP2)'!AW7)</f>
        <v>502</v>
      </c>
      <c r="AX7" s="13">
        <f>SUM('TP1'!AX7,'TP2'!AX7,MS!AX7,'MC + Vân hồ'!AX7,YC!AX7,PY!AX7,BY!AX7,SM!AX7,SC!AX7,TC!AX7,ML!AX7,QN!AX7,XL!AX7,'XL (BHTP1)'!AX7,'XL (BHTP2)'!AX7)</f>
        <v>0</v>
      </c>
      <c r="AY7" s="13">
        <f>SUM('TP1'!AY7,'TP2'!AY7,MS!AY7,'MC + Vân hồ'!AY7,YC!AY7,PY!AY7,BY!AY7,SM!AY7,SC!AY7,TC!AY7,ML!AY7,QN!AY7,XL!AY7,'XL (BHTP1)'!AY7,'XL (BHTP2)'!AY7)</f>
        <v>0</v>
      </c>
      <c r="AZ7" s="13">
        <f>SUM('TP1'!AZ7,'TP2'!AZ7,MS!AZ7,'MC + Vân hồ'!AZ7,YC!AZ7,PY!AZ7,BY!AZ7,SM!AZ7,SC!AZ7,TC!AZ7,ML!AZ7,QN!AZ7,XL!AZ7,'XL (BHTP1)'!AZ7,'XL (BHTP2)'!AZ7)</f>
        <v>0</v>
      </c>
      <c r="BA7" s="13">
        <f>SUM('TP1'!BA7,'TP2'!BA7,MS!BA7,'MC + Vân hồ'!BA7,YC!BA7,PY!BA7,BY!BA7,SM!BA7,SC!BA7,TC!BA7,ML!BA7,QN!BA7,XL!BA7,'XL (BHTP1)'!BA7,'XL (BHTP2)'!BA7)</f>
        <v>0</v>
      </c>
      <c r="BB7" s="13">
        <f>SUM('TP1'!BB7,'TP2'!BB7,MS!BB7,'MC + Vân hồ'!BB7,YC!BB7,PY!BB7,BY!BB7,SM!BB7,SC!BB7,TC!BB7,ML!BB7,QN!BB7,XL!BB7,'XL (BHTP1)'!BB7,'XL (BHTP2)'!BB7)</f>
        <v>0</v>
      </c>
      <c r="BC7" s="13">
        <f>SUM('TP1'!BC7,'TP2'!BC7,MS!BC7,'MC + Vân hồ'!BC7,YC!BC7,PY!BC7,BY!BC7,SM!BC7,SC!BC7,TC!BC7,ML!BC7,QN!BC7,XL!BC7,'XL (BHTP1)'!BC7,'XL (BHTP2)'!BC7)</f>
        <v>700</v>
      </c>
      <c r="BD7" s="13">
        <f>SUM('TP1'!BD7,'TP2'!BD7,MS!BD7,'MC + Vân hồ'!BD7,YC!BD7,PY!BD7,BY!BD7,SM!BD7,SC!BD7,TC!BD7,ML!BD7,QN!BD7,XL!BD7,'XL (BHTP1)'!BD7,'XL (BHTP2)'!BD7)</f>
        <v>621</v>
      </c>
      <c r="BE7" s="13">
        <f>SUM('TP1'!BE7,'TP2'!BE7,MS!BE7,'MC + Vân hồ'!BE7,YC!BE7,PY!BE7,BY!BE7,SM!BE7,SC!BE7,TC!BE7,ML!BE7,QN!BE7,XL!BE7,'XL (BHTP1)'!BE7,'XL (BHTP2)'!BE7)</f>
        <v>0</v>
      </c>
      <c r="BF7" s="13">
        <f>SUM('TP1'!BF7,'TP2'!BF7,MS!BF7,'MC + Vân hồ'!BF7,YC!BF7,PY!BF7,BY!BF7,SM!BF7,SC!BF7,TC!BF7,ML!BF7,QN!BF7,XL!BF7,'XL (BHTP1)'!BF7,'XL (BHTP2)'!BF7)</f>
        <v>0</v>
      </c>
      <c r="BG7" s="13">
        <f>SUM('TP1'!BG7,'TP2'!BG7,MS!BG7,'MC + Vân hồ'!BG7,YC!BG7,PY!BG7,BY!BG7,SM!BG7,SC!BG7,TC!BG7,ML!BG7,QN!BG7,XL!BG7,'XL (BHTP1)'!BG7,'XL (BHTP2)'!BG7)</f>
        <v>0</v>
      </c>
      <c r="BH7" s="13">
        <f>SUM('TP1'!BH7,'TP2'!BH7,MS!BH7,'MC + Vân hồ'!BH7,YC!BH7,PY!BH7,BY!BH7,SM!BH7,SC!BH7,TC!BH7,ML!BH7,QN!BH7,XL!BH7,'XL (BHTP1)'!BH7,'XL (BHTP2)'!BH7)</f>
        <v>0</v>
      </c>
      <c r="BI7" s="13">
        <f>SUM('TP1'!BI7,'TP2'!BI7,MS!BI7,'MC + Vân hồ'!BI7,YC!BI7,PY!BI7,BY!BI7,SM!BI7,SC!BI7,TC!BI7,ML!BI7,QN!BI7,XL!BI7,'XL (BHTP1)'!BI7,'XL (BHTP2)'!BI7)</f>
        <v>0</v>
      </c>
      <c r="BJ7" s="13">
        <f>SUM('TP1'!BJ7,'TP2'!BJ7,MS!BJ7,'MC + Vân hồ'!BJ7,YC!BJ7,PY!BJ7,BY!BJ7,SM!BJ7,SC!BJ7,TC!BJ7,ML!BJ7,QN!BJ7,XL!BJ7,'XL (BHTP1)'!BJ7,'XL (BHTP2)'!BJ7)</f>
        <v>700</v>
      </c>
      <c r="BK7" s="13">
        <f>SUM('TP1'!BK7,'TP2'!BK7,MS!BK7,'MC + Vân hồ'!BK7,YC!BK7,PY!BK7,BY!BK7,SM!BK7,SC!BK7,TC!BK7,ML!BK7,QN!BK7,XL!BK7,'XL (BHTP1)'!BK7,'XL (BHTP2)'!BK7)</f>
        <v>0</v>
      </c>
      <c r="BL7" s="13">
        <f>SUM('TP1'!BL7,'TP2'!BL7,MS!BL7,'MC + Vân hồ'!BL7,YC!BL7,PY!BL7,BY!BL7,SM!BL7,SC!BL7,TC!BL7,ML!BL7,QN!BL7,XL!BL7,'XL (BHTP1)'!BL7,'XL (BHTP2)'!BL7)</f>
        <v>0</v>
      </c>
      <c r="BM7" s="13">
        <f>SUM('TP1'!BM7,'TP2'!BM7,MS!BM7,'MC + Vân hồ'!BM7,YC!BM7,PY!BM7,BY!BM7,SM!BM7,SC!BM7,TC!BM7,ML!BM7,QN!BM7,XL!BM7,'XL (BHTP1)'!BM7,'XL (BHTP2)'!BM7)</f>
        <v>0</v>
      </c>
      <c r="BN7" s="13">
        <f>SUM('TP1'!BN7,'TP2'!BN7,MS!BN7,'MC + Vân hồ'!BN7,YC!BN7,PY!BN7,BY!BN7,SM!BN7,SC!BN7,TC!BN7,ML!BN7,QN!BN7,XL!BN7,'XL (BHTP1)'!BN7,'XL (BHTP2)'!BN7)</f>
        <v>0</v>
      </c>
      <c r="BO7" s="13">
        <f>SUM('TP1'!BO7,'TP2'!BO7,MS!BO7,'MC + Vân hồ'!BO7,YC!BO7,PY!BO7,BY!BO7,SM!BO7,SC!BO7,TC!BO7,ML!BO7,QN!BO7,XL!BO7,'XL (BHTP1)'!BO7,'XL (BHTP2)'!BO7)</f>
        <v>0</v>
      </c>
      <c r="BP7" s="13">
        <f>SUM('TP1'!BP7,'TP2'!BP7,MS!BP7,'MC + Vân hồ'!BP7,YC!BP7,PY!BP7,BY!BP7,SM!BP7,SC!BP7,TC!BP7,ML!BP7,QN!BP7,XL!BP7,'XL (BHTP1)'!BP7,'XL (BHTP2)'!BP7)</f>
        <v>0</v>
      </c>
      <c r="BQ7" s="13">
        <f>SUM('TP1'!BQ7,'TP2'!BQ7,MS!BQ7,'MC + Vân hồ'!BQ7,YC!BQ7,PY!BQ7,BY!BQ7,SM!BQ7,SC!BQ7,TC!BQ7,ML!BQ7,QN!BQ7,XL!BQ7,'XL (BHTP1)'!BQ7,'XL (BHTP2)'!BQ7)</f>
        <v>0</v>
      </c>
      <c r="BR7" s="13">
        <f>SUM('TP1'!BR7,'TP2'!BR7,MS!BR7,'MC + Vân hồ'!BR7,YC!BR7,PY!BR7,BY!BR7,SM!BR7,SC!BR7,TC!BR7,ML!BR7,QN!BR7,XL!BR7,'XL (BHTP1)'!BR7,'XL (BHTP2)'!BR7)</f>
        <v>0</v>
      </c>
      <c r="BS7" s="13">
        <f>SUM('TP1'!BS7,'TP2'!BS7,MS!BS7,'MC + Vân hồ'!BS7,YC!BS7,PY!BS7,BY!BS7,SM!BS7,SC!BS7,TC!BS7,ML!BS7,QN!BS7,XL!BS7,'XL (BHTP1)'!BS7,'XL (BHTP2)'!BS7)</f>
        <v>0</v>
      </c>
      <c r="BT7" s="13">
        <f>SUM('TP1'!BT7,'TP2'!BT7,MS!BT7,'MC + Vân hồ'!BT7,YC!BT7,PY!BT7,BY!BT7,SM!BT7,SC!BT7,TC!BT7,ML!BT7,QN!BT7,XL!BT7,'XL (BHTP1)'!BT7,'XL (BHTP2)'!BT7)</f>
        <v>0</v>
      </c>
      <c r="BU7" s="13">
        <f>SUM('TP1'!BU7,'TP2'!BU7,MS!BU7,'MC + Vân hồ'!BU7,YC!BU7,PY!BU7,BY!BU7,SM!BU7,SC!BU7,TC!BU7,ML!BU7,QN!BU7,XL!BU7,'XL (BHTP1)'!BU7,'XL (BHTP2)'!BU7)</f>
        <v>0</v>
      </c>
      <c r="BV7" s="13">
        <f>SUM('TP1'!BV7,'TP2'!BV7,MS!BV7,'MC + Vân hồ'!BV7,YC!BV7,PY!BV7,BY!BV7,SM!BV7,SC!BV7,TC!BV7,ML!BV7,QN!BV7,XL!BV7,'XL (BHTP1)'!BV7,'XL (BHTP2)'!BV7)</f>
        <v>0</v>
      </c>
      <c r="BW7" s="13">
        <f>SUM('TP1'!BW7,'TP2'!BW7,MS!BW7,'MC + Vân hồ'!BW7,YC!BW7,PY!BW7,BY!BW7,SM!BW7,SC!BW7,TC!BW7,ML!BW7,QN!BW7,XL!BW7,'XL (BHTP1)'!BW7,'XL (BHTP2)'!BW7)</f>
        <v>0</v>
      </c>
      <c r="BX7" s="13">
        <f>SUM('TP1'!BX7,'TP2'!BX7,MS!BX7,'MC + Vân hồ'!BX7,YC!BX7,PY!BX7,BY!BX7,SM!BX7,SC!BX7,TC!BX7,ML!BX7,QN!BX7,XL!BX7,'XL (BHTP1)'!BX7,'XL (BHTP2)'!BX7)</f>
        <v>0</v>
      </c>
      <c r="BY7" s="13">
        <f>SUM('TP1'!BY7,'TP2'!BY7,MS!BY7,'MC + Vân hồ'!BY7,YC!BY7,PY!BY7,BY!BY7,SM!BY7,SC!BY7,TC!BY7,ML!BY7,QN!BY7,XL!BY7,'XL (BHTP1)'!BY7,'XL (BHTP2)'!BY7)</f>
        <v>0</v>
      </c>
      <c r="BZ7" s="13">
        <f>SUM('TP1'!BZ7,'TP2'!BZ7,MS!BZ7,'MC + Vân hồ'!BZ7,YC!BZ7,PY!BZ7,BY!BZ7,SM!BZ7,SC!BZ7,TC!BZ7,ML!BZ7,QN!BZ7,XL!BZ7,'XL (BHTP1)'!BZ7,'XL (BHTP2)'!BZ7)</f>
        <v>0</v>
      </c>
      <c r="CA7" s="13">
        <f>SUM('TP1'!CA7,'TP2'!CA7,MS!CA7,'MC + Vân hồ'!CA7,YC!CA7,PY!CA7,BY!CA7,SM!CA7,SC!CA7,TC!CA7,ML!CA7,QN!CA7,XL!CA7,'XL (BHTP1)'!CA7,'XL (BHTP2)'!CA7)</f>
        <v>0</v>
      </c>
      <c r="CB7" s="13">
        <f>SUM('TP1'!CB7,'TP2'!CB7,MS!CB7,'MC + Vân hồ'!CB7,YC!CB7,PY!CB7,BY!CB7,SM!CB7,SC!CB7,TC!CB7,ML!CB7,QN!CB7,XL!CB7,'XL (BHTP1)'!CB7,'XL (BHTP2)'!CB7)</f>
        <v>0</v>
      </c>
      <c r="CC7" s="13">
        <f>SUM('TP1'!CC7,'TP2'!CC7,MS!CC7,'MC + Vân hồ'!CC7,YC!CC7,PY!CC7,BY!CC7,SM!CC7,SC!CC7,TC!CC7,ML!CC7,QN!CC7,XL!CC7,'XL (BHTP1)'!CC7,'XL (BHTP2)'!CC7)</f>
        <v>0</v>
      </c>
      <c r="CD7" s="13">
        <f>SUM('TP1'!CD7,'TP2'!CD7,MS!CD7,'MC + Vân hồ'!CD7,YC!CD7,PY!CD7,BY!CD7,SM!CD7,SC!CD7,TC!CD7,ML!CD7,QN!CD7,XL!CD7,'XL (BHTP1)'!CD7,'XL (BHTP2)'!CD7)</f>
        <v>0</v>
      </c>
      <c r="CE7" s="13">
        <f>SUM('TP1'!CE7,'TP2'!CE7,MS!CE7,'MC + Vân hồ'!CE7,YC!CE7,PY!CE7,BY!CE7,SM!CE7,SC!CE7,TC!CE7,ML!CE7,QN!CE7,XL!CE7,'XL (BHTP1)'!CE7,'XL (BHTP2)'!CE7)</f>
        <v>0</v>
      </c>
      <c r="CF7" s="13">
        <f>SUM('TP1'!CF7,'TP2'!CF7,MS!CF7,'MC + Vân hồ'!CF7,YC!CF7,PY!CF7,BY!CF7,SM!CF7,SC!CF7,TC!CF7,ML!CF7,QN!CF7,XL!CF7,'XL (BHTP1)'!CF7,'XL (BHTP2)'!CF7)</f>
        <v>0</v>
      </c>
      <c r="CG7" s="13">
        <f>SUM('TP1'!CG7,'TP2'!CG7,MS!CG7,'MC + Vân hồ'!CG7,YC!CG7,PY!CG7,BY!CG7,SM!CG7,SC!CG7,TC!CG7,ML!CG7,QN!CG7,XL!CG7,'XL (BHTP1)'!CG7,'XL (BHTP2)'!CG7)</f>
        <v>0</v>
      </c>
      <c r="CH7" s="13">
        <f>SUM('TP1'!CH7,'TP2'!CH7,MS!CH7,'MC + Vân hồ'!CH7,YC!CH7,PY!CH7,BY!CH7,SM!CH7,SC!CH7,TC!CH7,ML!CH7,QN!CH7,XL!CH7,'XL (BHTP1)'!CH7,'XL (BHTP2)'!CH7)</f>
        <v>0</v>
      </c>
      <c r="CI7" s="13">
        <f>SUM('TP1'!CI7,'TP2'!CI7,MS!CI7,'MC + Vân hồ'!CI7,YC!CI7,PY!CI7,BY!CI7,SM!CI7,SC!CI7,TC!CI7,ML!CI7,QN!CI7,XL!CI7,'XL (BHTP1)'!CI7,'XL (BHTP2)'!CI7)</f>
        <v>0</v>
      </c>
      <c r="CJ7" s="13">
        <f>SUM('TP1'!CJ7,'TP2'!CJ7,MS!CJ7,'MC + Vân hồ'!CJ7,YC!CJ7,PY!CJ7,BY!CJ7,SM!CJ7,SC!CJ7,TC!CJ7,ML!CJ7,QN!CJ7,XL!CJ7,'XL (BHTP1)'!CJ7,'XL (BHTP2)'!CJ7)</f>
        <v>0</v>
      </c>
      <c r="CK7" s="73">
        <f t="shared" ref="CK7:CQ7" si="2">SUM(E7,L7,S7,Z7,AG7,AN7,AU7,BB7,BI7,BP7,BW7,CD7)</f>
        <v>0</v>
      </c>
      <c r="CL7" s="73">
        <f t="shared" si="2"/>
        <v>6490</v>
      </c>
      <c r="CM7" s="73">
        <f t="shared" si="2"/>
        <v>4837</v>
      </c>
      <c r="CN7" s="73">
        <f t="shared" si="2"/>
        <v>0</v>
      </c>
      <c r="CO7" s="73">
        <f t="shared" si="2"/>
        <v>0</v>
      </c>
      <c r="CP7" s="73">
        <f t="shared" si="2"/>
        <v>0</v>
      </c>
      <c r="CQ7" s="73">
        <f t="shared" si="2"/>
        <v>0</v>
      </c>
      <c r="CR7" s="56"/>
      <c r="CS7" s="56">
        <f t="shared" si="3"/>
        <v>0</v>
      </c>
    </row>
    <row r="8" outlineLevel="1">
      <c r="B8" s="12" t="s">
        <v>97</v>
      </c>
      <c r="C8" s="19" t="s">
        <v>29</v>
      </c>
      <c r="D8" s="12" t="s">
        <v>26</v>
      </c>
      <c r="E8" s="13">
        <f>SUM('TP1'!E8,'TP2'!E8,MS!E8,'MC + Vân hồ'!E8,YC!E8,PY!E8,BY!E8,SM!E8,SC!E8,TC!E8,ML!E8,QN!E8,XL!E8,'XL (BHTP1)'!E8,'XL (BHTP2)'!E8)</f>
        <v>0</v>
      </c>
      <c r="F8" s="13">
        <f>SUM('TP1'!F8,'TP2'!F8,MS!F8,'MC + Vân hồ'!F8,YC!F8,PY!F8,BY!F8,SM!F8,SC!F8,TC!F8,ML!F8,QN!F8,XL!F8,'XL (BHTP1)'!F8,'XL (BHTP2)'!F8)</f>
        <v>0</v>
      </c>
      <c r="G8" s="13">
        <f>SUM('TP1'!G8,'TP2'!G8,MS!G8,'MC + Vân hồ'!G8,YC!G8,PY!G8,BY!G8,SM!G8,SC!G8,TC!G8,ML!G8,QN!G8,XL!G8,'XL (BHTP1)'!G8,'XL (BHTP2)'!G8)</f>
        <v>0</v>
      </c>
      <c r="H8" s="13">
        <f>SUM('TP1'!H8,'TP2'!H8,MS!H8,'MC + Vân hồ'!H8,YC!H8,PY!H8,BY!H8,SM!H8,SC!H8,TC!H8,ML!H8,QN!H8,XL!H8,'XL (BHTP1)'!H8,'XL (BHTP2)'!H8)</f>
        <v>0</v>
      </c>
      <c r="I8" s="13">
        <f>SUM('TP1'!I8,'TP2'!I8,MS!I8,'MC + Vân hồ'!I8,YC!I8,PY!I8,BY!I8,SM!I8,SC!I8,TC!I8,ML!I8,QN!I8,XL!I8,'XL (BHTP1)'!I8,'XL (BHTP2)'!I8)</f>
        <v>0</v>
      </c>
      <c r="J8" s="13">
        <f>SUM('TP1'!J8,'TP2'!J8,MS!J8,'MC + Vân hồ'!J8,YC!J8,PY!J8,BY!J8,SM!J8,SC!J8,TC!J8,ML!J8,QN!J8,XL!J8,'XL (BHTP1)'!J8,'XL (BHTP2)'!J8)</f>
        <v>0</v>
      </c>
      <c r="K8" s="13">
        <f>SUM('TP1'!K8,'TP2'!K8,MS!K8,'MC + Vân hồ'!K8,YC!K8,PY!K8,BY!K8,SM!K8,SC!K8,TC!K8,ML!K8,QN!K8,XL!K8,'XL (BHTP1)'!K8,'XL (BHTP2)'!K8)</f>
        <v>0</v>
      </c>
      <c r="L8" s="13">
        <f>SUM('TP1'!L8,'TP2'!L8,MS!L8,'MC + Vân hồ'!L8,YC!L8,PY!L8,BY!L8,SM!L8,SC!L8,TC!L8,ML!L8,QN!L8,XL!L8,'XL (BHTP1)'!L8,'XL (BHTP2)'!L8)</f>
        <v>0</v>
      </c>
      <c r="M8" s="13">
        <f>SUM('TP1'!M8,'TP2'!M8,MS!M8,'MC + Vân hồ'!M8,YC!M8,PY!M8,BY!M8,SM!M8,SC!M8,TC!M8,ML!M8,QN!M8,XL!M8,'XL (BHTP1)'!M8,'XL (BHTP2)'!M8)</f>
        <v>0</v>
      </c>
      <c r="N8" s="13">
        <f>SUM('TP1'!N8,'TP2'!N8,MS!N8,'MC + Vân hồ'!N8,YC!N8,PY!N8,BY!N8,SM!N8,SC!N8,TC!N8,ML!N8,QN!N8,XL!N8,'XL (BHTP1)'!N8,'XL (BHTP2)'!N8)</f>
        <v>0</v>
      </c>
      <c r="O8" s="13">
        <f>SUM('TP1'!O8,'TP2'!O8,MS!O8,'MC + Vân hồ'!O8,YC!O8,PY!O8,BY!O8,SM!O8,SC!O8,TC!O8,ML!O8,QN!O8,XL!O8,'XL (BHTP1)'!O8,'XL (BHTP2)'!O8)</f>
        <v>0</v>
      </c>
      <c r="P8" s="13">
        <f>SUM('TP1'!P8,'TP2'!P8,MS!P8,'MC + Vân hồ'!P8,YC!P8,PY!P8,BY!P8,SM!P8,SC!P8,TC!P8,ML!P8,QN!P8,XL!P8,'XL (BHTP1)'!P8,'XL (BHTP2)'!P8)</f>
        <v>0</v>
      </c>
      <c r="Q8" s="13">
        <f>SUM('TP1'!Q8,'TP2'!Q8,MS!Q8,'MC + Vân hồ'!Q8,YC!Q8,PY!Q8,BY!Q8,SM!Q8,SC!Q8,TC!Q8,ML!Q8,QN!Q8,XL!Q8,'XL (BHTP1)'!Q8,'XL (BHTP2)'!Q8)</f>
        <v>0</v>
      </c>
      <c r="R8" s="13">
        <f>SUM('TP1'!R8,'TP2'!R8,MS!R8,'MC + Vân hồ'!R8,YC!R8,PY!R8,BY!R8,SM!R8,SC!R8,TC!R8,ML!R8,QN!R8,XL!R8,'XL (BHTP1)'!R8,'XL (BHTP2)'!R8)</f>
        <v>0</v>
      </c>
      <c r="S8" s="13">
        <f>SUM('TP1'!S8,'TP2'!S8,MS!S8,'MC + Vân hồ'!S8,YC!S8,PY!S8,BY!S8,SM!S8,SC!S8,TC!S8,ML!S8,QN!S8,XL!S8,'XL (BHTP1)'!S8,'XL (BHTP2)'!S8)</f>
        <v>0</v>
      </c>
      <c r="T8" s="13">
        <f>SUM('TP1'!T8,'TP2'!T8,MS!T8,'MC + Vân hồ'!T8,YC!T8,PY!T8,BY!T8,SM!T8,SC!T8,TC!T8,ML!T8,QN!T8,XL!T8,'XL (BHTP1)'!T8,'XL (BHTP2)'!T8)</f>
        <v>0</v>
      </c>
      <c r="U8" s="13">
        <f>SUM('TP1'!U8,'TP2'!U8,MS!U8,'MC + Vân hồ'!U8,YC!U8,PY!U8,BY!U8,SM!U8,SC!U8,TC!U8,ML!U8,QN!U8,XL!U8,'XL (BHTP1)'!U8,'XL (BHTP2)'!U8)</f>
        <v>0</v>
      </c>
      <c r="V8" s="13">
        <f>SUM('TP1'!V8,'TP2'!V8,MS!V8,'MC + Vân hồ'!V8,YC!V8,PY!V8,BY!V8,SM!V8,SC!V8,TC!V8,ML!V8,QN!V8,XL!V8,'XL (BHTP1)'!V8,'XL (BHTP2)'!V8)</f>
        <v>0</v>
      </c>
      <c r="W8" s="13">
        <f>SUM('TP1'!W8,'TP2'!W8,MS!W8,'MC + Vân hồ'!W8,YC!W8,PY!W8,BY!W8,SM!W8,SC!W8,TC!W8,ML!W8,QN!W8,XL!W8,'XL (BHTP1)'!W8,'XL (BHTP2)'!W8)</f>
        <v>0</v>
      </c>
      <c r="X8" s="13">
        <f>SUM('TP1'!X8,'TP2'!X8,MS!X8,'MC + Vân hồ'!X8,YC!X8,PY!X8,BY!X8,SM!X8,SC!X8,TC!X8,ML!X8,QN!X8,XL!X8,'XL (BHTP1)'!X8,'XL (BHTP2)'!X8)</f>
        <v>0</v>
      </c>
      <c r="Y8" s="13">
        <f>SUM('TP1'!Y8,'TP2'!Y8,MS!Y8,'MC + Vân hồ'!Y8,YC!Y8,PY!Y8,BY!Y8,SM!Y8,SC!Y8,TC!Y8,ML!Y8,QN!Y8,XL!Y8,'XL (BHTP1)'!Y8,'XL (BHTP2)'!Y8)</f>
        <v>0</v>
      </c>
      <c r="Z8" s="13">
        <f>SUM('TP1'!Z8,'TP2'!Z8,MS!Z8,'MC + Vân hồ'!Z8,YC!Z8,PY!Z8,BY!Z8,SM!Z8,SC!Z8,TC!Z8,ML!Z8,QN!Z8,XL!Z8,'XL (BHTP1)'!Z8,'XL (BHTP2)'!Z8)</f>
        <v>0</v>
      </c>
      <c r="AA8" s="13">
        <f>SUM('TP1'!AA8,'TP2'!AA8,MS!AA8,'MC + Vân hồ'!AA8,YC!AA8,PY!AA8,BY!AA8,SM!AA8,SC!AA8,TC!AA8,ML!AA8,QN!AA8,XL!AA8,'XL (BHTP1)'!AA8,'XL (BHTP2)'!AA8)</f>
        <v>0</v>
      </c>
      <c r="AB8" s="13">
        <f>SUM('TP1'!AB8,'TP2'!AB8,MS!AB8,'MC + Vân hồ'!AB8,YC!AB8,PY!AB8,BY!AB8,SM!AB8,SC!AB8,TC!AB8,ML!AB8,QN!AB8,XL!AB8,'XL (BHTP1)'!AB8,'XL (BHTP2)'!AB8)</f>
        <v>0</v>
      </c>
      <c r="AC8" s="13">
        <f>SUM('TP1'!AC8,'TP2'!AC8,MS!AC8,'MC + Vân hồ'!AC8,YC!AC8,PY!AC8,BY!AC8,SM!AC8,SC!AC8,TC!AC8,ML!AC8,QN!AC8,XL!AC8,'XL (BHTP1)'!AC8,'XL (BHTP2)'!AC8)</f>
        <v>0</v>
      </c>
      <c r="AD8" s="13">
        <f>SUM('TP1'!AD8,'TP2'!AD8,MS!AD8,'MC + Vân hồ'!AD8,YC!AD8,PY!AD8,BY!AD8,SM!AD8,SC!AD8,TC!AD8,ML!AD8,QN!AD8,XL!AD8,'XL (BHTP1)'!AD8,'XL (BHTP2)'!AD8)</f>
        <v>0</v>
      </c>
      <c r="AE8" s="13">
        <f>SUM('TP1'!AE8,'TP2'!AE8,MS!AE8,'MC + Vân hồ'!AE8,YC!AE8,PY!AE8,BY!AE8,SM!AE8,SC!AE8,TC!AE8,ML!AE8,QN!AE8,XL!AE8,'XL (BHTP1)'!AE8,'XL (BHTP2)'!AE8)</f>
        <v>0</v>
      </c>
      <c r="AF8" s="13">
        <f>SUM('TP1'!AF8,'TP2'!AF8,MS!AF8,'MC + Vân hồ'!AF8,YC!AF8,PY!AF8,BY!AF8,SM!AF8,SC!AF8,TC!AF8,ML!AF8,QN!AF8,XL!AF8,'XL (BHTP1)'!AF8,'XL (BHTP2)'!AF8)</f>
        <v>0</v>
      </c>
      <c r="AG8" s="13">
        <f>SUM('TP1'!AG8,'TP2'!AG8,MS!AG8,'MC + Vân hồ'!AG8,YC!AG8,PY!AG8,BY!AG8,SM!AG8,SC!AG8,TC!AG8,ML!AG8,QN!AG8,XL!AG8,'XL (BHTP1)'!AG8,'XL (BHTP2)'!AG8)</f>
        <v>0</v>
      </c>
      <c r="AH8" s="13">
        <f>SUM('TP1'!AH8,'TP2'!AH8,MS!AH8,'MC + Vân hồ'!AH8,YC!AH8,PY!AH8,BY!AH8,SM!AH8,SC!AH8,TC!AH8,ML!AH8,QN!AH8,XL!AH8,'XL (BHTP1)'!AH8,'XL (BHTP2)'!AH8)</f>
        <v>0</v>
      </c>
      <c r="AI8" s="13">
        <f>SUM('TP1'!AI8,'TP2'!AI8,MS!AI8,'MC + Vân hồ'!AI8,YC!AI8,PY!AI8,BY!AI8,SM!AI8,SC!AI8,TC!AI8,ML!AI8,QN!AI8,XL!AI8,'XL (BHTP1)'!AI8,'XL (BHTP2)'!AI8)</f>
        <v>0</v>
      </c>
      <c r="AJ8" s="13">
        <f>SUM('TP1'!AJ8,'TP2'!AJ8,MS!AJ8,'MC + Vân hồ'!AJ8,YC!AJ8,PY!AJ8,BY!AJ8,SM!AJ8,SC!AJ8,TC!AJ8,ML!AJ8,QN!AJ8,XL!AJ8,'XL (BHTP1)'!AJ8,'XL (BHTP2)'!AJ8)</f>
        <v>0</v>
      </c>
      <c r="AK8" s="13">
        <f>SUM('TP1'!AK8,'TP2'!AK8,MS!AK8,'MC + Vân hồ'!AK8,YC!AK8,PY!AK8,BY!AK8,SM!AK8,SC!AK8,TC!AK8,ML!AK8,QN!AK8,XL!AK8,'XL (BHTP1)'!AK8,'XL (BHTP2)'!AK8)</f>
        <v>0</v>
      </c>
      <c r="AL8" s="13">
        <f>SUM('TP1'!AL8,'TP2'!AL8,MS!AL8,'MC + Vân hồ'!AL8,YC!AL8,PY!AL8,BY!AL8,SM!AL8,SC!AL8,TC!AL8,ML!AL8,QN!AL8,XL!AL8,'XL (BHTP1)'!AL8,'XL (BHTP2)'!AL8)</f>
        <v>0</v>
      </c>
      <c r="AM8" s="13">
        <f>SUM('TP1'!AM8,'TP2'!AM8,MS!AM8,'MC + Vân hồ'!AM8,YC!AM8,PY!AM8,BY!AM8,SM!AM8,SC!AM8,TC!AM8,ML!AM8,QN!AM8,XL!AM8,'XL (BHTP1)'!AM8,'XL (BHTP2)'!AM8)</f>
        <v>0</v>
      </c>
      <c r="AN8" s="13">
        <f>SUM('TP1'!AN8,'TP2'!AN8,MS!AN8,'MC + Vân hồ'!AN8,YC!AN8,PY!AN8,BY!AN8,SM!AN8,SC!AN8,TC!AN8,ML!AN8,QN!AN8,XL!AN8,'XL (BHTP1)'!AN8,'XL (BHTP2)'!AN8)</f>
        <v>0</v>
      </c>
      <c r="AO8" s="13">
        <f>SUM('TP1'!AO8,'TP2'!AO8,MS!AO8,'MC + Vân hồ'!AO8,YC!AO8,PY!AO8,BY!AO8,SM!AO8,SC!AO8,TC!AO8,ML!AO8,QN!AO8,XL!AO8,'XL (BHTP1)'!AO8,'XL (BHTP2)'!AO8)</f>
        <v>0</v>
      </c>
      <c r="AP8" s="13">
        <f>SUM('TP1'!AP8,'TP2'!AP8,MS!AP8,'MC + Vân hồ'!AP8,YC!AP8,PY!AP8,BY!AP8,SM!AP8,SC!AP8,TC!AP8,ML!AP8,QN!AP8,XL!AP8,'XL (BHTP1)'!AP8,'XL (BHTP2)'!AP8)</f>
        <v>0</v>
      </c>
      <c r="AQ8" s="13">
        <f>SUM('TP1'!AQ8,'TP2'!AQ8,MS!AQ8,'MC + Vân hồ'!AQ8,YC!AQ8,PY!AQ8,BY!AQ8,SM!AQ8,SC!AQ8,TC!AQ8,ML!AQ8,QN!AQ8,XL!AQ8,'XL (BHTP1)'!AQ8,'XL (BHTP2)'!AQ8)</f>
        <v>0</v>
      </c>
      <c r="AR8" s="13">
        <f>SUM('TP1'!AR8,'TP2'!AR8,MS!AR8,'MC + Vân hồ'!AR8,YC!AR8,PY!AR8,BY!AR8,SM!AR8,SC!AR8,TC!AR8,ML!AR8,QN!AR8,XL!AR8,'XL (BHTP1)'!AR8,'XL (BHTP2)'!AR8)</f>
        <v>0</v>
      </c>
      <c r="AS8" s="13">
        <f>SUM('TP1'!AS8,'TP2'!AS8,MS!AS8,'MC + Vân hồ'!AS8,YC!AS8,PY!AS8,BY!AS8,SM!AS8,SC!AS8,TC!AS8,ML!AS8,QN!AS8,XL!AS8,'XL (BHTP1)'!AS8,'XL (BHTP2)'!AS8)</f>
        <v>0</v>
      </c>
      <c r="AT8" s="13">
        <f>SUM('TP1'!AT8,'TP2'!AT8,MS!AT8,'MC + Vân hồ'!AT8,YC!AT8,PY!AT8,BY!AT8,SM!AT8,SC!AT8,TC!AT8,ML!AT8,QN!AT8,XL!AT8,'XL (BHTP1)'!AT8,'XL (BHTP2)'!AT8)</f>
        <v>0</v>
      </c>
      <c r="AU8" s="13">
        <f>SUM('TP1'!AU8,'TP2'!AU8,MS!AU8,'MC + Vân hồ'!AU8,YC!AU8,PY!AU8,BY!AU8,SM!AU8,SC!AU8,TC!AU8,ML!AU8,QN!AU8,XL!AU8,'XL (BHTP1)'!AU8,'XL (BHTP2)'!AU8)</f>
        <v>0</v>
      </c>
      <c r="AV8" s="13">
        <f>SUM('TP1'!AV8,'TP2'!AV8,MS!AV8,'MC + Vân hồ'!AV8,YC!AV8,PY!AV8,BY!AV8,SM!AV8,SC!AV8,TC!AV8,ML!AV8,QN!AV8,XL!AV8,'XL (BHTP1)'!AV8,'XL (BHTP2)'!AV8)</f>
        <v>0</v>
      </c>
      <c r="AW8" s="13">
        <f>SUM('TP1'!AW8,'TP2'!AW8,MS!AW8,'MC + Vân hồ'!AW8,YC!AW8,PY!AW8,BY!AW8,SM!AW8,SC!AW8,TC!AW8,ML!AW8,QN!AW8,XL!AW8,'XL (BHTP1)'!AW8,'XL (BHTP2)'!AW8)</f>
        <v>0</v>
      </c>
      <c r="AX8" s="13">
        <f>SUM('TP1'!AX8,'TP2'!AX8,MS!AX8,'MC + Vân hồ'!AX8,YC!AX8,PY!AX8,BY!AX8,SM!AX8,SC!AX8,TC!AX8,ML!AX8,QN!AX8,XL!AX8,'XL (BHTP1)'!AX8,'XL (BHTP2)'!AX8)</f>
        <v>0</v>
      </c>
      <c r="AY8" s="13">
        <f>SUM('TP1'!AY8,'TP2'!AY8,MS!AY8,'MC + Vân hồ'!AY8,YC!AY8,PY!AY8,BY!AY8,SM!AY8,SC!AY8,TC!AY8,ML!AY8,QN!AY8,XL!AY8,'XL (BHTP1)'!AY8,'XL (BHTP2)'!AY8)</f>
        <v>0</v>
      </c>
      <c r="AZ8" s="13">
        <f>SUM('TP1'!AZ8,'TP2'!AZ8,MS!AZ8,'MC + Vân hồ'!AZ8,YC!AZ8,PY!AZ8,BY!AZ8,SM!AZ8,SC!AZ8,TC!AZ8,ML!AZ8,QN!AZ8,XL!AZ8,'XL (BHTP1)'!AZ8,'XL (BHTP2)'!AZ8)</f>
        <v>0</v>
      </c>
      <c r="BA8" s="13">
        <f>SUM('TP1'!BA8,'TP2'!BA8,MS!BA8,'MC + Vân hồ'!BA8,YC!BA8,PY!BA8,BY!BA8,SM!BA8,SC!BA8,TC!BA8,ML!BA8,QN!BA8,XL!BA8,'XL (BHTP1)'!BA8,'XL (BHTP2)'!BA8)</f>
        <v>0</v>
      </c>
      <c r="BB8" s="13">
        <f>SUM('TP1'!BB8,'TP2'!BB8,MS!BB8,'MC + Vân hồ'!BB8,YC!BB8,PY!BB8,BY!BB8,SM!BB8,SC!BB8,TC!BB8,ML!BB8,QN!BB8,XL!BB8,'XL (BHTP1)'!BB8,'XL (BHTP2)'!BB8)</f>
        <v>0</v>
      </c>
      <c r="BC8" s="13">
        <f>SUM('TP1'!BC8,'TP2'!BC8,MS!BC8,'MC + Vân hồ'!BC8,YC!BC8,PY!BC8,BY!BC8,SM!BC8,SC!BC8,TC!BC8,ML!BC8,QN!BC8,XL!BC8,'XL (BHTP1)'!BC8,'XL (BHTP2)'!BC8)</f>
        <v>0</v>
      </c>
      <c r="BD8" s="13">
        <f>SUM('TP1'!BD8,'TP2'!BD8,MS!BD8,'MC + Vân hồ'!BD8,YC!BD8,PY!BD8,BY!BD8,SM!BD8,SC!BD8,TC!BD8,ML!BD8,QN!BD8,XL!BD8,'XL (BHTP1)'!BD8,'XL (BHTP2)'!BD8)</f>
        <v>0</v>
      </c>
      <c r="BE8" s="13">
        <f>SUM('TP1'!BE8,'TP2'!BE8,MS!BE8,'MC + Vân hồ'!BE8,YC!BE8,PY!BE8,BY!BE8,SM!BE8,SC!BE8,TC!BE8,ML!BE8,QN!BE8,XL!BE8,'XL (BHTP1)'!BE8,'XL (BHTP2)'!BE8)</f>
        <v>0</v>
      </c>
      <c r="BF8" s="13">
        <f>SUM('TP1'!BF8,'TP2'!BF8,MS!BF8,'MC + Vân hồ'!BF8,YC!BF8,PY!BF8,BY!BF8,SM!BF8,SC!BF8,TC!BF8,ML!BF8,QN!BF8,XL!BF8,'XL (BHTP1)'!BF8,'XL (BHTP2)'!BF8)</f>
        <v>0</v>
      </c>
      <c r="BG8" s="13">
        <f>SUM('TP1'!BG8,'TP2'!BG8,MS!BG8,'MC + Vân hồ'!BG8,YC!BG8,PY!BG8,BY!BG8,SM!BG8,SC!BG8,TC!BG8,ML!BG8,QN!BG8,XL!BG8,'XL (BHTP1)'!BG8,'XL (BHTP2)'!BG8)</f>
        <v>0</v>
      </c>
      <c r="BH8" s="13">
        <f>SUM('TP1'!BH8,'TP2'!BH8,MS!BH8,'MC + Vân hồ'!BH8,YC!BH8,PY!BH8,BY!BH8,SM!BH8,SC!BH8,TC!BH8,ML!BH8,QN!BH8,XL!BH8,'XL (BHTP1)'!BH8,'XL (BHTP2)'!BH8)</f>
        <v>0</v>
      </c>
      <c r="BI8" s="13">
        <f>SUM('TP1'!BI8,'TP2'!BI8,MS!BI8,'MC + Vân hồ'!BI8,YC!BI8,PY!BI8,BY!BI8,SM!BI8,SC!BI8,TC!BI8,ML!BI8,QN!BI8,XL!BI8,'XL (BHTP1)'!BI8,'XL (BHTP2)'!BI8)</f>
        <v>0</v>
      </c>
      <c r="BJ8" s="13">
        <f>SUM('TP1'!BJ8,'TP2'!BJ8,MS!BJ8,'MC + Vân hồ'!BJ8,YC!BJ8,PY!BJ8,BY!BJ8,SM!BJ8,SC!BJ8,TC!BJ8,ML!BJ8,QN!BJ8,XL!BJ8,'XL (BHTP1)'!BJ8,'XL (BHTP2)'!BJ8)</f>
        <v>0</v>
      </c>
      <c r="BK8" s="13">
        <f>SUM('TP1'!BK8,'TP2'!BK8,MS!BK8,'MC + Vân hồ'!BK8,YC!BK8,PY!BK8,BY!BK8,SM!BK8,SC!BK8,TC!BK8,ML!BK8,QN!BK8,XL!BK8,'XL (BHTP1)'!BK8,'XL (BHTP2)'!BK8)</f>
        <v>0</v>
      </c>
      <c r="BL8" s="13">
        <f>SUM('TP1'!BL8,'TP2'!BL8,MS!BL8,'MC + Vân hồ'!BL8,YC!BL8,PY!BL8,BY!BL8,SM!BL8,SC!BL8,TC!BL8,ML!BL8,QN!BL8,XL!BL8,'XL (BHTP1)'!BL8,'XL (BHTP2)'!BL8)</f>
        <v>0</v>
      </c>
      <c r="BM8" s="13">
        <f>SUM('TP1'!BM8,'TP2'!BM8,MS!BM8,'MC + Vân hồ'!BM8,YC!BM8,PY!BM8,BY!BM8,SM!BM8,SC!BM8,TC!BM8,ML!BM8,QN!BM8,XL!BM8,'XL (BHTP1)'!BM8,'XL (BHTP2)'!BM8)</f>
        <v>0</v>
      </c>
      <c r="BN8" s="13">
        <f>SUM('TP1'!BN8,'TP2'!BN8,MS!BN8,'MC + Vân hồ'!BN8,YC!BN8,PY!BN8,BY!BN8,SM!BN8,SC!BN8,TC!BN8,ML!BN8,QN!BN8,XL!BN8,'XL (BHTP1)'!BN8,'XL (BHTP2)'!BN8)</f>
        <v>0</v>
      </c>
      <c r="BO8" s="13">
        <f>SUM('TP1'!BO8,'TP2'!BO8,MS!BO8,'MC + Vân hồ'!BO8,YC!BO8,PY!BO8,BY!BO8,SM!BO8,SC!BO8,TC!BO8,ML!BO8,QN!BO8,XL!BO8,'XL (BHTP1)'!BO8,'XL (BHTP2)'!BO8)</f>
        <v>0</v>
      </c>
      <c r="BP8" s="13">
        <f>SUM('TP1'!BP8,'TP2'!BP8,MS!BP8,'MC + Vân hồ'!BP8,YC!BP8,PY!BP8,BY!BP8,SM!BP8,SC!BP8,TC!BP8,ML!BP8,QN!BP8,XL!BP8,'XL (BHTP1)'!BP8,'XL (BHTP2)'!BP8)</f>
        <v>0</v>
      </c>
      <c r="BQ8" s="13">
        <f>SUM('TP1'!BQ8,'TP2'!BQ8,MS!BQ8,'MC + Vân hồ'!BQ8,YC!BQ8,PY!BQ8,BY!BQ8,SM!BQ8,SC!BQ8,TC!BQ8,ML!BQ8,QN!BQ8,XL!BQ8,'XL (BHTP1)'!BQ8,'XL (BHTP2)'!BQ8)</f>
        <v>0</v>
      </c>
      <c r="BR8" s="13">
        <f>SUM('TP1'!BR8,'TP2'!BR8,MS!BR8,'MC + Vân hồ'!BR8,YC!BR8,PY!BR8,BY!BR8,SM!BR8,SC!BR8,TC!BR8,ML!BR8,QN!BR8,XL!BR8,'XL (BHTP1)'!BR8,'XL (BHTP2)'!BR8)</f>
        <v>0</v>
      </c>
      <c r="BS8" s="13">
        <f>SUM('TP1'!BS8,'TP2'!BS8,MS!BS8,'MC + Vân hồ'!BS8,YC!BS8,PY!BS8,BY!BS8,SM!BS8,SC!BS8,TC!BS8,ML!BS8,QN!BS8,XL!BS8,'XL (BHTP1)'!BS8,'XL (BHTP2)'!BS8)</f>
        <v>0</v>
      </c>
      <c r="BT8" s="13">
        <f>SUM('TP1'!BT8,'TP2'!BT8,MS!BT8,'MC + Vân hồ'!BT8,YC!BT8,PY!BT8,BY!BT8,SM!BT8,SC!BT8,TC!BT8,ML!BT8,QN!BT8,XL!BT8,'XL (BHTP1)'!BT8,'XL (BHTP2)'!BT8)</f>
        <v>0</v>
      </c>
      <c r="BU8" s="13">
        <f>SUM('TP1'!BU8,'TP2'!BU8,MS!BU8,'MC + Vân hồ'!BU8,YC!BU8,PY!BU8,BY!BU8,SM!BU8,SC!BU8,TC!BU8,ML!BU8,QN!BU8,XL!BU8,'XL (BHTP1)'!BU8,'XL (BHTP2)'!BU8)</f>
        <v>0</v>
      </c>
      <c r="BV8" s="13">
        <f>SUM('TP1'!BV8,'TP2'!BV8,MS!BV8,'MC + Vân hồ'!BV8,YC!BV8,PY!BV8,BY!BV8,SM!BV8,SC!BV8,TC!BV8,ML!BV8,QN!BV8,XL!BV8,'XL (BHTP1)'!BV8,'XL (BHTP2)'!BV8)</f>
        <v>0</v>
      </c>
      <c r="BW8" s="13">
        <f>SUM('TP1'!BW8,'TP2'!BW8,MS!BW8,'MC + Vân hồ'!BW8,YC!BW8,PY!BW8,BY!BW8,SM!BW8,SC!BW8,TC!BW8,ML!BW8,QN!BW8,XL!BW8,'XL (BHTP1)'!BW8,'XL (BHTP2)'!BW8)</f>
        <v>0</v>
      </c>
      <c r="BX8" s="13">
        <f>SUM('TP1'!BX8,'TP2'!BX8,MS!BX8,'MC + Vân hồ'!BX8,YC!BX8,PY!BX8,BY!BX8,SM!BX8,SC!BX8,TC!BX8,ML!BX8,QN!BX8,XL!BX8,'XL (BHTP1)'!BX8,'XL (BHTP2)'!BX8)</f>
        <v>0</v>
      </c>
      <c r="BY8" s="13">
        <f>SUM('TP1'!BY8,'TP2'!BY8,MS!BY8,'MC + Vân hồ'!BY8,YC!BY8,PY!BY8,BY!BY8,SM!BY8,SC!BY8,TC!BY8,ML!BY8,QN!BY8,XL!BY8,'XL (BHTP1)'!BY8,'XL (BHTP2)'!BY8)</f>
        <v>0</v>
      </c>
      <c r="BZ8" s="13">
        <f>SUM('TP1'!BZ8,'TP2'!BZ8,MS!BZ8,'MC + Vân hồ'!BZ8,YC!BZ8,PY!BZ8,BY!BZ8,SM!BZ8,SC!BZ8,TC!BZ8,ML!BZ8,QN!BZ8,XL!BZ8,'XL (BHTP1)'!BZ8,'XL (BHTP2)'!BZ8)</f>
        <v>0</v>
      </c>
      <c r="CA8" s="13">
        <f>SUM('TP1'!CA8,'TP2'!CA8,MS!CA8,'MC + Vân hồ'!CA8,YC!CA8,PY!CA8,BY!CA8,SM!CA8,SC!CA8,TC!CA8,ML!CA8,QN!CA8,XL!CA8,'XL (BHTP1)'!CA8,'XL (BHTP2)'!CA8)</f>
        <v>0</v>
      </c>
      <c r="CB8" s="13">
        <f>SUM('TP1'!CB8,'TP2'!CB8,MS!CB8,'MC + Vân hồ'!CB8,YC!CB8,PY!CB8,BY!CB8,SM!CB8,SC!CB8,TC!CB8,ML!CB8,QN!CB8,XL!CB8,'XL (BHTP1)'!CB8,'XL (BHTP2)'!CB8)</f>
        <v>0</v>
      </c>
      <c r="CC8" s="13">
        <f>SUM('TP1'!CC8,'TP2'!CC8,MS!CC8,'MC + Vân hồ'!CC8,YC!CC8,PY!CC8,BY!CC8,SM!CC8,SC!CC8,TC!CC8,ML!CC8,QN!CC8,XL!CC8,'XL (BHTP1)'!CC8,'XL (BHTP2)'!CC8)</f>
        <v>0</v>
      </c>
      <c r="CD8" s="13">
        <f>SUM('TP1'!CD8,'TP2'!CD8,MS!CD8,'MC + Vân hồ'!CD8,YC!CD8,PY!CD8,BY!CD8,SM!CD8,SC!CD8,TC!CD8,ML!CD8,QN!CD8,XL!CD8,'XL (BHTP1)'!CD8,'XL (BHTP2)'!CD8)</f>
        <v>0</v>
      </c>
      <c r="CE8" s="13">
        <f>SUM('TP1'!CE8,'TP2'!CE8,MS!CE8,'MC + Vân hồ'!CE8,YC!CE8,PY!CE8,BY!CE8,SM!CE8,SC!CE8,TC!CE8,ML!CE8,QN!CE8,XL!CE8,'XL (BHTP1)'!CE8,'XL (BHTP2)'!CE8)</f>
        <v>0</v>
      </c>
      <c r="CF8" s="13">
        <f>SUM('TP1'!CF8,'TP2'!CF8,MS!CF8,'MC + Vân hồ'!CF8,YC!CF8,PY!CF8,BY!CF8,SM!CF8,SC!CF8,TC!CF8,ML!CF8,QN!CF8,XL!CF8,'XL (BHTP1)'!CF8,'XL (BHTP2)'!CF8)</f>
        <v>0</v>
      </c>
      <c r="CG8" s="13">
        <f>SUM('TP1'!CG8,'TP2'!CG8,MS!CG8,'MC + Vân hồ'!CG8,YC!CG8,PY!CG8,BY!CG8,SM!CG8,SC!CG8,TC!CG8,ML!CG8,QN!CG8,XL!CG8,'XL (BHTP1)'!CG8,'XL (BHTP2)'!CG8)</f>
        <v>0</v>
      </c>
      <c r="CH8" s="13">
        <f>SUM('TP1'!CH8,'TP2'!CH8,MS!CH8,'MC + Vân hồ'!CH8,YC!CH8,PY!CH8,BY!CH8,SM!CH8,SC!CH8,TC!CH8,ML!CH8,QN!CH8,XL!CH8,'XL (BHTP1)'!CH8,'XL (BHTP2)'!CH8)</f>
        <v>0</v>
      </c>
      <c r="CI8" s="13">
        <f>SUM('TP1'!CI8,'TP2'!CI8,MS!CI8,'MC + Vân hồ'!CI8,YC!CI8,PY!CI8,BY!CI8,SM!CI8,SC!CI8,TC!CI8,ML!CI8,QN!CI8,XL!CI8,'XL (BHTP1)'!CI8,'XL (BHTP2)'!CI8)</f>
        <v>0</v>
      </c>
      <c r="CJ8" s="13">
        <f>SUM('TP1'!CJ8,'TP2'!CJ8,MS!CJ8,'MC + Vân hồ'!CJ8,YC!CJ8,PY!CJ8,BY!CJ8,SM!CJ8,SC!CJ8,TC!CJ8,ML!CJ8,QN!CJ8,XL!CJ8,'XL (BHTP1)'!CJ8,'XL (BHTP2)'!CJ8)</f>
        <v>0</v>
      </c>
      <c r="CK8" s="73">
        <f t="shared" ref="CK8:CQ8" si="4">SUM(E8,L8,S8,Z8,AG8,AN8,AU8,BB8,BI8,BP8,BW8,CD8)</f>
        <v>0</v>
      </c>
      <c r="CL8" s="73">
        <f t="shared" si="4"/>
        <v>0</v>
      </c>
      <c r="CM8" s="73">
        <f t="shared" si="4"/>
        <v>0</v>
      </c>
      <c r="CN8" s="73">
        <f t="shared" si="4"/>
        <v>0</v>
      </c>
      <c r="CO8" s="73">
        <f t="shared" si="4"/>
        <v>0</v>
      </c>
      <c r="CP8" s="73">
        <f t="shared" si="4"/>
        <v>0</v>
      </c>
      <c r="CQ8" s="73">
        <f t="shared" si="4"/>
        <v>0</v>
      </c>
      <c r="CR8" s="56"/>
      <c r="CS8" s="56">
        <f t="shared" si="3"/>
        <v>0</v>
      </c>
    </row>
    <row r="9" outlineLevel="1">
      <c r="B9" s="12" t="s">
        <v>30</v>
      </c>
      <c r="C9" s="23" t="s">
        <v>31</v>
      </c>
      <c r="D9" s="12" t="s">
        <v>26</v>
      </c>
      <c r="E9" s="13">
        <f>SUM('TP1'!E9,'TP2'!E9,MS!E9,'MC + Vân hồ'!E9,YC!E9,PY!E9,BY!E9,SM!E9,SC!E9,TC!E9,ML!E9,QN!E9,XL!E9,'XL (BHTP1)'!E9,'XL (BHTP2)'!E9)</f>
        <v>0</v>
      </c>
      <c r="F9" s="13">
        <f>SUM('TP1'!F9,'TP2'!F9,MS!F9,'MC + Vân hồ'!F9,YC!F9,PY!F9,BY!F9,SM!F9,SC!F9,TC!F9,ML!F9,QN!F9,XL!F9,'XL (BHTP1)'!F9,'XL (BHTP2)'!F9)</f>
        <v>0</v>
      </c>
      <c r="G9" s="13">
        <f>SUM('TP1'!G9,'TP2'!G9,MS!G9,'MC + Vân hồ'!G9,YC!G9,PY!G9,BY!G9,SM!G9,SC!G9,TC!G9,ML!G9,QN!G9,XL!G9,'XL (BHTP1)'!G9,'XL (BHTP2)'!G9)</f>
        <v>0</v>
      </c>
      <c r="H9" s="13">
        <f>SUM('TP1'!H9,'TP2'!H9,MS!H9,'MC + Vân hồ'!H9,YC!H9,PY!H9,BY!H9,SM!H9,SC!H9,TC!H9,ML!H9,QN!H9,XL!H9,'XL (BHTP1)'!H9,'XL (BHTP2)'!H9)</f>
        <v>0</v>
      </c>
      <c r="I9" s="13">
        <f>SUM('TP1'!I9,'TP2'!I9,MS!I9,'MC + Vân hồ'!I9,YC!I9,PY!I9,BY!I9,SM!I9,SC!I9,TC!I9,ML!I9,QN!I9,XL!I9,'XL (BHTP1)'!I9,'XL (BHTP2)'!I9)</f>
        <v>0</v>
      </c>
      <c r="J9" s="13">
        <f>SUM('TP1'!J9,'TP2'!J9,MS!J9,'MC + Vân hồ'!J9,YC!J9,PY!J9,BY!J9,SM!J9,SC!J9,TC!J9,ML!J9,QN!J9,XL!J9,'XL (BHTP1)'!J9,'XL (BHTP2)'!J9)</f>
        <v>0</v>
      </c>
      <c r="K9" s="13">
        <f>SUM('TP1'!K9,'TP2'!K9,MS!K9,'MC + Vân hồ'!K9,YC!K9,PY!K9,BY!K9,SM!K9,SC!K9,TC!K9,ML!K9,QN!K9,XL!K9,'XL (BHTP1)'!K9,'XL (BHTP2)'!K9)</f>
        <v>0</v>
      </c>
      <c r="L9" s="13">
        <f>SUM('TP1'!L9,'TP2'!L9,MS!L9,'MC + Vân hồ'!L9,YC!L9,PY!L9,BY!L9,SM!L9,SC!L9,TC!L9,ML!L9,QN!L9,XL!L9,'XL (BHTP1)'!L9,'XL (BHTP2)'!L9)</f>
        <v>0</v>
      </c>
      <c r="M9" s="13">
        <f>SUM('TP1'!M9,'TP2'!M9,MS!M9,'MC + Vân hồ'!M9,YC!M9,PY!M9,BY!M9,SM!M9,SC!M9,TC!M9,ML!M9,QN!M9,XL!M9,'XL (BHTP1)'!M9,'XL (BHTP2)'!M9)</f>
        <v>0</v>
      </c>
      <c r="N9" s="13">
        <f>SUM('TP1'!N9,'TP2'!N9,MS!N9,'MC + Vân hồ'!N9,YC!N9,PY!N9,BY!N9,SM!N9,SC!N9,TC!N9,ML!N9,QN!N9,XL!N9,'XL (BHTP1)'!N9,'XL (BHTP2)'!N9)</f>
        <v>0</v>
      </c>
      <c r="O9" s="13">
        <f>SUM('TP1'!O9,'TP2'!O9,MS!O9,'MC + Vân hồ'!O9,YC!O9,PY!O9,BY!O9,SM!O9,SC!O9,TC!O9,ML!O9,QN!O9,XL!O9,'XL (BHTP1)'!O9,'XL (BHTP2)'!O9)</f>
        <v>0</v>
      </c>
      <c r="P9" s="13">
        <f>SUM('TP1'!P9,'TP2'!P9,MS!P9,'MC + Vân hồ'!P9,YC!P9,PY!P9,BY!P9,SM!P9,SC!P9,TC!P9,ML!P9,QN!P9,XL!P9,'XL (BHTP1)'!P9,'XL (BHTP2)'!P9)</f>
        <v>0</v>
      </c>
      <c r="Q9" s="13">
        <f>SUM('TP1'!Q9,'TP2'!Q9,MS!Q9,'MC + Vân hồ'!Q9,YC!Q9,PY!Q9,BY!Q9,SM!Q9,SC!Q9,TC!Q9,ML!Q9,QN!Q9,XL!Q9,'XL (BHTP1)'!Q9,'XL (BHTP2)'!Q9)</f>
        <v>0</v>
      </c>
      <c r="R9" s="13">
        <f>SUM('TP1'!R9,'TP2'!R9,MS!R9,'MC + Vân hồ'!R9,YC!R9,PY!R9,BY!R9,SM!R9,SC!R9,TC!R9,ML!R9,QN!R9,XL!R9,'XL (BHTP1)'!R9,'XL (BHTP2)'!R9)</f>
        <v>0</v>
      </c>
      <c r="S9" s="13">
        <f>SUM('TP1'!S9,'TP2'!S9,MS!S9,'MC + Vân hồ'!S9,YC!S9,PY!S9,BY!S9,SM!S9,SC!S9,TC!S9,ML!S9,QN!S9,XL!S9,'XL (BHTP1)'!S9,'XL (BHTP2)'!S9)</f>
        <v>0</v>
      </c>
      <c r="T9" s="13">
        <f>SUM('TP1'!T9,'TP2'!T9,MS!T9,'MC + Vân hồ'!T9,YC!T9,PY!T9,BY!T9,SM!T9,SC!T9,TC!T9,ML!T9,QN!T9,XL!T9,'XL (BHTP1)'!T9,'XL (BHTP2)'!T9)</f>
        <v>0</v>
      </c>
      <c r="U9" s="13">
        <f>SUM('TP1'!U9,'TP2'!U9,MS!U9,'MC + Vân hồ'!U9,YC!U9,PY!U9,BY!U9,SM!U9,SC!U9,TC!U9,ML!U9,QN!U9,XL!U9,'XL (BHTP1)'!U9,'XL (BHTP2)'!U9)</f>
        <v>0</v>
      </c>
      <c r="V9" s="13">
        <f>SUM('TP1'!V9,'TP2'!V9,MS!V9,'MC + Vân hồ'!V9,YC!V9,PY!V9,BY!V9,SM!V9,SC!V9,TC!V9,ML!V9,QN!V9,XL!V9,'XL (BHTP1)'!V9,'XL (BHTP2)'!V9)</f>
        <v>0</v>
      </c>
      <c r="W9" s="13">
        <f>SUM('TP1'!W9,'TP2'!W9,MS!W9,'MC + Vân hồ'!W9,YC!W9,PY!W9,BY!W9,SM!W9,SC!W9,TC!W9,ML!W9,QN!W9,XL!W9,'XL (BHTP1)'!W9,'XL (BHTP2)'!W9)</f>
        <v>0</v>
      </c>
      <c r="X9" s="13">
        <f>SUM('TP1'!X9,'TP2'!X9,MS!X9,'MC + Vân hồ'!X9,YC!X9,PY!X9,BY!X9,SM!X9,SC!X9,TC!X9,ML!X9,QN!X9,XL!X9,'XL (BHTP1)'!X9,'XL (BHTP2)'!X9)</f>
        <v>0</v>
      </c>
      <c r="Y9" s="13">
        <f>SUM('TP1'!Y9,'TP2'!Y9,MS!Y9,'MC + Vân hồ'!Y9,YC!Y9,PY!Y9,BY!Y9,SM!Y9,SC!Y9,TC!Y9,ML!Y9,QN!Y9,XL!Y9,'XL (BHTP1)'!Y9,'XL (BHTP2)'!Y9)</f>
        <v>0</v>
      </c>
      <c r="Z9" s="13">
        <f>SUM('TP1'!Z9,'TP2'!Z9,MS!Z9,'MC + Vân hồ'!Z9,YC!Z9,PY!Z9,BY!Z9,SM!Z9,SC!Z9,TC!Z9,ML!Z9,QN!Z9,XL!Z9,'XL (BHTP1)'!Z9,'XL (BHTP2)'!Z9)</f>
        <v>0</v>
      </c>
      <c r="AA9" s="13">
        <f>SUM('TP1'!AA9,'TP2'!AA9,MS!AA9,'MC + Vân hồ'!AA9,YC!AA9,PY!AA9,BY!AA9,SM!AA9,SC!AA9,TC!AA9,ML!AA9,QN!AA9,XL!AA9,'XL (BHTP1)'!AA9,'XL (BHTP2)'!AA9)</f>
        <v>0</v>
      </c>
      <c r="AB9" s="13">
        <f>SUM('TP1'!AB9,'TP2'!AB9,MS!AB9,'MC + Vân hồ'!AB9,YC!AB9,PY!AB9,BY!AB9,SM!AB9,SC!AB9,TC!AB9,ML!AB9,QN!AB9,XL!AB9,'XL (BHTP1)'!AB9,'XL (BHTP2)'!AB9)</f>
        <v>0</v>
      </c>
      <c r="AC9" s="13">
        <f>SUM('TP1'!AC9,'TP2'!AC9,MS!AC9,'MC + Vân hồ'!AC9,YC!AC9,PY!AC9,BY!AC9,SM!AC9,SC!AC9,TC!AC9,ML!AC9,QN!AC9,XL!AC9,'XL (BHTP1)'!AC9,'XL (BHTP2)'!AC9)</f>
        <v>0</v>
      </c>
      <c r="AD9" s="13">
        <f>SUM('TP1'!AD9,'TP2'!AD9,MS!AD9,'MC + Vân hồ'!AD9,YC!AD9,PY!AD9,BY!AD9,SM!AD9,SC!AD9,TC!AD9,ML!AD9,QN!AD9,XL!AD9,'XL (BHTP1)'!AD9,'XL (BHTP2)'!AD9)</f>
        <v>0</v>
      </c>
      <c r="AE9" s="13">
        <f>SUM('TP1'!AE9,'TP2'!AE9,MS!AE9,'MC + Vân hồ'!AE9,YC!AE9,PY!AE9,BY!AE9,SM!AE9,SC!AE9,TC!AE9,ML!AE9,QN!AE9,XL!AE9,'XL (BHTP1)'!AE9,'XL (BHTP2)'!AE9)</f>
        <v>0</v>
      </c>
      <c r="AF9" s="13">
        <f>SUM('TP1'!AF9,'TP2'!AF9,MS!AF9,'MC + Vân hồ'!AF9,YC!AF9,PY!AF9,BY!AF9,SM!AF9,SC!AF9,TC!AF9,ML!AF9,QN!AF9,XL!AF9,'XL (BHTP1)'!AF9,'XL (BHTP2)'!AF9)</f>
        <v>0</v>
      </c>
      <c r="AG9" s="13">
        <f>SUM('TP1'!AG9,'TP2'!AG9,MS!AG9,'MC + Vân hồ'!AG9,YC!AG9,PY!AG9,BY!AG9,SM!AG9,SC!AG9,TC!AG9,ML!AG9,QN!AG9,XL!AG9,'XL (BHTP1)'!AG9,'XL (BHTP2)'!AG9)</f>
        <v>0</v>
      </c>
      <c r="AH9" s="13">
        <f>SUM('TP1'!AH9,'TP2'!AH9,MS!AH9,'MC + Vân hồ'!AH9,YC!AH9,PY!AH9,BY!AH9,SM!AH9,SC!AH9,TC!AH9,ML!AH9,QN!AH9,XL!AH9,'XL (BHTP1)'!AH9,'XL (BHTP2)'!AH9)</f>
        <v>0</v>
      </c>
      <c r="AI9" s="13">
        <f>SUM('TP1'!AI9,'TP2'!AI9,MS!AI9,'MC + Vân hồ'!AI9,YC!AI9,PY!AI9,BY!AI9,SM!AI9,SC!AI9,TC!AI9,ML!AI9,QN!AI9,XL!AI9,'XL (BHTP1)'!AI9,'XL (BHTP2)'!AI9)</f>
        <v>0</v>
      </c>
      <c r="AJ9" s="13">
        <f>SUM('TP1'!AJ9,'TP2'!AJ9,MS!AJ9,'MC + Vân hồ'!AJ9,YC!AJ9,PY!AJ9,BY!AJ9,SM!AJ9,SC!AJ9,TC!AJ9,ML!AJ9,QN!AJ9,XL!AJ9,'XL (BHTP1)'!AJ9,'XL (BHTP2)'!AJ9)</f>
        <v>0</v>
      </c>
      <c r="AK9" s="13">
        <f>SUM('TP1'!AK9,'TP2'!AK9,MS!AK9,'MC + Vân hồ'!AK9,YC!AK9,PY!AK9,BY!AK9,SM!AK9,SC!AK9,TC!AK9,ML!AK9,QN!AK9,XL!AK9,'XL (BHTP1)'!AK9,'XL (BHTP2)'!AK9)</f>
        <v>0</v>
      </c>
      <c r="AL9" s="13">
        <f>SUM('TP1'!AL9,'TP2'!AL9,MS!AL9,'MC + Vân hồ'!AL9,YC!AL9,PY!AL9,BY!AL9,SM!AL9,SC!AL9,TC!AL9,ML!AL9,QN!AL9,XL!AL9,'XL (BHTP1)'!AL9,'XL (BHTP2)'!AL9)</f>
        <v>0</v>
      </c>
      <c r="AM9" s="13">
        <f>SUM('TP1'!AM9,'TP2'!AM9,MS!AM9,'MC + Vân hồ'!AM9,YC!AM9,PY!AM9,BY!AM9,SM!AM9,SC!AM9,TC!AM9,ML!AM9,QN!AM9,XL!AM9,'XL (BHTP1)'!AM9,'XL (BHTP2)'!AM9)</f>
        <v>0</v>
      </c>
      <c r="AN9" s="13">
        <f>SUM('TP1'!AN9,'TP2'!AN9,MS!AN9,'MC + Vân hồ'!AN9,YC!AN9,PY!AN9,BY!AN9,SM!AN9,SC!AN9,TC!AN9,ML!AN9,QN!AN9,XL!AN9,'XL (BHTP1)'!AN9,'XL (BHTP2)'!AN9)</f>
        <v>0</v>
      </c>
      <c r="AO9" s="13">
        <f>SUM('TP1'!AO9,'TP2'!AO9,MS!AO9,'MC + Vân hồ'!AO9,YC!AO9,PY!AO9,BY!AO9,SM!AO9,SC!AO9,TC!AO9,ML!AO9,QN!AO9,XL!AO9,'XL (BHTP1)'!AO9,'XL (BHTP2)'!AO9)</f>
        <v>0</v>
      </c>
      <c r="AP9" s="13">
        <f>SUM('TP1'!AP9,'TP2'!AP9,MS!AP9,'MC + Vân hồ'!AP9,YC!AP9,PY!AP9,BY!AP9,SM!AP9,SC!AP9,TC!AP9,ML!AP9,QN!AP9,XL!AP9,'XL (BHTP1)'!AP9,'XL (BHTP2)'!AP9)</f>
        <v>0</v>
      </c>
      <c r="AQ9" s="13">
        <f>SUM('TP1'!AQ9,'TP2'!AQ9,MS!AQ9,'MC + Vân hồ'!AQ9,YC!AQ9,PY!AQ9,BY!AQ9,SM!AQ9,SC!AQ9,TC!AQ9,ML!AQ9,QN!AQ9,XL!AQ9,'XL (BHTP1)'!AQ9,'XL (BHTP2)'!AQ9)</f>
        <v>0</v>
      </c>
      <c r="AR9" s="13">
        <f>SUM('TP1'!AR9,'TP2'!AR9,MS!AR9,'MC + Vân hồ'!AR9,YC!AR9,PY!AR9,BY!AR9,SM!AR9,SC!AR9,TC!AR9,ML!AR9,QN!AR9,XL!AR9,'XL (BHTP1)'!AR9,'XL (BHTP2)'!AR9)</f>
        <v>0</v>
      </c>
      <c r="AS9" s="13">
        <f>SUM('TP1'!AS9,'TP2'!AS9,MS!AS9,'MC + Vân hồ'!AS9,YC!AS9,PY!AS9,BY!AS9,SM!AS9,SC!AS9,TC!AS9,ML!AS9,QN!AS9,XL!AS9,'XL (BHTP1)'!AS9,'XL (BHTP2)'!AS9)</f>
        <v>0</v>
      </c>
      <c r="AT9" s="13">
        <f>SUM('TP1'!AT9,'TP2'!AT9,MS!AT9,'MC + Vân hồ'!AT9,YC!AT9,PY!AT9,BY!AT9,SM!AT9,SC!AT9,TC!AT9,ML!AT9,QN!AT9,XL!AT9,'XL (BHTP1)'!AT9,'XL (BHTP2)'!AT9)</f>
        <v>0</v>
      </c>
      <c r="AU9" s="13">
        <f>SUM('TP1'!AU9,'TP2'!AU9,MS!AU9,'MC + Vân hồ'!AU9,YC!AU9,PY!AU9,BY!AU9,SM!AU9,SC!AU9,TC!AU9,ML!AU9,QN!AU9,XL!AU9,'XL (BHTP1)'!AU9,'XL (BHTP2)'!AU9)</f>
        <v>0</v>
      </c>
      <c r="AV9" s="13">
        <f>SUM('TP1'!AV9,'TP2'!AV9,MS!AV9,'MC + Vân hồ'!AV9,YC!AV9,PY!AV9,BY!AV9,SM!AV9,SC!AV9,TC!AV9,ML!AV9,QN!AV9,XL!AV9,'XL (BHTP1)'!AV9,'XL (BHTP2)'!AV9)</f>
        <v>0</v>
      </c>
      <c r="AW9" s="13">
        <f>SUM('TP1'!AW9,'TP2'!AW9,MS!AW9,'MC + Vân hồ'!AW9,YC!AW9,PY!AW9,BY!AW9,SM!AW9,SC!AW9,TC!AW9,ML!AW9,QN!AW9,XL!AW9,'XL (BHTP1)'!AW9,'XL (BHTP2)'!AW9)</f>
        <v>0</v>
      </c>
      <c r="AX9" s="13">
        <f>SUM('TP1'!AX9,'TP2'!AX9,MS!AX9,'MC + Vân hồ'!AX9,YC!AX9,PY!AX9,BY!AX9,SM!AX9,SC!AX9,TC!AX9,ML!AX9,QN!AX9,XL!AX9,'XL (BHTP1)'!AX9,'XL (BHTP2)'!AX9)</f>
        <v>0</v>
      </c>
      <c r="AY9" s="13">
        <f>SUM('TP1'!AY9,'TP2'!AY9,MS!AY9,'MC + Vân hồ'!AY9,YC!AY9,PY!AY9,BY!AY9,SM!AY9,SC!AY9,TC!AY9,ML!AY9,QN!AY9,XL!AY9,'XL (BHTP1)'!AY9,'XL (BHTP2)'!AY9)</f>
        <v>0</v>
      </c>
      <c r="AZ9" s="13">
        <f>SUM('TP1'!AZ9,'TP2'!AZ9,MS!AZ9,'MC + Vân hồ'!AZ9,YC!AZ9,PY!AZ9,BY!AZ9,SM!AZ9,SC!AZ9,TC!AZ9,ML!AZ9,QN!AZ9,XL!AZ9,'XL (BHTP1)'!AZ9,'XL (BHTP2)'!AZ9)</f>
        <v>0</v>
      </c>
      <c r="BA9" s="13">
        <f>SUM('TP1'!BA9,'TP2'!BA9,MS!BA9,'MC + Vân hồ'!BA9,YC!BA9,PY!BA9,BY!BA9,SM!BA9,SC!BA9,TC!BA9,ML!BA9,QN!BA9,XL!BA9,'XL (BHTP1)'!BA9,'XL (BHTP2)'!BA9)</f>
        <v>0</v>
      </c>
      <c r="BB9" s="13">
        <f>SUM('TP1'!BB9,'TP2'!BB9,MS!BB9,'MC + Vân hồ'!BB9,YC!BB9,PY!BB9,BY!BB9,SM!BB9,SC!BB9,TC!BB9,ML!BB9,QN!BB9,XL!BB9,'XL (BHTP1)'!BB9,'XL (BHTP2)'!BB9)</f>
        <v>0</v>
      </c>
      <c r="BC9" s="13">
        <f>SUM('TP1'!BC9,'TP2'!BC9,MS!BC9,'MC + Vân hồ'!BC9,YC!BC9,PY!BC9,BY!BC9,SM!BC9,SC!BC9,TC!BC9,ML!BC9,QN!BC9,XL!BC9,'XL (BHTP1)'!BC9,'XL (BHTP2)'!BC9)</f>
        <v>0</v>
      </c>
      <c r="BD9" s="13">
        <f>SUM('TP1'!BD9,'TP2'!BD9,MS!BD9,'MC + Vân hồ'!BD9,YC!BD9,PY!BD9,BY!BD9,SM!BD9,SC!BD9,TC!BD9,ML!BD9,QN!BD9,XL!BD9,'XL (BHTP1)'!BD9,'XL (BHTP2)'!BD9)</f>
        <v>0</v>
      </c>
      <c r="BE9" s="13">
        <f>SUM('TP1'!BE9,'TP2'!BE9,MS!BE9,'MC + Vân hồ'!BE9,YC!BE9,PY!BE9,BY!BE9,SM!BE9,SC!BE9,TC!BE9,ML!BE9,QN!BE9,XL!BE9,'XL (BHTP1)'!BE9,'XL (BHTP2)'!BE9)</f>
        <v>0</v>
      </c>
      <c r="BF9" s="13">
        <f>SUM('TP1'!BF9,'TP2'!BF9,MS!BF9,'MC + Vân hồ'!BF9,YC!BF9,PY!BF9,BY!BF9,SM!BF9,SC!BF9,TC!BF9,ML!BF9,QN!BF9,XL!BF9,'XL (BHTP1)'!BF9,'XL (BHTP2)'!BF9)</f>
        <v>0</v>
      </c>
      <c r="BG9" s="13">
        <f>SUM('TP1'!BG9,'TP2'!BG9,MS!BG9,'MC + Vân hồ'!BG9,YC!BG9,PY!BG9,BY!BG9,SM!BG9,SC!BG9,TC!BG9,ML!BG9,QN!BG9,XL!BG9,'XL (BHTP1)'!BG9,'XL (BHTP2)'!BG9)</f>
        <v>0</v>
      </c>
      <c r="BH9" s="13">
        <f>SUM('TP1'!BH9,'TP2'!BH9,MS!BH9,'MC + Vân hồ'!BH9,YC!BH9,PY!BH9,BY!BH9,SM!BH9,SC!BH9,TC!BH9,ML!BH9,QN!BH9,XL!BH9,'XL (BHTP1)'!BH9,'XL (BHTP2)'!BH9)</f>
        <v>0</v>
      </c>
      <c r="BI9" s="13">
        <f>SUM('TP1'!BI9,'TP2'!BI9,MS!BI9,'MC + Vân hồ'!BI9,YC!BI9,PY!BI9,BY!BI9,SM!BI9,SC!BI9,TC!BI9,ML!BI9,QN!BI9,XL!BI9,'XL (BHTP1)'!BI9,'XL (BHTP2)'!BI9)</f>
        <v>0</v>
      </c>
      <c r="BJ9" s="13">
        <f>SUM('TP1'!BJ9,'TP2'!BJ9,MS!BJ9,'MC + Vân hồ'!BJ9,YC!BJ9,PY!BJ9,BY!BJ9,SM!BJ9,SC!BJ9,TC!BJ9,ML!BJ9,QN!BJ9,XL!BJ9,'XL (BHTP1)'!BJ9,'XL (BHTP2)'!BJ9)</f>
        <v>0</v>
      </c>
      <c r="BK9" s="13">
        <f>SUM('TP1'!BK9,'TP2'!BK9,MS!BK9,'MC + Vân hồ'!BK9,YC!BK9,PY!BK9,BY!BK9,SM!BK9,SC!BK9,TC!BK9,ML!BK9,QN!BK9,XL!BK9,'XL (BHTP1)'!BK9,'XL (BHTP2)'!BK9)</f>
        <v>0</v>
      </c>
      <c r="BL9" s="13">
        <f>SUM('TP1'!BL9,'TP2'!BL9,MS!BL9,'MC + Vân hồ'!BL9,YC!BL9,PY!BL9,BY!BL9,SM!BL9,SC!BL9,TC!BL9,ML!BL9,QN!BL9,XL!BL9,'XL (BHTP1)'!BL9,'XL (BHTP2)'!BL9)</f>
        <v>0</v>
      </c>
      <c r="BM9" s="13">
        <f>SUM('TP1'!BM9,'TP2'!BM9,MS!BM9,'MC + Vân hồ'!BM9,YC!BM9,PY!BM9,BY!BM9,SM!BM9,SC!BM9,TC!BM9,ML!BM9,QN!BM9,XL!BM9,'XL (BHTP1)'!BM9,'XL (BHTP2)'!BM9)</f>
        <v>0</v>
      </c>
      <c r="BN9" s="13">
        <f>SUM('TP1'!BN9,'TP2'!BN9,MS!BN9,'MC + Vân hồ'!BN9,YC!BN9,PY!BN9,BY!BN9,SM!BN9,SC!BN9,TC!BN9,ML!BN9,QN!BN9,XL!BN9,'XL (BHTP1)'!BN9,'XL (BHTP2)'!BN9)</f>
        <v>0</v>
      </c>
      <c r="BO9" s="13">
        <f>SUM('TP1'!BO9,'TP2'!BO9,MS!BO9,'MC + Vân hồ'!BO9,YC!BO9,PY!BO9,BY!BO9,SM!BO9,SC!BO9,TC!BO9,ML!BO9,QN!BO9,XL!BO9,'XL (BHTP1)'!BO9,'XL (BHTP2)'!BO9)</f>
        <v>0</v>
      </c>
      <c r="BP9" s="13">
        <f>SUM('TP1'!BP9,'TP2'!BP9,MS!BP9,'MC + Vân hồ'!BP9,YC!BP9,PY!BP9,BY!BP9,SM!BP9,SC!BP9,TC!BP9,ML!BP9,QN!BP9,XL!BP9,'XL (BHTP1)'!BP9,'XL (BHTP2)'!BP9)</f>
        <v>0</v>
      </c>
      <c r="BQ9" s="13">
        <f>SUM('TP1'!BQ9,'TP2'!BQ9,MS!BQ9,'MC + Vân hồ'!BQ9,YC!BQ9,PY!BQ9,BY!BQ9,SM!BQ9,SC!BQ9,TC!BQ9,ML!BQ9,QN!BQ9,XL!BQ9,'XL (BHTP1)'!BQ9,'XL (BHTP2)'!BQ9)</f>
        <v>0</v>
      </c>
      <c r="BR9" s="13">
        <f>SUM('TP1'!BR9,'TP2'!BR9,MS!BR9,'MC + Vân hồ'!BR9,YC!BR9,PY!BR9,BY!BR9,SM!BR9,SC!BR9,TC!BR9,ML!BR9,QN!BR9,XL!BR9,'XL (BHTP1)'!BR9,'XL (BHTP2)'!BR9)</f>
        <v>0</v>
      </c>
      <c r="BS9" s="13">
        <f>SUM('TP1'!BS9,'TP2'!BS9,MS!BS9,'MC + Vân hồ'!BS9,YC!BS9,PY!BS9,BY!BS9,SM!BS9,SC!BS9,TC!BS9,ML!BS9,QN!BS9,XL!BS9,'XL (BHTP1)'!BS9,'XL (BHTP2)'!BS9)</f>
        <v>0</v>
      </c>
      <c r="BT9" s="13">
        <f>SUM('TP1'!BT9,'TP2'!BT9,MS!BT9,'MC + Vân hồ'!BT9,YC!BT9,PY!BT9,BY!BT9,SM!BT9,SC!BT9,TC!BT9,ML!BT9,QN!BT9,XL!BT9,'XL (BHTP1)'!BT9,'XL (BHTP2)'!BT9)</f>
        <v>0</v>
      </c>
      <c r="BU9" s="13">
        <f>SUM('TP1'!BU9,'TP2'!BU9,MS!BU9,'MC + Vân hồ'!BU9,YC!BU9,PY!BU9,BY!BU9,SM!BU9,SC!BU9,TC!BU9,ML!BU9,QN!BU9,XL!BU9,'XL (BHTP1)'!BU9,'XL (BHTP2)'!BU9)</f>
        <v>0</v>
      </c>
      <c r="BV9" s="13">
        <f>SUM('TP1'!BV9,'TP2'!BV9,MS!BV9,'MC + Vân hồ'!BV9,YC!BV9,PY!BV9,BY!BV9,SM!BV9,SC!BV9,TC!BV9,ML!BV9,QN!BV9,XL!BV9,'XL (BHTP1)'!BV9,'XL (BHTP2)'!BV9)</f>
        <v>0</v>
      </c>
      <c r="BW9" s="13">
        <f>SUM('TP1'!BW9,'TP2'!BW9,MS!BW9,'MC + Vân hồ'!BW9,YC!BW9,PY!BW9,BY!BW9,SM!BW9,SC!BW9,TC!BW9,ML!BW9,QN!BW9,XL!BW9,'XL (BHTP1)'!BW9,'XL (BHTP2)'!BW9)</f>
        <v>0</v>
      </c>
      <c r="BX9" s="13">
        <f>SUM('TP1'!BX9,'TP2'!BX9,MS!BX9,'MC + Vân hồ'!BX9,YC!BX9,PY!BX9,BY!BX9,SM!BX9,SC!BX9,TC!BX9,ML!BX9,QN!BX9,XL!BX9,'XL (BHTP1)'!BX9,'XL (BHTP2)'!BX9)</f>
        <v>0</v>
      </c>
      <c r="BY9" s="13">
        <f>SUM('TP1'!BY9,'TP2'!BY9,MS!BY9,'MC + Vân hồ'!BY9,YC!BY9,PY!BY9,BY!BY9,SM!BY9,SC!BY9,TC!BY9,ML!BY9,QN!BY9,XL!BY9,'XL (BHTP1)'!BY9,'XL (BHTP2)'!BY9)</f>
        <v>0</v>
      </c>
      <c r="BZ9" s="13">
        <f>SUM('TP1'!BZ9,'TP2'!BZ9,MS!BZ9,'MC + Vân hồ'!BZ9,YC!BZ9,PY!BZ9,BY!BZ9,SM!BZ9,SC!BZ9,TC!BZ9,ML!BZ9,QN!BZ9,XL!BZ9,'XL (BHTP1)'!BZ9,'XL (BHTP2)'!BZ9)</f>
        <v>0</v>
      </c>
      <c r="CA9" s="13">
        <f>SUM('TP1'!CA9,'TP2'!CA9,MS!CA9,'MC + Vân hồ'!CA9,YC!CA9,PY!CA9,BY!CA9,SM!CA9,SC!CA9,TC!CA9,ML!CA9,QN!CA9,XL!CA9,'XL (BHTP1)'!CA9,'XL (BHTP2)'!CA9)</f>
        <v>0</v>
      </c>
      <c r="CB9" s="13">
        <f>SUM('TP1'!CB9,'TP2'!CB9,MS!CB9,'MC + Vân hồ'!CB9,YC!CB9,PY!CB9,BY!CB9,SM!CB9,SC!CB9,TC!CB9,ML!CB9,QN!CB9,XL!CB9,'XL (BHTP1)'!CB9,'XL (BHTP2)'!CB9)</f>
        <v>0</v>
      </c>
      <c r="CC9" s="13">
        <f>SUM('TP1'!CC9,'TP2'!CC9,MS!CC9,'MC + Vân hồ'!CC9,YC!CC9,PY!CC9,BY!CC9,SM!CC9,SC!CC9,TC!CC9,ML!CC9,QN!CC9,XL!CC9,'XL (BHTP1)'!CC9,'XL (BHTP2)'!CC9)</f>
        <v>0</v>
      </c>
      <c r="CD9" s="13">
        <f>SUM('TP1'!CD9,'TP2'!CD9,MS!CD9,'MC + Vân hồ'!CD9,YC!CD9,PY!CD9,BY!CD9,SM!CD9,SC!CD9,TC!CD9,ML!CD9,QN!CD9,XL!CD9,'XL (BHTP1)'!CD9,'XL (BHTP2)'!CD9)</f>
        <v>0</v>
      </c>
      <c r="CE9" s="13">
        <f>SUM('TP1'!CE9,'TP2'!CE9,MS!CE9,'MC + Vân hồ'!CE9,YC!CE9,PY!CE9,BY!CE9,SM!CE9,SC!CE9,TC!CE9,ML!CE9,QN!CE9,XL!CE9,'XL (BHTP1)'!CE9,'XL (BHTP2)'!CE9)</f>
        <v>0</v>
      </c>
      <c r="CF9" s="13">
        <f>SUM('TP1'!CF9,'TP2'!CF9,MS!CF9,'MC + Vân hồ'!CF9,YC!CF9,PY!CF9,BY!CF9,SM!CF9,SC!CF9,TC!CF9,ML!CF9,QN!CF9,XL!CF9,'XL (BHTP1)'!CF9,'XL (BHTP2)'!CF9)</f>
        <v>0</v>
      </c>
      <c r="CG9" s="13">
        <f>SUM('TP1'!CG9,'TP2'!CG9,MS!CG9,'MC + Vân hồ'!CG9,YC!CG9,PY!CG9,BY!CG9,SM!CG9,SC!CG9,TC!CG9,ML!CG9,QN!CG9,XL!CG9,'XL (BHTP1)'!CG9,'XL (BHTP2)'!CG9)</f>
        <v>0</v>
      </c>
      <c r="CH9" s="13">
        <f>SUM('TP1'!CH9,'TP2'!CH9,MS!CH9,'MC + Vân hồ'!CH9,YC!CH9,PY!CH9,BY!CH9,SM!CH9,SC!CH9,TC!CH9,ML!CH9,QN!CH9,XL!CH9,'XL (BHTP1)'!CH9,'XL (BHTP2)'!CH9)</f>
        <v>0</v>
      </c>
      <c r="CI9" s="13">
        <f>SUM('TP1'!CI9,'TP2'!CI9,MS!CI9,'MC + Vân hồ'!CI9,YC!CI9,PY!CI9,BY!CI9,SM!CI9,SC!CI9,TC!CI9,ML!CI9,QN!CI9,XL!CI9,'XL (BHTP1)'!CI9,'XL (BHTP2)'!CI9)</f>
        <v>0</v>
      </c>
      <c r="CJ9" s="13">
        <f>SUM('TP1'!CJ9,'TP2'!CJ9,MS!CJ9,'MC + Vân hồ'!CJ9,YC!CJ9,PY!CJ9,BY!CJ9,SM!CJ9,SC!CJ9,TC!CJ9,ML!CJ9,QN!CJ9,XL!CJ9,'XL (BHTP1)'!CJ9,'XL (BHTP2)'!CJ9)</f>
        <v>0</v>
      </c>
      <c r="CK9" s="73">
        <f t="shared" ref="CK9:CQ9" si="5">SUM(E9,L9,S9,Z9,AG9,AN9,AU9,BB9,BI9,BP9,BW9,CD9)</f>
        <v>0</v>
      </c>
      <c r="CL9" s="73">
        <f t="shared" si="5"/>
        <v>0</v>
      </c>
      <c r="CM9" s="73">
        <f t="shared" si="5"/>
        <v>0</v>
      </c>
      <c r="CN9" s="73">
        <f t="shared" si="5"/>
        <v>0</v>
      </c>
      <c r="CO9" s="73">
        <f t="shared" si="5"/>
        <v>0</v>
      </c>
      <c r="CP9" s="73">
        <f t="shared" si="5"/>
        <v>0</v>
      </c>
      <c r="CQ9" s="73">
        <f t="shared" si="5"/>
        <v>0</v>
      </c>
      <c r="CR9" s="56"/>
      <c r="CS9" s="56">
        <f t="shared" si="3"/>
        <v>0</v>
      </c>
    </row>
    <row r="10" outlineLevel="1">
      <c r="B10" s="12" t="s">
        <v>32</v>
      </c>
      <c r="C10" s="12" t="s">
        <v>33</v>
      </c>
      <c r="D10" s="12" t="s">
        <v>26</v>
      </c>
      <c r="E10" s="13">
        <f>SUM('TP1'!E10,'TP2'!E10,MS!E10,'MC + Vân hồ'!E10,YC!E10,PY!E10,BY!E10,SM!E10,SC!E10,TC!E10,ML!E10,QN!E10,XL!E10,'XL (BHTP1)'!E10,'XL (BHTP2)'!E10)</f>
        <v>0</v>
      </c>
      <c r="F10" s="13">
        <f>SUM('TP1'!F10,'TP2'!F10,MS!F10,'MC + Vân hồ'!F10,YC!F10,PY!F10,BY!F10,SM!F10,SC!F10,TC!F10,ML!F10,QN!F10,XL!F10,'XL (BHTP1)'!F10,'XL (BHTP2)'!F10)</f>
        <v>0</v>
      </c>
      <c r="G10" s="13">
        <f>SUM('TP1'!G10,'TP2'!G10,MS!G10,'MC + Vân hồ'!G10,YC!G10,PY!G10,BY!G10,SM!G10,SC!G10,TC!G10,ML!G10,QN!G10,XL!G10,'XL (BHTP1)'!G10,'XL (BHTP2)'!G10)</f>
        <v>0</v>
      </c>
      <c r="H10" s="13">
        <f>SUM('TP1'!H10,'TP2'!H10,MS!H10,'MC + Vân hồ'!H10,YC!H10,PY!H10,BY!H10,SM!H10,SC!H10,TC!H10,ML!H10,QN!H10,XL!H10,'XL (BHTP1)'!H10,'XL (BHTP2)'!H10)</f>
        <v>0</v>
      </c>
      <c r="I10" s="13">
        <f>SUM('TP1'!I10,'TP2'!I10,MS!I10,'MC + Vân hồ'!I10,YC!I10,PY!I10,BY!I10,SM!I10,SC!I10,TC!I10,ML!I10,QN!I10,XL!I10,'XL (BHTP1)'!I10,'XL (BHTP2)'!I10)</f>
        <v>0</v>
      </c>
      <c r="J10" s="13">
        <f>SUM('TP1'!J10,'TP2'!J10,MS!J10,'MC + Vân hồ'!J10,YC!J10,PY!J10,BY!J10,SM!J10,SC!J10,TC!J10,ML!J10,QN!J10,XL!J10,'XL (BHTP1)'!J10,'XL (BHTP2)'!J10)</f>
        <v>0</v>
      </c>
      <c r="K10" s="13">
        <f>SUM('TP1'!K10,'TP2'!K10,MS!K10,'MC + Vân hồ'!K10,YC!K10,PY!K10,BY!K10,SM!K10,SC!K10,TC!K10,ML!K10,QN!K10,XL!K10,'XL (BHTP1)'!K10,'XL (BHTP2)'!K10)</f>
        <v>0</v>
      </c>
      <c r="L10" s="13">
        <f>SUM('TP1'!L10,'TP2'!L10,MS!L10,'MC + Vân hồ'!L10,YC!L10,PY!L10,BY!L10,SM!L10,SC!L10,TC!L10,ML!L10,QN!L10,XL!L10,'XL (BHTP1)'!L10,'XL (BHTP2)'!L10)</f>
        <v>0</v>
      </c>
      <c r="M10" s="13">
        <f>SUM('TP1'!M10,'TP2'!M10,MS!M10,'MC + Vân hồ'!M10,YC!M10,PY!M10,BY!M10,SM!M10,SC!M10,TC!M10,ML!M10,QN!M10,XL!M10,'XL (BHTP1)'!M10,'XL (BHTP2)'!M10)</f>
        <v>0</v>
      </c>
      <c r="N10" s="13">
        <f>SUM('TP1'!N10,'TP2'!N10,MS!N10,'MC + Vân hồ'!N10,YC!N10,PY!N10,BY!N10,SM!N10,SC!N10,TC!N10,ML!N10,QN!N10,XL!N10,'XL (BHTP1)'!N10,'XL (BHTP2)'!N10)</f>
        <v>0</v>
      </c>
      <c r="O10" s="13">
        <f>SUM('TP1'!O10,'TP2'!O10,MS!O10,'MC + Vân hồ'!O10,YC!O10,PY!O10,BY!O10,SM!O10,SC!O10,TC!O10,ML!O10,QN!O10,XL!O10,'XL (BHTP1)'!O10,'XL (BHTP2)'!O10)</f>
        <v>0</v>
      </c>
      <c r="P10" s="13">
        <f>SUM('TP1'!P10,'TP2'!P10,MS!P10,'MC + Vân hồ'!P10,YC!P10,PY!P10,BY!P10,SM!P10,SC!P10,TC!P10,ML!P10,QN!P10,XL!P10,'XL (BHTP1)'!P10,'XL (BHTP2)'!P10)</f>
        <v>0</v>
      </c>
      <c r="Q10" s="13">
        <f>SUM('TP1'!Q10,'TP2'!Q10,MS!Q10,'MC + Vân hồ'!Q10,YC!Q10,PY!Q10,BY!Q10,SM!Q10,SC!Q10,TC!Q10,ML!Q10,QN!Q10,XL!Q10,'XL (BHTP1)'!Q10,'XL (BHTP2)'!Q10)</f>
        <v>0</v>
      </c>
      <c r="R10" s="13">
        <f>SUM('TP1'!R10,'TP2'!R10,MS!R10,'MC + Vân hồ'!R10,YC!R10,PY!R10,BY!R10,SM!R10,SC!R10,TC!R10,ML!R10,QN!R10,XL!R10,'XL (BHTP1)'!R10,'XL (BHTP2)'!R10)</f>
        <v>0</v>
      </c>
      <c r="S10" s="13">
        <f>SUM('TP1'!S10,'TP2'!S10,MS!S10,'MC + Vân hồ'!S10,YC!S10,PY!S10,BY!S10,SM!S10,SC!S10,TC!S10,ML!S10,QN!S10,XL!S10,'XL (BHTP1)'!S10,'XL (BHTP2)'!S10)</f>
        <v>0</v>
      </c>
      <c r="T10" s="13">
        <f>SUM('TP1'!T10,'TP2'!T10,MS!T10,'MC + Vân hồ'!T10,YC!T10,PY!T10,BY!T10,SM!T10,SC!T10,TC!T10,ML!T10,QN!T10,XL!T10,'XL (BHTP1)'!T10,'XL (BHTP2)'!T10)</f>
        <v>0</v>
      </c>
      <c r="U10" s="13">
        <f>SUM('TP1'!U10,'TP2'!U10,MS!U10,'MC + Vân hồ'!U10,YC!U10,PY!U10,BY!U10,SM!U10,SC!U10,TC!U10,ML!U10,QN!U10,XL!U10,'XL (BHTP1)'!U10,'XL (BHTP2)'!U10)</f>
        <v>0</v>
      </c>
      <c r="V10" s="13">
        <f>SUM('TP1'!V10,'TP2'!V10,MS!V10,'MC + Vân hồ'!V10,YC!V10,PY!V10,BY!V10,SM!V10,SC!V10,TC!V10,ML!V10,QN!V10,XL!V10,'XL (BHTP1)'!V10,'XL (BHTP2)'!V10)</f>
        <v>0</v>
      </c>
      <c r="W10" s="13">
        <f>SUM('TP1'!W10,'TP2'!W10,MS!W10,'MC + Vân hồ'!W10,YC!W10,PY!W10,BY!W10,SM!W10,SC!W10,TC!W10,ML!W10,QN!W10,XL!W10,'XL (BHTP1)'!W10,'XL (BHTP2)'!W10)</f>
        <v>0</v>
      </c>
      <c r="X10" s="13">
        <f>SUM('TP1'!X10,'TP2'!X10,MS!X10,'MC + Vân hồ'!X10,YC!X10,PY!X10,BY!X10,SM!X10,SC!X10,TC!X10,ML!X10,QN!X10,XL!X10,'XL (BHTP1)'!X10,'XL (BHTP2)'!X10)</f>
        <v>0</v>
      </c>
      <c r="Y10" s="13">
        <f>SUM('TP1'!Y10,'TP2'!Y10,MS!Y10,'MC + Vân hồ'!Y10,YC!Y10,PY!Y10,BY!Y10,SM!Y10,SC!Y10,TC!Y10,ML!Y10,QN!Y10,XL!Y10,'XL (BHTP1)'!Y10,'XL (BHTP2)'!Y10)</f>
        <v>0</v>
      </c>
      <c r="Z10" s="13">
        <f>SUM('TP1'!Z10,'TP2'!Z10,MS!Z10,'MC + Vân hồ'!Z10,YC!Z10,PY!Z10,BY!Z10,SM!Z10,SC!Z10,TC!Z10,ML!Z10,QN!Z10,XL!Z10,'XL (BHTP1)'!Z10,'XL (BHTP2)'!Z10)</f>
        <v>0</v>
      </c>
      <c r="AA10" s="13">
        <f>SUM('TP1'!AA10,'TP2'!AA10,MS!AA10,'MC + Vân hồ'!AA10,YC!AA10,PY!AA10,BY!AA10,SM!AA10,SC!AA10,TC!AA10,ML!AA10,QN!AA10,XL!AA10,'XL (BHTP1)'!AA10,'XL (BHTP2)'!AA10)</f>
        <v>0</v>
      </c>
      <c r="AB10" s="13">
        <f>SUM('TP1'!AB10,'TP2'!AB10,MS!AB10,'MC + Vân hồ'!AB10,YC!AB10,PY!AB10,BY!AB10,SM!AB10,SC!AB10,TC!AB10,ML!AB10,QN!AB10,XL!AB10,'XL (BHTP1)'!AB10,'XL (BHTP2)'!AB10)</f>
        <v>0</v>
      </c>
      <c r="AC10" s="13">
        <f>SUM('TP1'!AC10,'TP2'!AC10,MS!AC10,'MC + Vân hồ'!AC10,YC!AC10,PY!AC10,BY!AC10,SM!AC10,SC!AC10,TC!AC10,ML!AC10,QN!AC10,XL!AC10,'XL (BHTP1)'!AC10,'XL (BHTP2)'!AC10)</f>
        <v>0</v>
      </c>
      <c r="AD10" s="13">
        <f>SUM('TP1'!AD10,'TP2'!AD10,MS!AD10,'MC + Vân hồ'!AD10,YC!AD10,PY!AD10,BY!AD10,SM!AD10,SC!AD10,TC!AD10,ML!AD10,QN!AD10,XL!AD10,'XL (BHTP1)'!AD10,'XL (BHTP2)'!AD10)</f>
        <v>0</v>
      </c>
      <c r="AE10" s="13">
        <f>SUM('TP1'!AE10,'TP2'!AE10,MS!AE10,'MC + Vân hồ'!AE10,YC!AE10,PY!AE10,BY!AE10,SM!AE10,SC!AE10,TC!AE10,ML!AE10,QN!AE10,XL!AE10,'XL (BHTP1)'!AE10,'XL (BHTP2)'!AE10)</f>
        <v>0</v>
      </c>
      <c r="AF10" s="13">
        <f>SUM('TP1'!AF10,'TP2'!AF10,MS!AF10,'MC + Vân hồ'!AF10,YC!AF10,PY!AF10,BY!AF10,SM!AF10,SC!AF10,TC!AF10,ML!AF10,QN!AF10,XL!AF10,'XL (BHTP1)'!AF10,'XL (BHTP2)'!AF10)</f>
        <v>0</v>
      </c>
      <c r="AG10" s="13">
        <f>SUM('TP1'!AG10,'TP2'!AG10,MS!AG10,'MC + Vân hồ'!AG10,YC!AG10,PY!AG10,BY!AG10,SM!AG10,SC!AG10,TC!AG10,ML!AG10,QN!AG10,XL!AG10,'XL (BHTP1)'!AG10,'XL (BHTP2)'!AG10)</f>
        <v>0</v>
      </c>
      <c r="AH10" s="13">
        <f>SUM('TP1'!AH10,'TP2'!AH10,MS!AH10,'MC + Vân hồ'!AH10,YC!AH10,PY!AH10,BY!AH10,SM!AH10,SC!AH10,TC!AH10,ML!AH10,QN!AH10,XL!AH10,'XL (BHTP1)'!AH10,'XL (BHTP2)'!AH10)</f>
        <v>0</v>
      </c>
      <c r="AI10" s="13">
        <f>SUM('TP1'!AI10,'TP2'!AI10,MS!AI10,'MC + Vân hồ'!AI10,YC!AI10,PY!AI10,BY!AI10,SM!AI10,SC!AI10,TC!AI10,ML!AI10,QN!AI10,XL!AI10,'XL (BHTP1)'!AI10,'XL (BHTP2)'!AI10)</f>
        <v>0</v>
      </c>
      <c r="AJ10" s="13">
        <f>SUM('TP1'!AJ10,'TP2'!AJ10,MS!AJ10,'MC + Vân hồ'!AJ10,YC!AJ10,PY!AJ10,BY!AJ10,SM!AJ10,SC!AJ10,TC!AJ10,ML!AJ10,QN!AJ10,XL!AJ10,'XL (BHTP1)'!AJ10,'XL (BHTP2)'!AJ10)</f>
        <v>0</v>
      </c>
      <c r="AK10" s="13">
        <f>SUM('TP1'!AK10,'TP2'!AK10,MS!AK10,'MC + Vân hồ'!AK10,YC!AK10,PY!AK10,BY!AK10,SM!AK10,SC!AK10,TC!AK10,ML!AK10,QN!AK10,XL!AK10,'XL (BHTP1)'!AK10,'XL (BHTP2)'!AK10)</f>
        <v>0</v>
      </c>
      <c r="AL10" s="13">
        <f>SUM('TP1'!AL10,'TP2'!AL10,MS!AL10,'MC + Vân hồ'!AL10,YC!AL10,PY!AL10,BY!AL10,SM!AL10,SC!AL10,TC!AL10,ML!AL10,QN!AL10,XL!AL10,'XL (BHTP1)'!AL10,'XL (BHTP2)'!AL10)</f>
        <v>0</v>
      </c>
      <c r="AM10" s="13">
        <f>SUM('TP1'!AM10,'TP2'!AM10,MS!AM10,'MC + Vân hồ'!AM10,YC!AM10,PY!AM10,BY!AM10,SM!AM10,SC!AM10,TC!AM10,ML!AM10,QN!AM10,XL!AM10,'XL (BHTP1)'!AM10,'XL (BHTP2)'!AM10)</f>
        <v>0</v>
      </c>
      <c r="AN10" s="13">
        <f>SUM('TP1'!AN10,'TP2'!AN10,MS!AN10,'MC + Vân hồ'!AN10,YC!AN10,PY!AN10,BY!AN10,SM!AN10,SC!AN10,TC!AN10,ML!AN10,QN!AN10,XL!AN10,'XL (BHTP1)'!AN10,'XL (BHTP2)'!AN10)</f>
        <v>0</v>
      </c>
      <c r="AO10" s="13">
        <f>SUM('TP1'!AO10,'TP2'!AO10,MS!AO10,'MC + Vân hồ'!AO10,YC!AO10,PY!AO10,BY!AO10,SM!AO10,SC!AO10,TC!AO10,ML!AO10,QN!AO10,XL!AO10,'XL (BHTP1)'!AO10,'XL (BHTP2)'!AO10)</f>
        <v>0</v>
      </c>
      <c r="AP10" s="13">
        <f>SUM('TP1'!AP10,'TP2'!AP10,MS!AP10,'MC + Vân hồ'!AP10,YC!AP10,PY!AP10,BY!AP10,SM!AP10,SC!AP10,TC!AP10,ML!AP10,QN!AP10,XL!AP10,'XL (BHTP1)'!AP10,'XL (BHTP2)'!AP10)</f>
        <v>0</v>
      </c>
      <c r="AQ10" s="13">
        <f>SUM('TP1'!AQ10,'TP2'!AQ10,MS!AQ10,'MC + Vân hồ'!AQ10,YC!AQ10,PY!AQ10,BY!AQ10,SM!AQ10,SC!AQ10,TC!AQ10,ML!AQ10,QN!AQ10,XL!AQ10,'XL (BHTP1)'!AQ10,'XL (BHTP2)'!AQ10)</f>
        <v>0</v>
      </c>
      <c r="AR10" s="13">
        <f>SUM('TP1'!AR10,'TP2'!AR10,MS!AR10,'MC + Vân hồ'!AR10,YC!AR10,PY!AR10,BY!AR10,SM!AR10,SC!AR10,TC!AR10,ML!AR10,QN!AR10,XL!AR10,'XL (BHTP1)'!AR10,'XL (BHTP2)'!AR10)</f>
        <v>0</v>
      </c>
      <c r="AS10" s="13">
        <f>SUM('TP1'!AS10,'TP2'!AS10,MS!AS10,'MC + Vân hồ'!AS10,YC!AS10,PY!AS10,BY!AS10,SM!AS10,SC!AS10,TC!AS10,ML!AS10,QN!AS10,XL!AS10,'XL (BHTP1)'!AS10,'XL (BHTP2)'!AS10)</f>
        <v>0</v>
      </c>
      <c r="AT10" s="13">
        <f>SUM('TP1'!AT10,'TP2'!AT10,MS!AT10,'MC + Vân hồ'!AT10,YC!AT10,PY!AT10,BY!AT10,SM!AT10,SC!AT10,TC!AT10,ML!AT10,QN!AT10,XL!AT10,'XL (BHTP1)'!AT10,'XL (BHTP2)'!AT10)</f>
        <v>0</v>
      </c>
      <c r="AU10" s="13">
        <f>SUM('TP1'!AU10,'TP2'!AU10,MS!AU10,'MC + Vân hồ'!AU10,YC!AU10,PY!AU10,BY!AU10,SM!AU10,SC!AU10,TC!AU10,ML!AU10,QN!AU10,XL!AU10,'XL (BHTP1)'!AU10,'XL (BHTP2)'!AU10)</f>
        <v>0</v>
      </c>
      <c r="AV10" s="13">
        <f>SUM('TP1'!AV10,'TP2'!AV10,MS!AV10,'MC + Vân hồ'!AV10,YC!AV10,PY!AV10,BY!AV10,SM!AV10,SC!AV10,TC!AV10,ML!AV10,QN!AV10,XL!AV10,'XL (BHTP1)'!AV10,'XL (BHTP2)'!AV10)</f>
        <v>0</v>
      </c>
      <c r="AW10" s="13">
        <f>SUM('TP1'!AW10,'TP2'!AW10,MS!AW10,'MC + Vân hồ'!AW10,YC!AW10,PY!AW10,BY!AW10,SM!AW10,SC!AW10,TC!AW10,ML!AW10,QN!AW10,XL!AW10,'XL (BHTP1)'!AW10,'XL (BHTP2)'!AW10)</f>
        <v>0</v>
      </c>
      <c r="AX10" s="13">
        <f>SUM('TP1'!AX10,'TP2'!AX10,MS!AX10,'MC + Vân hồ'!AX10,YC!AX10,PY!AX10,BY!AX10,SM!AX10,SC!AX10,TC!AX10,ML!AX10,QN!AX10,XL!AX10,'XL (BHTP1)'!AX10,'XL (BHTP2)'!AX10)</f>
        <v>0</v>
      </c>
      <c r="AY10" s="13">
        <f>SUM('TP1'!AY10,'TP2'!AY10,MS!AY10,'MC + Vân hồ'!AY10,YC!AY10,PY!AY10,BY!AY10,SM!AY10,SC!AY10,TC!AY10,ML!AY10,QN!AY10,XL!AY10,'XL (BHTP1)'!AY10,'XL (BHTP2)'!AY10)</f>
        <v>0</v>
      </c>
      <c r="AZ10" s="13">
        <f>SUM('TP1'!AZ10,'TP2'!AZ10,MS!AZ10,'MC + Vân hồ'!AZ10,YC!AZ10,PY!AZ10,BY!AZ10,SM!AZ10,SC!AZ10,TC!AZ10,ML!AZ10,QN!AZ10,XL!AZ10,'XL (BHTP1)'!AZ10,'XL (BHTP2)'!AZ10)</f>
        <v>0</v>
      </c>
      <c r="BA10" s="13">
        <f>SUM('TP1'!BA10,'TP2'!BA10,MS!BA10,'MC + Vân hồ'!BA10,YC!BA10,PY!BA10,BY!BA10,SM!BA10,SC!BA10,TC!BA10,ML!BA10,QN!BA10,XL!BA10,'XL (BHTP1)'!BA10,'XL (BHTP2)'!BA10)</f>
        <v>0</v>
      </c>
      <c r="BB10" s="13">
        <f>SUM('TP1'!BB10,'TP2'!BB10,MS!BB10,'MC + Vân hồ'!BB10,YC!BB10,PY!BB10,BY!BB10,SM!BB10,SC!BB10,TC!BB10,ML!BB10,QN!BB10,XL!BB10,'XL (BHTP1)'!BB10,'XL (BHTP2)'!BB10)</f>
        <v>0</v>
      </c>
      <c r="BC10" s="13">
        <f>SUM('TP1'!BC10,'TP2'!BC10,MS!BC10,'MC + Vân hồ'!BC10,YC!BC10,PY!BC10,BY!BC10,SM!BC10,SC!BC10,TC!BC10,ML!BC10,QN!BC10,XL!BC10,'XL (BHTP1)'!BC10,'XL (BHTP2)'!BC10)</f>
        <v>0</v>
      </c>
      <c r="BD10" s="13">
        <f>SUM('TP1'!BD10,'TP2'!BD10,MS!BD10,'MC + Vân hồ'!BD10,YC!BD10,PY!BD10,BY!BD10,SM!BD10,SC!BD10,TC!BD10,ML!BD10,QN!BD10,XL!BD10,'XL (BHTP1)'!BD10,'XL (BHTP2)'!BD10)</f>
        <v>0</v>
      </c>
      <c r="BE10" s="13">
        <f>SUM('TP1'!BE10,'TP2'!BE10,MS!BE10,'MC + Vân hồ'!BE10,YC!BE10,PY!BE10,BY!BE10,SM!BE10,SC!BE10,TC!BE10,ML!BE10,QN!BE10,XL!BE10,'XL (BHTP1)'!BE10,'XL (BHTP2)'!BE10)</f>
        <v>0</v>
      </c>
      <c r="BF10" s="13">
        <f>SUM('TP1'!BF10,'TP2'!BF10,MS!BF10,'MC + Vân hồ'!BF10,YC!BF10,PY!BF10,BY!BF10,SM!BF10,SC!BF10,TC!BF10,ML!BF10,QN!BF10,XL!BF10,'XL (BHTP1)'!BF10,'XL (BHTP2)'!BF10)</f>
        <v>0</v>
      </c>
      <c r="BG10" s="13">
        <f>SUM('TP1'!BG10,'TP2'!BG10,MS!BG10,'MC + Vân hồ'!BG10,YC!BG10,PY!BG10,BY!BG10,SM!BG10,SC!BG10,TC!BG10,ML!BG10,QN!BG10,XL!BG10,'XL (BHTP1)'!BG10,'XL (BHTP2)'!BG10)</f>
        <v>0</v>
      </c>
      <c r="BH10" s="13">
        <f>SUM('TP1'!BH10,'TP2'!BH10,MS!BH10,'MC + Vân hồ'!BH10,YC!BH10,PY!BH10,BY!BH10,SM!BH10,SC!BH10,TC!BH10,ML!BH10,QN!BH10,XL!BH10,'XL (BHTP1)'!BH10,'XL (BHTP2)'!BH10)</f>
        <v>0</v>
      </c>
      <c r="BI10" s="13">
        <f>SUM('TP1'!BI10,'TP2'!BI10,MS!BI10,'MC + Vân hồ'!BI10,YC!BI10,PY!BI10,BY!BI10,SM!BI10,SC!BI10,TC!BI10,ML!BI10,QN!BI10,XL!BI10,'XL (BHTP1)'!BI10,'XL (BHTP2)'!BI10)</f>
        <v>0</v>
      </c>
      <c r="BJ10" s="13">
        <f>SUM('TP1'!BJ10,'TP2'!BJ10,MS!BJ10,'MC + Vân hồ'!BJ10,YC!BJ10,PY!BJ10,BY!BJ10,SM!BJ10,SC!BJ10,TC!BJ10,ML!BJ10,QN!BJ10,XL!BJ10,'XL (BHTP1)'!BJ10,'XL (BHTP2)'!BJ10)</f>
        <v>0</v>
      </c>
      <c r="BK10" s="13">
        <f>SUM('TP1'!BK10,'TP2'!BK10,MS!BK10,'MC + Vân hồ'!BK10,YC!BK10,PY!BK10,BY!BK10,SM!BK10,SC!BK10,TC!BK10,ML!BK10,QN!BK10,XL!BK10,'XL (BHTP1)'!BK10,'XL (BHTP2)'!BK10)</f>
        <v>0</v>
      </c>
      <c r="BL10" s="13">
        <f>SUM('TP1'!BL10,'TP2'!BL10,MS!BL10,'MC + Vân hồ'!BL10,YC!BL10,PY!BL10,BY!BL10,SM!BL10,SC!BL10,TC!BL10,ML!BL10,QN!BL10,XL!BL10,'XL (BHTP1)'!BL10,'XL (BHTP2)'!BL10)</f>
        <v>0</v>
      </c>
      <c r="BM10" s="13">
        <f>SUM('TP1'!BM10,'TP2'!BM10,MS!BM10,'MC + Vân hồ'!BM10,YC!BM10,PY!BM10,BY!BM10,SM!BM10,SC!BM10,TC!BM10,ML!BM10,QN!BM10,XL!BM10,'XL (BHTP1)'!BM10,'XL (BHTP2)'!BM10)</f>
        <v>0</v>
      </c>
      <c r="BN10" s="13">
        <f>SUM('TP1'!BN10,'TP2'!BN10,MS!BN10,'MC + Vân hồ'!BN10,YC!BN10,PY!BN10,BY!BN10,SM!BN10,SC!BN10,TC!BN10,ML!BN10,QN!BN10,XL!BN10,'XL (BHTP1)'!BN10,'XL (BHTP2)'!BN10)</f>
        <v>0</v>
      </c>
      <c r="BO10" s="13">
        <f>SUM('TP1'!BO10,'TP2'!BO10,MS!BO10,'MC + Vân hồ'!BO10,YC!BO10,PY!BO10,BY!BO10,SM!BO10,SC!BO10,TC!BO10,ML!BO10,QN!BO10,XL!BO10,'XL (BHTP1)'!BO10,'XL (BHTP2)'!BO10)</f>
        <v>0</v>
      </c>
      <c r="BP10" s="13">
        <f>SUM('TP1'!BP10,'TP2'!BP10,MS!BP10,'MC + Vân hồ'!BP10,YC!BP10,PY!BP10,BY!BP10,SM!BP10,SC!BP10,TC!BP10,ML!BP10,QN!BP10,XL!BP10,'XL (BHTP1)'!BP10,'XL (BHTP2)'!BP10)</f>
        <v>0</v>
      </c>
      <c r="BQ10" s="13">
        <f>SUM('TP1'!BQ10,'TP2'!BQ10,MS!BQ10,'MC + Vân hồ'!BQ10,YC!BQ10,PY!BQ10,BY!BQ10,SM!BQ10,SC!BQ10,TC!BQ10,ML!BQ10,QN!BQ10,XL!BQ10,'XL (BHTP1)'!BQ10,'XL (BHTP2)'!BQ10)</f>
        <v>0</v>
      </c>
      <c r="BR10" s="13">
        <f>SUM('TP1'!BR10,'TP2'!BR10,MS!BR10,'MC + Vân hồ'!BR10,YC!BR10,PY!BR10,BY!BR10,SM!BR10,SC!BR10,TC!BR10,ML!BR10,QN!BR10,XL!BR10,'XL (BHTP1)'!BR10,'XL (BHTP2)'!BR10)</f>
        <v>0</v>
      </c>
      <c r="BS10" s="13">
        <f>SUM('TP1'!BS10,'TP2'!BS10,MS!BS10,'MC + Vân hồ'!BS10,YC!BS10,PY!BS10,BY!BS10,SM!BS10,SC!BS10,TC!BS10,ML!BS10,QN!BS10,XL!BS10,'XL (BHTP1)'!BS10,'XL (BHTP2)'!BS10)</f>
        <v>0</v>
      </c>
      <c r="BT10" s="13">
        <f>SUM('TP1'!BT10,'TP2'!BT10,MS!BT10,'MC + Vân hồ'!BT10,YC!BT10,PY!BT10,BY!BT10,SM!BT10,SC!BT10,TC!BT10,ML!BT10,QN!BT10,XL!BT10,'XL (BHTP1)'!BT10,'XL (BHTP2)'!BT10)</f>
        <v>0</v>
      </c>
      <c r="BU10" s="13">
        <f>SUM('TP1'!BU10,'TP2'!BU10,MS!BU10,'MC + Vân hồ'!BU10,YC!BU10,PY!BU10,BY!BU10,SM!BU10,SC!BU10,TC!BU10,ML!BU10,QN!BU10,XL!BU10,'XL (BHTP1)'!BU10,'XL (BHTP2)'!BU10)</f>
        <v>0</v>
      </c>
      <c r="BV10" s="13">
        <f>SUM('TP1'!BV10,'TP2'!BV10,MS!BV10,'MC + Vân hồ'!BV10,YC!BV10,PY!BV10,BY!BV10,SM!BV10,SC!BV10,TC!BV10,ML!BV10,QN!BV10,XL!BV10,'XL (BHTP1)'!BV10,'XL (BHTP2)'!BV10)</f>
        <v>0</v>
      </c>
      <c r="BW10" s="13">
        <f>SUM('TP1'!BW10,'TP2'!BW10,MS!BW10,'MC + Vân hồ'!BW10,YC!BW10,PY!BW10,BY!BW10,SM!BW10,SC!BW10,TC!BW10,ML!BW10,QN!BW10,XL!BW10,'XL (BHTP1)'!BW10,'XL (BHTP2)'!BW10)</f>
        <v>0</v>
      </c>
      <c r="BX10" s="13">
        <f>SUM('TP1'!BX10,'TP2'!BX10,MS!BX10,'MC + Vân hồ'!BX10,YC!BX10,PY!BX10,BY!BX10,SM!BX10,SC!BX10,TC!BX10,ML!BX10,QN!BX10,XL!BX10,'XL (BHTP1)'!BX10,'XL (BHTP2)'!BX10)</f>
        <v>0</v>
      </c>
      <c r="BY10" s="13">
        <f>SUM('TP1'!BY10,'TP2'!BY10,MS!BY10,'MC + Vân hồ'!BY10,YC!BY10,PY!BY10,BY!BY10,SM!BY10,SC!BY10,TC!BY10,ML!BY10,QN!BY10,XL!BY10,'XL (BHTP1)'!BY10,'XL (BHTP2)'!BY10)</f>
        <v>0</v>
      </c>
      <c r="BZ10" s="13">
        <f>SUM('TP1'!BZ10,'TP2'!BZ10,MS!BZ10,'MC + Vân hồ'!BZ10,YC!BZ10,PY!BZ10,BY!BZ10,SM!BZ10,SC!BZ10,TC!BZ10,ML!BZ10,QN!BZ10,XL!BZ10,'XL (BHTP1)'!BZ10,'XL (BHTP2)'!BZ10)</f>
        <v>0</v>
      </c>
      <c r="CA10" s="13">
        <f>SUM('TP1'!CA10,'TP2'!CA10,MS!CA10,'MC + Vân hồ'!CA10,YC!CA10,PY!CA10,BY!CA10,SM!CA10,SC!CA10,TC!CA10,ML!CA10,QN!CA10,XL!CA10,'XL (BHTP1)'!CA10,'XL (BHTP2)'!CA10)</f>
        <v>0</v>
      </c>
      <c r="CB10" s="13">
        <f>SUM('TP1'!CB10,'TP2'!CB10,MS!CB10,'MC + Vân hồ'!CB10,YC!CB10,PY!CB10,BY!CB10,SM!CB10,SC!CB10,TC!CB10,ML!CB10,QN!CB10,XL!CB10,'XL (BHTP1)'!CB10,'XL (BHTP2)'!CB10)</f>
        <v>0</v>
      </c>
      <c r="CC10" s="13">
        <f>SUM('TP1'!CC10,'TP2'!CC10,MS!CC10,'MC + Vân hồ'!CC10,YC!CC10,PY!CC10,BY!CC10,SM!CC10,SC!CC10,TC!CC10,ML!CC10,QN!CC10,XL!CC10,'XL (BHTP1)'!CC10,'XL (BHTP2)'!CC10)</f>
        <v>0</v>
      </c>
      <c r="CD10" s="13">
        <f>SUM('TP1'!CD10,'TP2'!CD10,MS!CD10,'MC + Vân hồ'!CD10,YC!CD10,PY!CD10,BY!CD10,SM!CD10,SC!CD10,TC!CD10,ML!CD10,QN!CD10,XL!CD10,'XL (BHTP1)'!CD10,'XL (BHTP2)'!CD10)</f>
        <v>0</v>
      </c>
      <c r="CE10" s="13">
        <f>SUM('TP1'!CE10,'TP2'!CE10,MS!CE10,'MC + Vân hồ'!CE10,YC!CE10,PY!CE10,BY!CE10,SM!CE10,SC!CE10,TC!CE10,ML!CE10,QN!CE10,XL!CE10,'XL (BHTP1)'!CE10,'XL (BHTP2)'!CE10)</f>
        <v>0</v>
      </c>
      <c r="CF10" s="13">
        <f>SUM('TP1'!CF10,'TP2'!CF10,MS!CF10,'MC + Vân hồ'!CF10,YC!CF10,PY!CF10,BY!CF10,SM!CF10,SC!CF10,TC!CF10,ML!CF10,QN!CF10,XL!CF10,'XL (BHTP1)'!CF10,'XL (BHTP2)'!CF10)</f>
        <v>0</v>
      </c>
      <c r="CG10" s="13">
        <f>SUM('TP1'!CG10,'TP2'!CG10,MS!CG10,'MC + Vân hồ'!CG10,YC!CG10,PY!CG10,BY!CG10,SM!CG10,SC!CG10,TC!CG10,ML!CG10,QN!CG10,XL!CG10,'XL (BHTP1)'!CG10,'XL (BHTP2)'!CG10)</f>
        <v>0</v>
      </c>
      <c r="CH10" s="13">
        <f>SUM('TP1'!CH10,'TP2'!CH10,MS!CH10,'MC + Vân hồ'!CH10,YC!CH10,PY!CH10,BY!CH10,SM!CH10,SC!CH10,TC!CH10,ML!CH10,QN!CH10,XL!CH10,'XL (BHTP1)'!CH10,'XL (BHTP2)'!CH10)</f>
        <v>0</v>
      </c>
      <c r="CI10" s="13">
        <f>SUM('TP1'!CI10,'TP2'!CI10,MS!CI10,'MC + Vân hồ'!CI10,YC!CI10,PY!CI10,BY!CI10,SM!CI10,SC!CI10,TC!CI10,ML!CI10,QN!CI10,XL!CI10,'XL (BHTP1)'!CI10,'XL (BHTP2)'!CI10)</f>
        <v>0</v>
      </c>
      <c r="CJ10" s="13">
        <f>SUM('TP1'!CJ10,'TP2'!CJ10,MS!CJ10,'MC + Vân hồ'!CJ10,YC!CJ10,PY!CJ10,BY!CJ10,SM!CJ10,SC!CJ10,TC!CJ10,ML!CJ10,QN!CJ10,XL!CJ10,'XL (BHTP1)'!CJ10,'XL (BHTP2)'!CJ10)</f>
        <v>0</v>
      </c>
      <c r="CK10" s="73">
        <f t="shared" ref="CK10:CQ10" si="6">SUM(E10,L10,S10,Z10,AG10,AN10,AU10,BB10,BI10,BP10,BW10,CD10)</f>
        <v>0</v>
      </c>
      <c r="CL10" s="73">
        <f t="shared" si="6"/>
        <v>0</v>
      </c>
      <c r="CM10" s="73">
        <f t="shared" si="6"/>
        <v>0</v>
      </c>
      <c r="CN10" s="73">
        <f t="shared" si="6"/>
        <v>0</v>
      </c>
      <c r="CO10" s="73">
        <f t="shared" si="6"/>
        <v>0</v>
      </c>
      <c r="CP10" s="73">
        <f t="shared" si="6"/>
        <v>0</v>
      </c>
      <c r="CQ10" s="73">
        <f t="shared" si="6"/>
        <v>0</v>
      </c>
      <c r="CR10" s="56"/>
      <c r="CS10" s="56">
        <f t="shared" si="3"/>
        <v>0</v>
      </c>
    </row>
    <row r="11" outlineLevel="1">
      <c r="B11" s="12" t="s">
        <v>34</v>
      </c>
      <c r="C11" s="12" t="s">
        <v>35</v>
      </c>
      <c r="D11" s="12" t="s">
        <v>26</v>
      </c>
      <c r="E11" s="13">
        <f>SUM('TP1'!E11,'TP2'!E11,MS!E11,'MC + Vân hồ'!E11,YC!E11,PY!E11,BY!E11,SM!E11,SC!E11,TC!E11,ML!E11,QN!E11,XL!E11,'XL (BHTP1)'!E11,'XL (BHTP2)'!E11)</f>
        <v>0</v>
      </c>
      <c r="F11" s="13">
        <f>SUM('TP1'!F11,'TP2'!F11,MS!F11,'MC + Vân hồ'!F11,YC!F11,PY!F11,BY!F11,SM!F11,SC!F11,TC!F11,ML!F11,QN!F11,XL!F11,'XL (BHTP1)'!F11,'XL (BHTP2)'!F11)</f>
        <v>0</v>
      </c>
      <c r="G11" s="13">
        <f>SUM('TP1'!G11,'TP2'!G11,MS!G11,'MC + Vân hồ'!G11,YC!G11,PY!G11,BY!G11,SM!G11,SC!G11,TC!G11,ML!G11,QN!G11,XL!G11,'XL (BHTP1)'!G11,'XL (BHTP2)'!G11)</f>
        <v>0</v>
      </c>
      <c r="H11" s="13">
        <f>SUM('TP1'!H11,'TP2'!H11,MS!H11,'MC + Vân hồ'!H11,YC!H11,PY!H11,BY!H11,SM!H11,SC!H11,TC!H11,ML!H11,QN!H11,XL!H11,'XL (BHTP1)'!H11,'XL (BHTP2)'!H11)</f>
        <v>0</v>
      </c>
      <c r="I11" s="13">
        <f>SUM('TP1'!I11,'TP2'!I11,MS!I11,'MC + Vân hồ'!I11,YC!I11,PY!I11,BY!I11,SM!I11,SC!I11,TC!I11,ML!I11,QN!I11,XL!I11,'XL (BHTP1)'!I11,'XL (BHTP2)'!I11)</f>
        <v>0</v>
      </c>
      <c r="J11" s="13">
        <f>SUM('TP1'!J11,'TP2'!J11,MS!J11,'MC + Vân hồ'!J11,YC!J11,PY!J11,BY!J11,SM!J11,SC!J11,TC!J11,ML!J11,QN!J11,XL!J11,'XL (BHTP1)'!J11,'XL (BHTP2)'!J11)</f>
        <v>0</v>
      </c>
      <c r="K11" s="13">
        <f>SUM('TP1'!K11,'TP2'!K11,MS!K11,'MC + Vân hồ'!K11,YC!K11,PY!K11,BY!K11,SM!K11,SC!K11,TC!K11,ML!K11,QN!K11,XL!K11,'XL (BHTP1)'!K11,'XL (BHTP2)'!K11)</f>
        <v>0</v>
      </c>
      <c r="L11" s="13">
        <f>SUM('TP1'!L11,'TP2'!L11,MS!L11,'MC + Vân hồ'!L11,YC!L11,PY!L11,BY!L11,SM!L11,SC!L11,TC!L11,ML!L11,QN!L11,XL!L11,'XL (BHTP1)'!L11,'XL (BHTP2)'!L11)</f>
        <v>0</v>
      </c>
      <c r="M11" s="13">
        <f>SUM('TP1'!M11,'TP2'!M11,MS!M11,'MC + Vân hồ'!M11,YC!M11,PY!M11,BY!M11,SM!M11,SC!M11,TC!M11,ML!M11,QN!M11,XL!M11,'XL (BHTP1)'!M11,'XL (BHTP2)'!M11)</f>
        <v>0</v>
      </c>
      <c r="N11" s="13">
        <f>SUM('TP1'!N11,'TP2'!N11,MS!N11,'MC + Vân hồ'!N11,YC!N11,PY!N11,BY!N11,SM!N11,SC!N11,TC!N11,ML!N11,QN!N11,XL!N11,'XL (BHTP1)'!N11,'XL (BHTP2)'!N11)</f>
        <v>0</v>
      </c>
      <c r="O11" s="13">
        <f>SUM('TP1'!O11,'TP2'!O11,MS!O11,'MC + Vân hồ'!O11,YC!O11,PY!O11,BY!O11,SM!O11,SC!O11,TC!O11,ML!O11,QN!O11,XL!O11,'XL (BHTP1)'!O11,'XL (BHTP2)'!O11)</f>
        <v>0</v>
      </c>
      <c r="P11" s="13">
        <f>SUM('TP1'!P11,'TP2'!P11,MS!P11,'MC + Vân hồ'!P11,YC!P11,PY!P11,BY!P11,SM!P11,SC!P11,TC!P11,ML!P11,QN!P11,XL!P11,'XL (BHTP1)'!P11,'XL (BHTP2)'!P11)</f>
        <v>0</v>
      </c>
      <c r="Q11" s="13">
        <f>SUM('TP1'!Q11,'TP2'!Q11,MS!Q11,'MC + Vân hồ'!Q11,YC!Q11,PY!Q11,BY!Q11,SM!Q11,SC!Q11,TC!Q11,ML!Q11,QN!Q11,XL!Q11,'XL (BHTP1)'!Q11,'XL (BHTP2)'!Q11)</f>
        <v>0</v>
      </c>
      <c r="R11" s="13">
        <f>SUM('TP1'!R11,'TP2'!R11,MS!R11,'MC + Vân hồ'!R11,YC!R11,PY!R11,BY!R11,SM!R11,SC!R11,TC!R11,ML!R11,QN!R11,XL!R11,'XL (BHTP1)'!R11,'XL (BHTP2)'!R11)</f>
        <v>0</v>
      </c>
      <c r="S11" s="13">
        <f>SUM('TP1'!S11,'TP2'!S11,MS!S11,'MC + Vân hồ'!S11,YC!S11,PY!S11,BY!S11,SM!S11,SC!S11,TC!S11,ML!S11,QN!S11,XL!S11,'XL (BHTP1)'!S11,'XL (BHTP2)'!S11)</f>
        <v>0</v>
      </c>
      <c r="T11" s="13">
        <f>SUM('TP1'!T11,'TP2'!T11,MS!T11,'MC + Vân hồ'!T11,YC!T11,PY!T11,BY!T11,SM!T11,SC!T11,TC!T11,ML!T11,QN!T11,XL!T11,'XL (BHTP1)'!T11,'XL (BHTP2)'!T11)</f>
        <v>0</v>
      </c>
      <c r="U11" s="13">
        <f>SUM('TP1'!U11,'TP2'!U11,MS!U11,'MC + Vân hồ'!U11,YC!U11,PY!U11,BY!U11,SM!U11,SC!U11,TC!U11,ML!U11,QN!U11,XL!U11,'XL (BHTP1)'!U11,'XL (BHTP2)'!U11)</f>
        <v>0</v>
      </c>
      <c r="V11" s="13">
        <f>SUM('TP1'!V11,'TP2'!V11,MS!V11,'MC + Vân hồ'!V11,YC!V11,PY!V11,BY!V11,SM!V11,SC!V11,TC!V11,ML!V11,QN!V11,XL!V11,'XL (BHTP1)'!V11,'XL (BHTP2)'!V11)</f>
        <v>0</v>
      </c>
      <c r="W11" s="13">
        <f>SUM('TP1'!W11,'TP2'!W11,MS!W11,'MC + Vân hồ'!W11,YC!W11,PY!W11,BY!W11,SM!W11,SC!W11,TC!W11,ML!W11,QN!W11,XL!W11,'XL (BHTP1)'!W11,'XL (BHTP2)'!W11)</f>
        <v>0</v>
      </c>
      <c r="X11" s="13">
        <f>SUM('TP1'!X11,'TP2'!X11,MS!X11,'MC + Vân hồ'!X11,YC!X11,PY!X11,BY!X11,SM!X11,SC!X11,TC!X11,ML!X11,QN!X11,XL!X11,'XL (BHTP1)'!X11,'XL (BHTP2)'!X11)</f>
        <v>0</v>
      </c>
      <c r="Y11" s="13">
        <f>SUM('TP1'!Y11,'TP2'!Y11,MS!Y11,'MC + Vân hồ'!Y11,YC!Y11,PY!Y11,BY!Y11,SM!Y11,SC!Y11,TC!Y11,ML!Y11,QN!Y11,XL!Y11,'XL (BHTP1)'!Y11,'XL (BHTP2)'!Y11)</f>
        <v>0</v>
      </c>
      <c r="Z11" s="13">
        <f>SUM('TP1'!Z11,'TP2'!Z11,MS!Z11,'MC + Vân hồ'!Z11,YC!Z11,PY!Z11,BY!Z11,SM!Z11,SC!Z11,TC!Z11,ML!Z11,QN!Z11,XL!Z11,'XL (BHTP1)'!Z11,'XL (BHTP2)'!Z11)</f>
        <v>0</v>
      </c>
      <c r="AA11" s="13">
        <f>SUM('TP1'!AA11,'TP2'!AA11,MS!AA11,'MC + Vân hồ'!AA11,YC!AA11,PY!AA11,BY!AA11,SM!AA11,SC!AA11,TC!AA11,ML!AA11,QN!AA11,XL!AA11,'XL (BHTP1)'!AA11,'XL (BHTP2)'!AA11)</f>
        <v>0</v>
      </c>
      <c r="AB11" s="13">
        <f>SUM('TP1'!AB11,'TP2'!AB11,MS!AB11,'MC + Vân hồ'!AB11,YC!AB11,PY!AB11,BY!AB11,SM!AB11,SC!AB11,TC!AB11,ML!AB11,QN!AB11,XL!AB11,'XL (BHTP1)'!AB11,'XL (BHTP2)'!AB11)</f>
        <v>0</v>
      </c>
      <c r="AC11" s="13">
        <f>SUM('TP1'!AC11,'TP2'!AC11,MS!AC11,'MC + Vân hồ'!AC11,YC!AC11,PY!AC11,BY!AC11,SM!AC11,SC!AC11,TC!AC11,ML!AC11,QN!AC11,XL!AC11,'XL (BHTP1)'!AC11,'XL (BHTP2)'!AC11)</f>
        <v>0</v>
      </c>
      <c r="AD11" s="13">
        <f>SUM('TP1'!AD11,'TP2'!AD11,MS!AD11,'MC + Vân hồ'!AD11,YC!AD11,PY!AD11,BY!AD11,SM!AD11,SC!AD11,TC!AD11,ML!AD11,QN!AD11,XL!AD11,'XL (BHTP1)'!AD11,'XL (BHTP2)'!AD11)</f>
        <v>0</v>
      </c>
      <c r="AE11" s="13">
        <f>SUM('TP1'!AE11,'TP2'!AE11,MS!AE11,'MC + Vân hồ'!AE11,YC!AE11,PY!AE11,BY!AE11,SM!AE11,SC!AE11,TC!AE11,ML!AE11,QN!AE11,XL!AE11,'XL (BHTP1)'!AE11,'XL (BHTP2)'!AE11)</f>
        <v>0</v>
      </c>
      <c r="AF11" s="13">
        <f>SUM('TP1'!AF11,'TP2'!AF11,MS!AF11,'MC + Vân hồ'!AF11,YC!AF11,PY!AF11,BY!AF11,SM!AF11,SC!AF11,TC!AF11,ML!AF11,QN!AF11,XL!AF11,'XL (BHTP1)'!AF11,'XL (BHTP2)'!AF11)</f>
        <v>0</v>
      </c>
      <c r="AG11" s="13">
        <f>SUM('TP1'!AG11,'TP2'!AG11,MS!AG11,'MC + Vân hồ'!AG11,YC!AG11,PY!AG11,BY!AG11,SM!AG11,SC!AG11,TC!AG11,ML!AG11,QN!AG11,XL!AG11,'XL (BHTP1)'!AG11,'XL (BHTP2)'!AG11)</f>
        <v>0</v>
      </c>
      <c r="AH11" s="13">
        <f>SUM('TP1'!AH11,'TP2'!AH11,MS!AH11,'MC + Vân hồ'!AH11,YC!AH11,PY!AH11,BY!AH11,SM!AH11,SC!AH11,TC!AH11,ML!AH11,QN!AH11,XL!AH11,'XL (BHTP1)'!AH11,'XL (BHTP2)'!AH11)</f>
        <v>0</v>
      </c>
      <c r="AI11" s="13">
        <f>SUM('TP1'!AI11,'TP2'!AI11,MS!AI11,'MC + Vân hồ'!AI11,YC!AI11,PY!AI11,BY!AI11,SM!AI11,SC!AI11,TC!AI11,ML!AI11,QN!AI11,XL!AI11,'XL (BHTP1)'!AI11,'XL (BHTP2)'!AI11)</f>
        <v>0</v>
      </c>
      <c r="AJ11" s="13">
        <f>SUM('TP1'!AJ11,'TP2'!AJ11,MS!AJ11,'MC + Vân hồ'!AJ11,YC!AJ11,PY!AJ11,BY!AJ11,SM!AJ11,SC!AJ11,TC!AJ11,ML!AJ11,QN!AJ11,XL!AJ11,'XL (BHTP1)'!AJ11,'XL (BHTP2)'!AJ11)</f>
        <v>0</v>
      </c>
      <c r="AK11" s="13">
        <f>SUM('TP1'!AK11,'TP2'!AK11,MS!AK11,'MC + Vân hồ'!AK11,YC!AK11,PY!AK11,BY!AK11,SM!AK11,SC!AK11,TC!AK11,ML!AK11,QN!AK11,XL!AK11,'XL (BHTP1)'!AK11,'XL (BHTP2)'!AK11)</f>
        <v>0</v>
      </c>
      <c r="AL11" s="13">
        <f>SUM('TP1'!AL11,'TP2'!AL11,MS!AL11,'MC + Vân hồ'!AL11,YC!AL11,PY!AL11,BY!AL11,SM!AL11,SC!AL11,TC!AL11,ML!AL11,QN!AL11,XL!AL11,'XL (BHTP1)'!AL11,'XL (BHTP2)'!AL11)</f>
        <v>0</v>
      </c>
      <c r="AM11" s="13">
        <f>SUM('TP1'!AM11,'TP2'!AM11,MS!AM11,'MC + Vân hồ'!AM11,YC!AM11,PY!AM11,BY!AM11,SM!AM11,SC!AM11,TC!AM11,ML!AM11,QN!AM11,XL!AM11,'XL (BHTP1)'!AM11,'XL (BHTP2)'!AM11)</f>
        <v>0</v>
      </c>
      <c r="AN11" s="13">
        <f>SUM('TP1'!AN11,'TP2'!AN11,MS!AN11,'MC + Vân hồ'!AN11,YC!AN11,PY!AN11,BY!AN11,SM!AN11,SC!AN11,TC!AN11,ML!AN11,QN!AN11,XL!AN11,'XL (BHTP1)'!AN11,'XL (BHTP2)'!AN11)</f>
        <v>0</v>
      </c>
      <c r="AO11" s="13">
        <f>SUM('TP1'!AO11,'TP2'!AO11,MS!AO11,'MC + Vân hồ'!AO11,YC!AO11,PY!AO11,BY!AO11,SM!AO11,SC!AO11,TC!AO11,ML!AO11,QN!AO11,XL!AO11,'XL (BHTP1)'!AO11,'XL (BHTP2)'!AO11)</f>
        <v>0</v>
      </c>
      <c r="AP11" s="13">
        <f>SUM('TP1'!AP11,'TP2'!AP11,MS!AP11,'MC + Vân hồ'!AP11,YC!AP11,PY!AP11,BY!AP11,SM!AP11,SC!AP11,TC!AP11,ML!AP11,QN!AP11,XL!AP11,'XL (BHTP1)'!AP11,'XL (BHTP2)'!AP11)</f>
        <v>0</v>
      </c>
      <c r="AQ11" s="13">
        <f>SUM('TP1'!AQ11,'TP2'!AQ11,MS!AQ11,'MC + Vân hồ'!AQ11,YC!AQ11,PY!AQ11,BY!AQ11,SM!AQ11,SC!AQ11,TC!AQ11,ML!AQ11,QN!AQ11,XL!AQ11,'XL (BHTP1)'!AQ11,'XL (BHTP2)'!AQ11)</f>
        <v>0</v>
      </c>
      <c r="AR11" s="13">
        <f>SUM('TP1'!AR11,'TP2'!AR11,MS!AR11,'MC + Vân hồ'!AR11,YC!AR11,PY!AR11,BY!AR11,SM!AR11,SC!AR11,TC!AR11,ML!AR11,QN!AR11,XL!AR11,'XL (BHTP1)'!AR11,'XL (BHTP2)'!AR11)</f>
        <v>0</v>
      </c>
      <c r="AS11" s="13">
        <f>SUM('TP1'!AS11,'TP2'!AS11,MS!AS11,'MC + Vân hồ'!AS11,YC!AS11,PY!AS11,BY!AS11,SM!AS11,SC!AS11,TC!AS11,ML!AS11,QN!AS11,XL!AS11,'XL (BHTP1)'!AS11,'XL (BHTP2)'!AS11)</f>
        <v>0</v>
      </c>
      <c r="AT11" s="13">
        <f>SUM('TP1'!AT11,'TP2'!AT11,MS!AT11,'MC + Vân hồ'!AT11,YC!AT11,PY!AT11,BY!AT11,SM!AT11,SC!AT11,TC!AT11,ML!AT11,QN!AT11,XL!AT11,'XL (BHTP1)'!AT11,'XL (BHTP2)'!AT11)</f>
        <v>0</v>
      </c>
      <c r="AU11" s="13">
        <f>SUM('TP1'!AU11,'TP2'!AU11,MS!AU11,'MC + Vân hồ'!AU11,YC!AU11,PY!AU11,BY!AU11,SM!AU11,SC!AU11,TC!AU11,ML!AU11,QN!AU11,XL!AU11,'XL (BHTP1)'!AU11,'XL (BHTP2)'!AU11)</f>
        <v>0</v>
      </c>
      <c r="AV11" s="13">
        <f>SUM('TP1'!AV11,'TP2'!AV11,MS!AV11,'MC + Vân hồ'!AV11,YC!AV11,PY!AV11,BY!AV11,SM!AV11,SC!AV11,TC!AV11,ML!AV11,QN!AV11,XL!AV11,'XL (BHTP1)'!AV11,'XL (BHTP2)'!AV11)</f>
        <v>0</v>
      </c>
      <c r="AW11" s="13">
        <f>SUM('TP1'!AW11,'TP2'!AW11,MS!AW11,'MC + Vân hồ'!AW11,YC!AW11,PY!AW11,BY!AW11,SM!AW11,SC!AW11,TC!AW11,ML!AW11,QN!AW11,XL!AW11,'XL (BHTP1)'!AW11,'XL (BHTP2)'!AW11)</f>
        <v>0</v>
      </c>
      <c r="AX11" s="13" t="str">
        <f>SUM(#REF!,'TP2'!AX11,MS!AX11,'MC + Vân hồ'!AX11,YC!AX11,PY!AX11,BY!AX11,SM!AX11,SC!AX11,TC!AX11,ML!AX11,QN!AX11,XL!AX11,'XL (BHTP1)'!AX11,'XL (BHTP2)'!AX11)</f>
        <v>#REF!</v>
      </c>
      <c r="AY11" s="13">
        <f>SUM('TP1'!AY11,'TP2'!AY11,MS!AY11,'MC + Vân hồ'!AY11,YC!AY11,PY!AY11,BY!AY11,SM!AY11,SC!AY11,TC!AY11,ML!AY11,QN!AY11,XL!AY11,'XL (BHTP1)'!AY11,'XL (BHTP2)'!AY11)</f>
        <v>0</v>
      </c>
      <c r="AZ11" s="13">
        <f>SUM('TP1'!AZ11,'TP2'!AZ11,MS!AZ11,'MC + Vân hồ'!AZ11,YC!AZ11,PY!AZ11,BY!AZ11,SM!AZ11,SC!AZ11,TC!AZ11,ML!AZ11,QN!AZ11,XL!AZ11,'XL (BHTP1)'!AZ11,'XL (BHTP2)'!AZ11)</f>
        <v>0</v>
      </c>
      <c r="BA11" s="13">
        <f>SUM('TP1'!BA11,'TP2'!BA11,MS!BA11,'MC + Vân hồ'!BA11,YC!BA11,PY!BA11,BY!BA11,SM!BA11,SC!BA11,TC!BA11,ML!BA11,QN!BA11,XL!BA11,'XL (BHTP1)'!BA11,'XL (BHTP2)'!BA11)</f>
        <v>0</v>
      </c>
      <c r="BB11" s="13">
        <f>SUM('TP1'!BB11,'TP2'!BB11,MS!BB11,'MC + Vân hồ'!BB11,YC!BB11,PY!BB11,BY!BB11,SM!BB11,SC!BB11,TC!BB11,ML!BB11,QN!BB11,XL!BB11,'XL (BHTP1)'!BB11,'XL (BHTP2)'!BB11)</f>
        <v>0</v>
      </c>
      <c r="BC11" s="13">
        <f>SUM('TP1'!BC11,'TP2'!BC11,MS!BC11,'MC + Vân hồ'!BC11,YC!BC11,PY!BC11,BY!BC11,SM!BC11,SC!BC11,TC!BC11,ML!BC11,QN!BC11,XL!BC11,'XL (BHTP1)'!BC11,'XL (BHTP2)'!BC11)</f>
        <v>0</v>
      </c>
      <c r="BD11" s="13">
        <f>SUM('TP1'!BD11,'TP2'!BD11,MS!BD11,'MC + Vân hồ'!BD11,YC!BD11,PY!BD11,BY!BD11,SM!BD11,SC!BD11,TC!BD11,ML!BD11,QN!BD11,XL!BD11,'XL (BHTP1)'!BD11,'XL (BHTP2)'!BD11)</f>
        <v>0</v>
      </c>
      <c r="BE11" s="13">
        <f>SUM('TP1'!BE11,'TP2'!BE11,MS!BE11,'MC + Vân hồ'!BE11,YC!BE11,PY!BE11,BY!BE11,SM!BE11,SC!BE11,TC!BE11,ML!BE11,QN!BE11,XL!BE11,'XL (BHTP1)'!BE11,'XL (BHTP2)'!BE11)</f>
        <v>0</v>
      </c>
      <c r="BF11" s="13">
        <f>SUM('TP1'!BF11,'TP2'!BF11,MS!BF11,'MC + Vân hồ'!BF11,YC!BF11,PY!BF11,BY!BF11,SM!BF11,SC!BF11,TC!BF11,ML!BF11,QN!BF11,XL!BF11,'XL (BHTP1)'!BF11,'XL (BHTP2)'!BF11)</f>
        <v>0</v>
      </c>
      <c r="BG11" s="13">
        <f>SUM('TP1'!BG11,'TP2'!BG11,MS!BG11,'MC + Vân hồ'!BG11,YC!BG11,PY!BG11,BY!BG11,SM!BG11,SC!BG11,TC!BG11,ML!BG11,QN!BG11,XL!BG11,'XL (BHTP1)'!BG11,'XL (BHTP2)'!BG11)</f>
        <v>0</v>
      </c>
      <c r="BH11" s="13">
        <f>SUM('TP1'!BH11,'TP2'!BH11,MS!BH11,'MC + Vân hồ'!BH11,YC!BH11,PY!BH11,BY!BH11,SM!BH11,SC!BH11,TC!BH11,ML!BH11,QN!BH11,XL!BH11,'XL (BHTP1)'!BH11,'XL (BHTP2)'!BH11)</f>
        <v>0</v>
      </c>
      <c r="BI11" s="13">
        <f>SUM('TP1'!BI11,'TP2'!BI11,MS!BI11,'MC + Vân hồ'!BI11,YC!BI11,PY!BI11,BY!BI11,SM!BI11,SC!BI11,TC!BI11,ML!BI11,QN!BI11,XL!BI11,'XL (BHTP1)'!BI11,'XL (BHTP2)'!BI11)</f>
        <v>0</v>
      </c>
      <c r="BJ11" s="13">
        <f>SUM('TP1'!BJ11,'TP2'!BJ11,MS!BJ11,'MC + Vân hồ'!BJ11,YC!BJ11,PY!BJ11,BY!BJ11,SM!BJ11,SC!BJ11,TC!BJ11,ML!BJ11,QN!BJ11,XL!BJ11,'XL (BHTP1)'!BJ11,'XL (BHTP2)'!BJ11)</f>
        <v>0</v>
      </c>
      <c r="BK11" s="13">
        <f>SUM('TP1'!BK11,'TP2'!BK11,MS!BK11,'MC + Vân hồ'!BK11,YC!BK11,PY!BK11,BY!BK11,SM!BK11,SC!BK11,TC!BK11,ML!BK11,QN!BK11,XL!BK11,'XL (BHTP1)'!BK11,'XL (BHTP2)'!BK11)</f>
        <v>0</v>
      </c>
      <c r="BL11" s="13">
        <f>SUM('TP1'!BL11,'TP2'!BL11,MS!BL11,'MC + Vân hồ'!BL11,YC!BL11,PY!BL11,BY!BL11,SM!BL11,SC!BL11,TC!BL11,ML!BL11,QN!BL11,XL!BL11,'XL (BHTP1)'!BL11,'XL (BHTP2)'!BL11)</f>
        <v>0</v>
      </c>
      <c r="BM11" s="13">
        <f>SUM('TP1'!BM11,'TP2'!BM11,MS!BM11,'MC + Vân hồ'!BM11,YC!BM11,PY!BM11,BY!BM11,SM!BM11,SC!BM11,TC!BM11,ML!BM11,QN!BM11,XL!BM11,'XL (BHTP1)'!BM11,'XL (BHTP2)'!BM11)</f>
        <v>0</v>
      </c>
      <c r="BN11" s="13">
        <f>SUM('TP1'!BN11,'TP2'!BN11,MS!BN11,'MC + Vân hồ'!BN11,YC!BN11,PY!BN11,BY!BN11,SM!BN11,SC!BN11,TC!BN11,ML!BN11,QN!BN11,XL!BN11,'XL (BHTP1)'!BN11,'XL (BHTP2)'!BN11)</f>
        <v>0</v>
      </c>
      <c r="BO11" s="13">
        <f>SUM('TP1'!BO11,'TP2'!BO11,MS!BO11,'MC + Vân hồ'!BO11,YC!BO11,PY!BO11,BY!BO11,SM!BO11,SC!BO11,TC!BO11,ML!BO11,QN!BO11,XL!BO11,'XL (BHTP1)'!BO11,'XL (BHTP2)'!BO11)</f>
        <v>0</v>
      </c>
      <c r="BP11" s="13">
        <f>SUM('TP1'!BP11,'TP2'!BP11,MS!BP11,'MC + Vân hồ'!BP11,YC!BP11,PY!BP11,BY!BP11,SM!BP11,SC!BP11,TC!BP11,ML!BP11,QN!BP11,XL!BP11,'XL (BHTP1)'!BP11,'XL (BHTP2)'!BP11)</f>
        <v>0</v>
      </c>
      <c r="BQ11" s="13">
        <f>SUM('TP1'!BQ11,'TP2'!BQ11,MS!BQ11,'MC + Vân hồ'!BQ11,YC!BQ11,PY!BQ11,BY!BQ11,SM!BQ11,SC!BQ11,TC!BQ11,ML!BQ11,QN!BQ11,XL!BQ11,'XL (BHTP1)'!BQ11,'XL (BHTP2)'!BQ11)</f>
        <v>0</v>
      </c>
      <c r="BR11" s="13">
        <f>SUM('TP1'!BR11,'TP2'!BR11,MS!BR11,'MC + Vân hồ'!BR11,YC!BR11,PY!BR11,BY!BR11,SM!BR11,SC!BR11,TC!BR11,ML!BR11,QN!BR11,XL!BR11,'XL (BHTP1)'!BR11,'XL (BHTP2)'!BR11)</f>
        <v>0</v>
      </c>
      <c r="BS11" s="13">
        <f>SUM('TP1'!BS11,'TP2'!BS11,MS!BS11,'MC + Vân hồ'!BS11,YC!BS11,PY!BS11,BY!BS11,SM!BS11,SC!BS11,TC!BS11,ML!BS11,QN!BS11,XL!BS11,'XL (BHTP1)'!BS11,'XL (BHTP2)'!BS11)</f>
        <v>0</v>
      </c>
      <c r="BT11" s="13">
        <f>SUM('TP1'!BT11,'TP2'!BT11,MS!BT11,'MC + Vân hồ'!BT11,YC!BT11,PY!BT11,BY!BT11,SM!BT11,SC!BT11,TC!BT11,ML!BT11,QN!BT11,XL!BT11,'XL (BHTP1)'!BT11,'XL (BHTP2)'!BT11)</f>
        <v>0</v>
      </c>
      <c r="BU11" s="13">
        <f>SUM('TP1'!BU11,'TP2'!BU11,MS!BU11,'MC + Vân hồ'!BU11,YC!BU11,PY!BU11,BY!BU11,SM!BU11,SC!BU11,TC!BU11,ML!BU11,QN!BU11,XL!BU11,'XL (BHTP1)'!BU11,'XL (BHTP2)'!BU11)</f>
        <v>0</v>
      </c>
      <c r="BV11" s="13">
        <f>SUM('TP1'!BV11,'TP2'!BV11,MS!BV11,'MC + Vân hồ'!BV11,YC!BV11,PY!BV11,BY!BV11,SM!BV11,SC!BV11,TC!BV11,ML!BV11,QN!BV11,XL!BV11,'XL (BHTP1)'!BV11,'XL (BHTP2)'!BV11)</f>
        <v>0</v>
      </c>
      <c r="BW11" s="13">
        <f>SUM('TP1'!BW11,'TP2'!BW11,MS!BW11,'MC + Vân hồ'!BW11,YC!BW11,PY!BW11,BY!BW11,SM!BW11,SC!BW11,TC!BW11,ML!BW11,QN!BW11,XL!BW11,'XL (BHTP1)'!BW11,'XL (BHTP2)'!BW11)</f>
        <v>0</v>
      </c>
      <c r="BX11" s="13">
        <f>SUM('TP1'!BX11,'TP2'!BX11,MS!BX11,'MC + Vân hồ'!BX11,YC!BX11,PY!BX11,BY!BX11,SM!BX11,SC!BX11,TC!BX11,ML!BX11,QN!BX11,XL!BX11,'XL (BHTP1)'!BX11,'XL (BHTP2)'!BX11)</f>
        <v>0</v>
      </c>
      <c r="BY11" s="13">
        <f>SUM('TP1'!BY11,'TP2'!BY11,MS!BY11,'MC + Vân hồ'!BY11,YC!BY11,PY!BY11,BY!BY11,SM!BY11,SC!BY11,TC!BY11,ML!BY11,QN!BY11,XL!BY11,'XL (BHTP1)'!BY11,'XL (BHTP2)'!BY11)</f>
        <v>0</v>
      </c>
      <c r="BZ11" s="13">
        <f>SUM('TP1'!BZ11,'TP2'!BZ11,MS!BZ11,'MC + Vân hồ'!BZ11,YC!BZ11,PY!BZ11,BY!BZ11,SM!BZ11,SC!BZ11,TC!BZ11,ML!BZ11,QN!BZ11,XL!BZ11,'XL (BHTP1)'!BZ11,'XL (BHTP2)'!BZ11)</f>
        <v>0</v>
      </c>
      <c r="CA11" s="13">
        <f>SUM('TP1'!CA11,'TP2'!CA11,MS!CA11,'MC + Vân hồ'!CA11,YC!CA11,PY!CA11,BY!CA11,SM!CA11,SC!CA11,TC!CA11,ML!CA11,QN!CA11,XL!CA11,'XL (BHTP1)'!CA11,'XL (BHTP2)'!CA11)</f>
        <v>0</v>
      </c>
      <c r="CB11" s="13">
        <f>SUM('TP1'!CB11,'TP2'!CB11,MS!CB11,'MC + Vân hồ'!CB11,YC!CB11,PY!CB11,BY!CB11,SM!CB11,SC!CB11,TC!CB11,ML!CB11,QN!CB11,XL!CB11,'XL (BHTP1)'!CB11,'XL (BHTP2)'!CB11)</f>
        <v>0</v>
      </c>
      <c r="CC11" s="13">
        <f>SUM('TP1'!CC11,'TP2'!CC11,MS!CC11,'MC + Vân hồ'!CC11,YC!CC11,PY!CC11,BY!CC11,SM!CC11,SC!CC11,TC!CC11,ML!CC11,QN!CC11,XL!CC11,'XL (BHTP1)'!CC11,'XL (BHTP2)'!CC11)</f>
        <v>0</v>
      </c>
      <c r="CD11" s="13">
        <f>SUM('TP1'!CD11,'TP2'!CD11,MS!CD11,'MC + Vân hồ'!CD11,YC!CD11,PY!CD11,BY!CD11,SM!CD11,SC!CD11,TC!CD11,ML!CD11,QN!CD11,XL!CD11,'XL (BHTP1)'!CD11,'XL (BHTP2)'!CD11)</f>
        <v>0</v>
      </c>
      <c r="CE11" s="13">
        <f>SUM('TP1'!CE11,'TP2'!CE11,MS!CE11,'MC + Vân hồ'!CE11,YC!CE11,PY!CE11,BY!CE11,SM!CE11,SC!CE11,TC!CE11,ML!CE11,QN!CE11,XL!CE11,'XL (BHTP1)'!CE11,'XL (BHTP2)'!CE11)</f>
        <v>0</v>
      </c>
      <c r="CF11" s="13">
        <f>SUM('TP1'!CF11,'TP2'!CF11,MS!CF11,'MC + Vân hồ'!CF11,YC!CF11,PY!CF11,BY!CF11,SM!CF11,SC!CF11,TC!CF11,ML!CF11,QN!CF11,XL!CF11,'XL (BHTP1)'!CF11,'XL (BHTP2)'!CF11)</f>
        <v>0</v>
      </c>
      <c r="CG11" s="13">
        <f>SUM('TP1'!CG11,'TP2'!CG11,MS!CG11,'MC + Vân hồ'!CG11,YC!CG11,PY!CG11,BY!CG11,SM!CG11,SC!CG11,TC!CG11,ML!CG11,QN!CG11,XL!CG11,'XL (BHTP1)'!CG11,'XL (BHTP2)'!CG11)</f>
        <v>0</v>
      </c>
      <c r="CH11" s="13">
        <f>SUM('TP1'!CH11,'TP2'!CH11,MS!CH11,'MC + Vân hồ'!CH11,YC!CH11,PY!CH11,BY!CH11,SM!CH11,SC!CH11,TC!CH11,ML!CH11,QN!CH11,XL!CH11,'XL (BHTP1)'!CH11,'XL (BHTP2)'!CH11)</f>
        <v>0</v>
      </c>
      <c r="CI11" s="13">
        <f>SUM('TP1'!CI11,'TP2'!CI11,MS!CI11,'MC + Vân hồ'!CI11,YC!CI11,PY!CI11,BY!CI11,SM!CI11,SC!CI11,TC!CI11,ML!CI11,QN!CI11,XL!CI11,'XL (BHTP1)'!CI11,'XL (BHTP2)'!CI11)</f>
        <v>0</v>
      </c>
      <c r="CJ11" s="13">
        <f>SUM('TP1'!CJ11,'TP2'!CJ11,MS!CJ11,'MC + Vân hồ'!CJ11,YC!CJ11,PY!CJ11,BY!CJ11,SM!CJ11,SC!CJ11,TC!CJ11,ML!CJ11,QN!CJ11,XL!CJ11,'XL (BHTP1)'!CJ11,'XL (BHTP2)'!CJ11)</f>
        <v>0</v>
      </c>
      <c r="CK11" s="73">
        <f t="shared" ref="CK11:CQ11" si="7">SUM(E11,L11,S11,Z11,AG11,AN11,AU11,BB11,BI11,BP11,BW11,CD11)</f>
        <v>0</v>
      </c>
      <c r="CL11" s="73">
        <f t="shared" si="7"/>
        <v>0</v>
      </c>
      <c r="CM11" s="73">
        <f t="shared" si="7"/>
        <v>0</v>
      </c>
      <c r="CN11" s="73" t="str">
        <f t="shared" si="7"/>
        <v>#REF!</v>
      </c>
      <c r="CO11" s="73">
        <f t="shared" si="7"/>
        <v>0</v>
      </c>
      <c r="CP11" s="73">
        <f t="shared" si="7"/>
        <v>0</v>
      </c>
      <c r="CQ11" s="73">
        <f t="shared" si="7"/>
        <v>0</v>
      </c>
      <c r="CR11" s="56"/>
      <c r="CS11" s="56" t="str">
        <f t="shared" si="3"/>
        <v>#REF!</v>
      </c>
    </row>
    <row r="12" outlineLevel="1">
      <c r="B12" s="12" t="s">
        <v>36</v>
      </c>
      <c r="C12" s="12" t="s">
        <v>37</v>
      </c>
      <c r="D12" s="12" t="s">
        <v>26</v>
      </c>
      <c r="E12" s="13">
        <f>SUM('TP1'!E12,'TP2'!E12,MS!E12,'MC + Vân hồ'!E12,YC!E12,PY!E12,BY!E12,SM!E12,SC!E12,TC!E12,ML!E12,QN!E12,XL!E12,'XL (BHTP1)'!E12,'XL (BHTP2)'!E12)</f>
        <v>0</v>
      </c>
      <c r="F12" s="13">
        <f>SUM('TP1'!F12,'TP2'!F12,MS!F12,'MC + Vân hồ'!F12,YC!F12,PY!F12,BY!F12,SM!F12,SC!F12,TC!F12,ML!F12,QN!F12,XL!F12,'XL (BHTP1)'!F12,'XL (BHTP2)'!F12)</f>
        <v>0</v>
      </c>
      <c r="G12" s="13">
        <f>SUM('TP1'!G12,'TP2'!G12,MS!G12,'MC + Vân hồ'!G12,YC!G12,PY!G12,BY!G12,SM!G12,SC!G12,TC!G12,ML!G12,QN!G12,XL!G12,'XL (BHTP1)'!G12,'XL (BHTP2)'!G12)</f>
        <v>0</v>
      </c>
      <c r="H12" s="13">
        <f>SUM('TP1'!H12,'TP2'!H12,MS!H12,'MC + Vân hồ'!H12,YC!H12,PY!H12,BY!H12,SM!H12,SC!H12,TC!H12,ML!H12,QN!H12,XL!H12,'XL (BHTP1)'!H12,'XL (BHTP2)'!H12)</f>
        <v>0</v>
      </c>
      <c r="I12" s="13">
        <f>SUM('TP1'!I12,'TP2'!I12,MS!I12,'MC + Vân hồ'!I12,YC!I12,PY!I12,BY!I12,SM!I12,SC!I12,TC!I12,ML!I12,QN!I12,XL!I12,'XL (BHTP1)'!I12,'XL (BHTP2)'!I12)</f>
        <v>0</v>
      </c>
      <c r="J12" s="13">
        <f>SUM('TP1'!J12,'TP2'!J12,MS!J12,'MC + Vân hồ'!J12,YC!J12,PY!J12,BY!J12,SM!J12,SC!J12,TC!J12,ML!J12,QN!J12,XL!J12,'XL (BHTP1)'!J12,'XL (BHTP2)'!J12)</f>
        <v>0</v>
      </c>
      <c r="K12" s="13">
        <f>SUM('TP1'!K12,'TP2'!K12,MS!K12,'MC + Vân hồ'!K12,YC!K12,PY!K12,BY!K12,SM!K12,SC!K12,TC!K12,ML!K12,QN!K12,XL!K12,'XL (BHTP1)'!K12,'XL (BHTP2)'!K12)</f>
        <v>0</v>
      </c>
      <c r="L12" s="13">
        <f>SUM('TP1'!L12,'TP2'!L12,MS!L12,'MC + Vân hồ'!L12,YC!L12,PY!L12,BY!L12,SM!L12,SC!L12,TC!L12,ML!L12,QN!L12,XL!L12,'XL (BHTP1)'!L12,'XL (BHTP2)'!L12)</f>
        <v>0</v>
      </c>
      <c r="M12" s="13">
        <f>SUM('TP1'!M12,'TP2'!M12,MS!M12,'MC + Vân hồ'!M12,YC!M12,PY!M12,BY!M12,SM!M12,SC!M12,TC!M12,ML!M12,QN!M12,XL!M12,'XL (BHTP1)'!M12,'XL (BHTP2)'!M12)</f>
        <v>0</v>
      </c>
      <c r="N12" s="13">
        <f>SUM('TP1'!N12,'TP2'!N12,MS!N12,'MC + Vân hồ'!N12,YC!N12,PY!N12,BY!N12,SM!N12,SC!N12,TC!N12,ML!N12,QN!N12,XL!N12,'XL (BHTP1)'!N12,'XL (BHTP2)'!N12)</f>
        <v>0</v>
      </c>
      <c r="O12" s="13">
        <f>SUM('TP1'!O12,'TP2'!O12,MS!O12,'MC + Vân hồ'!O12,YC!O12,PY!O12,BY!O12,SM!O12,SC!O12,TC!O12,ML!O12,QN!O12,XL!O12,'XL (BHTP1)'!O12,'XL (BHTP2)'!O12)</f>
        <v>0</v>
      </c>
      <c r="P12" s="13">
        <f>SUM('TP1'!P12,'TP2'!P12,MS!P12,'MC + Vân hồ'!P12,YC!P12,PY!P12,BY!P12,SM!P12,SC!P12,TC!P12,ML!P12,QN!P12,XL!P12,'XL (BHTP1)'!P12,'XL (BHTP2)'!P12)</f>
        <v>0</v>
      </c>
      <c r="Q12" s="13">
        <f>SUM('TP1'!Q12,'TP2'!Q12,MS!Q12,'MC + Vân hồ'!Q12,YC!Q12,PY!Q12,BY!Q12,SM!Q12,SC!Q12,TC!Q12,ML!Q12,QN!Q12,XL!Q12,'XL (BHTP1)'!Q12,'XL (BHTP2)'!Q12)</f>
        <v>0</v>
      </c>
      <c r="R12" s="13">
        <f>SUM('TP1'!R12,'TP2'!R12,MS!R12,'MC + Vân hồ'!R12,YC!R12,PY!R12,BY!R12,SM!R12,SC!R12,TC!R12,ML!R12,QN!R12,XL!R12,'XL (BHTP1)'!R12,'XL (BHTP2)'!R12)</f>
        <v>0</v>
      </c>
      <c r="S12" s="13">
        <f>SUM('TP1'!S12,'TP2'!S12,MS!S12,'MC + Vân hồ'!S12,YC!S12,PY!S12,BY!S12,SM!S12,SC!S12,TC!S12,ML!S12,QN!S12,XL!S12,'XL (BHTP1)'!S12,'XL (BHTP2)'!S12)</f>
        <v>0</v>
      </c>
      <c r="T12" s="13">
        <f>SUM('TP1'!T12,'TP2'!T12,MS!T12,'MC + Vân hồ'!T12,YC!T12,PY!T12,BY!T12,SM!T12,SC!T12,TC!T12,ML!T12,QN!T12,XL!T12,'XL (BHTP1)'!T12,'XL (BHTP2)'!T12)</f>
        <v>0</v>
      </c>
      <c r="U12" s="13">
        <f>SUM('TP1'!U12,'TP2'!U12,MS!U12,'MC + Vân hồ'!U12,YC!U12,PY!U12,BY!U12,SM!U12,SC!U12,TC!U12,ML!U12,QN!U12,XL!U12,'XL (BHTP1)'!U12,'XL (BHTP2)'!U12)</f>
        <v>0</v>
      </c>
      <c r="V12" s="13">
        <f>SUM('TP1'!V12,'TP2'!V12,MS!V12,'MC + Vân hồ'!V12,YC!V12,PY!V12,BY!V12,SM!V12,SC!V12,TC!V12,ML!V12,QN!V12,XL!V12,'XL (BHTP1)'!V12,'XL (BHTP2)'!V12)</f>
        <v>0</v>
      </c>
      <c r="W12" s="13">
        <f>SUM('TP1'!W12,'TP2'!W12,MS!W12,'MC + Vân hồ'!W12,YC!W12,PY!W12,BY!W12,SM!W12,SC!W12,TC!W12,ML!W12,QN!W12,XL!W12,'XL (BHTP1)'!W12,'XL (BHTP2)'!W12)</f>
        <v>0</v>
      </c>
      <c r="X12" s="13">
        <f>SUM('TP1'!X12,'TP2'!X12,MS!X12,'MC + Vân hồ'!X12,YC!X12,PY!X12,BY!X12,SM!X12,SC!X12,TC!X12,ML!X12,QN!X12,XL!X12,'XL (BHTP1)'!X12,'XL (BHTP2)'!X12)</f>
        <v>0</v>
      </c>
      <c r="Y12" s="13">
        <f>SUM('TP1'!Y12,'TP2'!Y12,MS!Y12,'MC + Vân hồ'!Y12,YC!Y12,PY!Y12,BY!Y12,SM!Y12,SC!Y12,TC!Y12,ML!Y12,QN!Y12,XL!Y12,'XL (BHTP1)'!Y12,'XL (BHTP2)'!Y12)</f>
        <v>0</v>
      </c>
      <c r="Z12" s="13">
        <f>SUM('TP1'!Z12,'TP2'!Z12,MS!Z12,'MC + Vân hồ'!Z12,YC!Z12,PY!Z12,BY!Z12,SM!Z12,SC!Z12,TC!Z12,ML!Z12,QN!Z12,XL!Z12,'XL (BHTP1)'!Z12,'XL (BHTP2)'!Z12)</f>
        <v>0</v>
      </c>
      <c r="AA12" s="13">
        <f>SUM('TP1'!AA12,'TP2'!AA12,MS!AA12,'MC + Vân hồ'!AA12,YC!AA12,PY!AA12,BY!AA12,SM!AA12,SC!AA12,TC!AA12,ML!AA12,QN!AA12,XL!AA12,'XL (BHTP1)'!AA12,'XL (BHTP2)'!AA12)</f>
        <v>0</v>
      </c>
      <c r="AB12" s="13">
        <f>SUM('TP1'!AB12,'TP2'!AB12,MS!AB12,'MC + Vân hồ'!AB12,YC!AB12,PY!AB12,BY!AB12,SM!AB12,SC!AB12,TC!AB12,ML!AB12,QN!AB12,XL!AB12,'XL (BHTP1)'!AB12,'XL (BHTP2)'!AB12)</f>
        <v>0</v>
      </c>
      <c r="AC12" s="13">
        <f>SUM('TP1'!AC12,'TP2'!AC12,MS!AC12,'MC + Vân hồ'!AC12,YC!AC12,PY!AC12,BY!AC12,SM!AC12,SC!AC12,TC!AC12,ML!AC12,QN!AC12,XL!AC12,'XL (BHTP1)'!AC12,'XL (BHTP2)'!AC12)</f>
        <v>0</v>
      </c>
      <c r="AD12" s="13">
        <f>SUM('TP1'!AD12,'TP2'!AD12,MS!AD12,'MC + Vân hồ'!AD12,YC!AD12,PY!AD12,BY!AD12,SM!AD12,SC!AD12,TC!AD12,ML!AD12,QN!AD12,XL!AD12,'XL (BHTP1)'!AD12,'XL (BHTP2)'!AD12)</f>
        <v>0</v>
      </c>
      <c r="AE12" s="13">
        <f>SUM('TP1'!AE12,'TP2'!AE12,MS!AE12,'MC + Vân hồ'!AE12,YC!AE12,PY!AE12,BY!AE12,SM!AE12,SC!AE12,TC!AE12,ML!AE12,QN!AE12,XL!AE12,'XL (BHTP1)'!AE12,'XL (BHTP2)'!AE12)</f>
        <v>0</v>
      </c>
      <c r="AF12" s="13">
        <f>SUM('TP1'!AF12,'TP2'!AF12,MS!AF12,'MC + Vân hồ'!AF12,YC!AF12,PY!AF12,BY!AF12,SM!AF12,SC!AF12,TC!AF12,ML!AF12,QN!AF12,XL!AF12,'XL (BHTP1)'!AF12,'XL (BHTP2)'!AF12)</f>
        <v>0</v>
      </c>
      <c r="AG12" s="13">
        <f>SUM('TP1'!AG12,'TP2'!AG12,MS!AG12,'MC + Vân hồ'!AG12,YC!AG12,PY!AG12,BY!AG12,SM!AG12,SC!AG12,TC!AG12,ML!AG12,QN!AG12,XL!AG12,'XL (BHTP1)'!AG12,'XL (BHTP2)'!AG12)</f>
        <v>0</v>
      </c>
      <c r="AH12" s="13">
        <f>SUM('TP1'!AH12,'TP2'!AH12,MS!AH12,'MC + Vân hồ'!AH12,YC!AH12,PY!AH12,BY!AH12,SM!AH12,SC!AH12,TC!AH12,ML!AH12,QN!AH12,XL!AH12,'XL (BHTP1)'!AH12,'XL (BHTP2)'!AH12)</f>
        <v>0</v>
      </c>
      <c r="AI12" s="13">
        <f>SUM('TP1'!AI12,'TP2'!AI12,MS!AI12,'MC + Vân hồ'!AI12,YC!AI12,PY!AI12,BY!AI12,SM!AI12,SC!AI12,TC!AI12,ML!AI12,QN!AI12,XL!AI12,'XL (BHTP1)'!AI12,'XL (BHTP2)'!AI12)</f>
        <v>0</v>
      </c>
      <c r="AJ12" s="13">
        <f>SUM('TP1'!AJ12,'TP2'!AJ12,MS!AJ12,'MC + Vân hồ'!AJ12,YC!AJ12,PY!AJ12,BY!AJ12,SM!AJ12,SC!AJ12,TC!AJ12,ML!AJ12,QN!AJ12,XL!AJ12,'XL (BHTP1)'!AJ12,'XL (BHTP2)'!AJ12)</f>
        <v>0</v>
      </c>
      <c r="AK12" s="13">
        <f>SUM('TP1'!AK12,'TP2'!AK12,MS!AK12,'MC + Vân hồ'!AK12,YC!AK12,PY!AK12,BY!AK12,SM!AK12,SC!AK12,TC!AK12,ML!AK12,QN!AK12,XL!AK12,'XL (BHTP1)'!AK12,'XL (BHTP2)'!AK12)</f>
        <v>0</v>
      </c>
      <c r="AL12" s="13">
        <f>SUM('TP1'!AL12,'TP2'!AL12,MS!AL12,'MC + Vân hồ'!AL12,YC!AL12,PY!AL12,BY!AL12,SM!AL12,SC!AL12,TC!AL12,ML!AL12,QN!AL12,XL!AL12,'XL (BHTP1)'!AL12,'XL (BHTP2)'!AL12)</f>
        <v>0</v>
      </c>
      <c r="AM12" s="13">
        <f>SUM('TP1'!AM12,'TP2'!AM12,MS!AM12,'MC + Vân hồ'!AM12,YC!AM12,PY!AM12,BY!AM12,SM!AM12,SC!AM12,TC!AM12,ML!AM12,QN!AM12,XL!AM12,'XL (BHTP1)'!AM12,'XL (BHTP2)'!AM12)</f>
        <v>0</v>
      </c>
      <c r="AN12" s="13">
        <f>SUM('TP1'!AN12,'TP2'!AN12,MS!AN12,'MC + Vân hồ'!AN12,YC!AN12,PY!AN12,BY!AN12,SM!AN12,SC!AN12,TC!AN12,ML!AN12,QN!AN12,XL!AN12,'XL (BHTP1)'!AN12,'XL (BHTP2)'!AN12)</f>
        <v>0</v>
      </c>
      <c r="AO12" s="13">
        <f>SUM('TP1'!AO12,'TP2'!AO12,MS!AO12,'MC + Vân hồ'!AO12,YC!AO12,PY!AO12,BY!AO12,SM!AO12,SC!AO12,TC!AO12,ML!AO12,QN!AO12,XL!AO12,'XL (BHTP1)'!AO12,'XL (BHTP2)'!AO12)</f>
        <v>0</v>
      </c>
      <c r="AP12" s="13">
        <f>SUM('TP1'!AP12,'TP2'!AP12,MS!AP12,'MC + Vân hồ'!AP12,YC!AP12,PY!AP12,BY!AP12,SM!AP12,SC!AP12,TC!AP12,ML!AP12,QN!AP12,XL!AP12,'XL (BHTP1)'!AP12,'XL (BHTP2)'!AP12)</f>
        <v>0</v>
      </c>
      <c r="AQ12" s="13">
        <f>SUM('TP1'!AQ12,'TP2'!AQ12,MS!AQ12,'MC + Vân hồ'!AQ12,YC!AQ12,PY!AQ12,BY!AQ12,SM!AQ12,SC!AQ12,TC!AQ12,ML!AQ12,QN!AQ12,XL!AQ12,'XL (BHTP1)'!AQ12,'XL (BHTP2)'!AQ12)</f>
        <v>0</v>
      </c>
      <c r="AR12" s="13">
        <f>SUM('TP1'!AR12,'TP2'!AR12,MS!AR12,'MC + Vân hồ'!AR12,YC!AR12,PY!AR12,BY!AR12,SM!AR12,SC!AR12,TC!AR12,ML!AR12,QN!AR12,XL!AR12,'XL (BHTP1)'!AR12,'XL (BHTP2)'!AR12)</f>
        <v>0</v>
      </c>
      <c r="AS12" s="13">
        <f>SUM('TP1'!AS12,'TP2'!AS12,MS!AS12,'MC + Vân hồ'!AS12,YC!AS12,PY!AS12,BY!AS12,SM!AS12,SC!AS12,TC!AS12,ML!AS12,QN!AS12,XL!AS12,'XL (BHTP1)'!AS12,'XL (BHTP2)'!AS12)</f>
        <v>0</v>
      </c>
      <c r="AT12" s="13">
        <f>SUM('TP1'!AT12,'TP2'!AT12,MS!AT12,'MC + Vân hồ'!AT12,YC!AT12,PY!AT12,BY!AT12,SM!AT12,SC!AT12,TC!AT12,ML!AT12,QN!AT12,XL!AT12,'XL (BHTP1)'!AT12,'XL (BHTP2)'!AT12)</f>
        <v>0</v>
      </c>
      <c r="AU12" s="13">
        <f>SUM('TP1'!AU12,'TP2'!AU12,MS!AU12,'MC + Vân hồ'!AU12,YC!AU12,PY!AU12,BY!AU12,SM!AU12,SC!AU12,TC!AU12,ML!AU12,QN!AU12,XL!AU12,'XL (BHTP1)'!AU12,'XL (BHTP2)'!AU12)</f>
        <v>0</v>
      </c>
      <c r="AV12" s="13">
        <f>SUM('TP1'!AV12,'TP2'!AV12,MS!AV12,'MC + Vân hồ'!AV12,YC!AV12,PY!AV12,BY!AV12,SM!AV12,SC!AV12,TC!AV12,ML!AV12,QN!AV12,XL!AV12,'XL (BHTP1)'!AV12,'XL (BHTP2)'!AV12)</f>
        <v>0</v>
      </c>
      <c r="AW12" s="13">
        <f>SUM('TP1'!AW12,'TP2'!AW12,MS!AW12,'MC + Vân hồ'!AW12,YC!AW12,PY!AW12,BY!AW12,SM!AW12,SC!AW12,TC!AW12,ML!AW12,QN!AW12,XL!AW12,'XL (BHTP1)'!AW12,'XL (BHTP2)'!AW12)</f>
        <v>0</v>
      </c>
      <c r="AX12" s="13">
        <f>SUM('TP1'!AX11,'TP2'!AX12,MS!AX12,'MC + Vân hồ'!AX12,YC!AX12,PY!AX12,BY!AX12,SM!AX12,SC!AX12,TC!AX12,ML!AX12,QN!AX12,XL!AX12,'XL (BHTP1)'!AX12,'XL (BHTP2)'!AX12)</f>
        <v>0</v>
      </c>
      <c r="AY12" s="13">
        <f>SUM('TP1'!AY12,'TP2'!AY12,MS!AY12,'MC + Vân hồ'!AY12,YC!AY12,PY!AY12,BY!AY12,SM!AY12,SC!AY12,TC!AY12,ML!AY12,QN!AY12,XL!AY12,'XL (BHTP1)'!AY12,'XL (BHTP2)'!AY12)</f>
        <v>0</v>
      </c>
      <c r="AZ12" s="13">
        <f>SUM('TP1'!AZ12,'TP2'!AZ12,MS!AZ12,'MC + Vân hồ'!AZ12,YC!AZ12,PY!AZ12,BY!AZ12,SM!AZ12,SC!AZ12,TC!AZ12,ML!AZ12,QN!AZ12,XL!AZ12,'XL (BHTP1)'!AZ12,'XL (BHTP2)'!AZ12)</f>
        <v>0</v>
      </c>
      <c r="BA12" s="13">
        <f>SUM('TP1'!BA12,'TP2'!BA12,MS!BA12,'MC + Vân hồ'!BA12,YC!BA12,PY!BA12,BY!BA12,SM!BA12,SC!BA12,TC!BA12,ML!BA12,QN!BA12,XL!BA12,'XL (BHTP1)'!BA12,'XL (BHTP2)'!BA12)</f>
        <v>0</v>
      </c>
      <c r="BB12" s="13">
        <f>SUM('TP1'!BB12,'TP2'!BB12,MS!BB12,'MC + Vân hồ'!BB12,YC!BB12,PY!BB12,BY!BB12,SM!BB12,SC!BB12,TC!BB12,ML!BB12,QN!BB12,XL!BB12,'XL (BHTP1)'!BB12,'XL (BHTP2)'!BB12)</f>
        <v>0</v>
      </c>
      <c r="BC12" s="13">
        <f>SUM('TP1'!BC12,'TP2'!BC12,MS!BC12,'MC + Vân hồ'!BC12,YC!BC12,PY!BC12,BY!BC12,SM!BC12,SC!BC12,TC!BC12,ML!BC12,QN!BC12,XL!BC12,'XL (BHTP1)'!BC12,'XL (BHTP2)'!BC12)</f>
        <v>0</v>
      </c>
      <c r="BD12" s="13">
        <f>SUM('TP1'!BD12,'TP2'!BD12,MS!BD12,'MC + Vân hồ'!BD12,YC!BD12,PY!BD12,BY!BD12,SM!BD12,SC!BD12,TC!BD12,ML!BD12,QN!BD12,XL!BD12,'XL (BHTP1)'!BD12,'XL (BHTP2)'!BD12)</f>
        <v>0</v>
      </c>
      <c r="BE12" s="13">
        <f>SUM('TP1'!BE12,'TP2'!BE12,MS!BE12,'MC + Vân hồ'!BE12,YC!BE12,PY!BE12,BY!BE12,SM!BE12,SC!BE12,TC!BE12,ML!BE12,QN!BE12,XL!BE12,'XL (BHTP1)'!BE12,'XL (BHTP2)'!BE12)</f>
        <v>0</v>
      </c>
      <c r="BF12" s="13">
        <f>SUM('TP1'!BF12,'TP2'!BF12,MS!BF12,'MC + Vân hồ'!BF12,YC!BF12,PY!BF12,BY!BF12,SM!BF12,SC!BF12,TC!BF12,ML!BF12,QN!BF12,XL!BF12,'XL (BHTP1)'!BF12,'XL (BHTP2)'!BF12)</f>
        <v>0</v>
      </c>
      <c r="BG12" s="13">
        <f>SUM('TP1'!BG12,'TP2'!BG12,MS!BG12,'MC + Vân hồ'!BG12,YC!BG12,PY!BG12,BY!BG12,SM!BG12,SC!BG12,TC!BG12,ML!BG12,QN!BG12,XL!BG12,'XL (BHTP1)'!BG12,'XL (BHTP2)'!BG12)</f>
        <v>0</v>
      </c>
      <c r="BH12" s="13">
        <f>SUM('TP1'!BH12,'TP2'!BH12,MS!BH12,'MC + Vân hồ'!BH12,YC!BH12,PY!BH12,BY!BH12,SM!BH12,SC!BH12,TC!BH12,ML!BH12,QN!BH12,XL!BH12,'XL (BHTP1)'!BH12,'XL (BHTP2)'!BH12)</f>
        <v>0</v>
      </c>
      <c r="BI12" s="13">
        <f>SUM('TP1'!BI12,'TP2'!BI12,MS!BI12,'MC + Vân hồ'!BI12,YC!BI12,PY!BI12,BY!BI12,SM!BI12,SC!BI12,TC!BI12,ML!BI12,QN!BI12,XL!BI12,'XL (BHTP1)'!BI12,'XL (BHTP2)'!BI12)</f>
        <v>0</v>
      </c>
      <c r="BJ12" s="13">
        <f>SUM('TP1'!BJ12,'TP2'!BJ12,MS!BJ12,'MC + Vân hồ'!BJ12,YC!BJ12,PY!BJ12,BY!BJ12,SM!BJ12,SC!BJ12,TC!BJ12,ML!BJ12,QN!BJ12,XL!BJ12,'XL (BHTP1)'!BJ12,'XL (BHTP2)'!BJ12)</f>
        <v>0</v>
      </c>
      <c r="BK12" s="13">
        <f>SUM('TP1'!BK12,'TP2'!BK12,MS!BK12,'MC + Vân hồ'!BK12,YC!BK12,PY!BK12,BY!BK12,SM!BK12,SC!BK12,TC!BK12,ML!BK12,QN!BK12,XL!BK12,'XL (BHTP1)'!BK12,'XL (BHTP2)'!BK12)</f>
        <v>0</v>
      </c>
      <c r="BL12" s="13">
        <f>SUM('TP1'!BL12,'TP2'!BL12,MS!BL12,'MC + Vân hồ'!BL12,YC!BL12,PY!BL12,BY!BL12,SM!BL12,SC!BL12,TC!BL12,ML!BL12,QN!BL12,XL!BL12,'XL (BHTP1)'!BL12,'XL (BHTP2)'!BL12)</f>
        <v>0</v>
      </c>
      <c r="BM12" s="13">
        <f>SUM('TP1'!BM12,'TP2'!BM12,MS!BM12,'MC + Vân hồ'!BM12,YC!BM12,PY!BM12,BY!BM12,SM!BM12,SC!BM12,TC!BM12,ML!BM12,QN!BM12,XL!BM12,'XL (BHTP1)'!BM12,'XL (BHTP2)'!BM12)</f>
        <v>0</v>
      </c>
      <c r="BN12" s="13">
        <f>SUM('TP1'!BN12,'TP2'!BN12,MS!BN12,'MC + Vân hồ'!BN12,YC!BN12,PY!BN12,BY!BN12,SM!BN12,SC!BN12,TC!BN12,ML!BN12,QN!BN12,XL!BN12,'XL (BHTP1)'!BN12,'XL (BHTP2)'!BN12)</f>
        <v>0</v>
      </c>
      <c r="BO12" s="13">
        <f>SUM('TP1'!BO12,'TP2'!BO12,MS!BO12,'MC + Vân hồ'!BO12,YC!BO12,PY!BO12,BY!BO12,SM!BO12,SC!BO12,TC!BO12,ML!BO12,QN!BO12,XL!BO12,'XL (BHTP1)'!BO12,'XL (BHTP2)'!BO12)</f>
        <v>0</v>
      </c>
      <c r="BP12" s="13">
        <f>SUM('TP1'!BP12,'TP2'!BP12,MS!BP12,'MC + Vân hồ'!BP12,YC!BP12,PY!BP12,BY!BP12,SM!BP12,SC!BP12,TC!BP12,ML!BP12,QN!BP12,XL!BP12,'XL (BHTP1)'!BP12,'XL (BHTP2)'!BP12)</f>
        <v>0</v>
      </c>
      <c r="BQ12" s="13">
        <f>SUM('TP1'!BQ12,'TP2'!BQ12,MS!BQ12,'MC + Vân hồ'!BQ12,YC!BQ12,PY!BQ12,BY!BQ12,SM!BQ12,SC!BQ12,TC!BQ12,ML!BQ12,QN!BQ12,XL!BQ12,'XL (BHTP1)'!BQ12,'XL (BHTP2)'!BQ12)</f>
        <v>0</v>
      </c>
      <c r="BR12" s="13">
        <f>SUM('TP1'!BR12,'TP2'!BR12,MS!BR12,'MC + Vân hồ'!BR12,YC!BR12,PY!BR12,BY!BR12,SM!BR12,SC!BR12,TC!BR12,ML!BR12,QN!BR12,XL!BR12,'XL (BHTP1)'!BR12,'XL (BHTP2)'!BR12)</f>
        <v>0</v>
      </c>
      <c r="BS12" s="13">
        <f>SUM('TP1'!BS12,'TP2'!BS12,MS!BS12,'MC + Vân hồ'!BS12,YC!BS12,PY!BS12,BY!BS12,SM!BS12,SC!BS12,TC!BS12,ML!BS12,QN!BS12,XL!BS12,'XL (BHTP1)'!BS12,'XL (BHTP2)'!BS12)</f>
        <v>0</v>
      </c>
      <c r="BT12" s="13">
        <f>SUM('TP1'!BT12,'TP2'!BT12,MS!BT12,'MC + Vân hồ'!BT12,YC!BT12,PY!BT12,BY!BT12,SM!BT12,SC!BT12,TC!BT12,ML!BT12,QN!BT12,XL!BT12,'XL (BHTP1)'!BT12,'XL (BHTP2)'!BT12)</f>
        <v>0</v>
      </c>
      <c r="BU12" s="13">
        <f>SUM('TP1'!BU12,'TP2'!BU12,MS!BU12,'MC + Vân hồ'!BU12,YC!BU12,PY!BU12,BY!BU12,SM!BU12,SC!BU12,TC!BU12,ML!BU12,QN!BU12,XL!BU12,'XL (BHTP1)'!BU12,'XL (BHTP2)'!BU12)</f>
        <v>0</v>
      </c>
      <c r="BV12" s="13">
        <f>SUM('TP1'!BV12,'TP2'!BV12,MS!BV12,'MC + Vân hồ'!BV12,YC!BV12,PY!BV12,BY!BV12,SM!BV12,SC!BV12,TC!BV12,ML!BV12,QN!BV12,XL!BV12,'XL (BHTP1)'!BV12,'XL (BHTP2)'!BV12)</f>
        <v>0</v>
      </c>
      <c r="BW12" s="13">
        <f>SUM('TP1'!BW12,'TP2'!BW12,MS!BW12,'MC + Vân hồ'!BW12,YC!BW12,PY!BW12,BY!BW12,SM!BW12,SC!BW12,TC!BW12,ML!BW12,QN!BW12,XL!BW12,'XL (BHTP1)'!BW12,'XL (BHTP2)'!BW12)</f>
        <v>0</v>
      </c>
      <c r="BX12" s="13">
        <f>SUM('TP1'!BX12,'TP2'!BX12,MS!BX12,'MC + Vân hồ'!BX12,YC!BX12,PY!BX12,BY!BX12,SM!BX12,SC!BX12,TC!BX12,ML!BX12,QN!BX12,XL!BX12,'XL (BHTP1)'!BX12,'XL (BHTP2)'!BX12)</f>
        <v>0</v>
      </c>
      <c r="BY12" s="13">
        <f>SUM('TP1'!BY12,'TP2'!BY12,MS!BY12,'MC + Vân hồ'!BY12,YC!BY12,PY!BY12,BY!BY12,SM!BY12,SC!BY12,TC!BY12,ML!BY12,QN!BY12,XL!BY12,'XL (BHTP1)'!BY12,'XL (BHTP2)'!BY12)</f>
        <v>0</v>
      </c>
      <c r="BZ12" s="13">
        <f>SUM('TP1'!BZ12,'TP2'!BZ12,MS!BZ12,'MC + Vân hồ'!BZ12,YC!BZ12,PY!BZ12,BY!BZ12,SM!BZ12,SC!BZ12,TC!BZ12,ML!BZ12,QN!BZ12,XL!BZ12,'XL (BHTP1)'!BZ12,'XL (BHTP2)'!BZ12)</f>
        <v>0</v>
      </c>
      <c r="CA12" s="13">
        <f>SUM('TP1'!CA12,'TP2'!CA12,MS!CA12,'MC + Vân hồ'!CA12,YC!CA12,PY!CA12,BY!CA12,SM!CA12,SC!CA12,TC!CA12,ML!CA12,QN!CA12,XL!CA12,'XL (BHTP1)'!CA12,'XL (BHTP2)'!CA12)</f>
        <v>0</v>
      </c>
      <c r="CB12" s="13">
        <f>SUM('TP1'!CB12,'TP2'!CB12,MS!CB12,'MC + Vân hồ'!CB12,YC!CB12,PY!CB12,BY!CB12,SM!CB12,SC!CB12,TC!CB12,ML!CB12,QN!CB12,XL!CB12,'XL (BHTP1)'!CB12,'XL (BHTP2)'!CB12)</f>
        <v>0</v>
      </c>
      <c r="CC12" s="13">
        <f>SUM('TP1'!CC12,'TP2'!CC12,MS!CC12,'MC + Vân hồ'!CC12,YC!CC12,PY!CC12,BY!CC12,SM!CC12,SC!CC12,TC!CC12,ML!CC12,QN!CC12,XL!CC12,'XL (BHTP1)'!CC12,'XL (BHTP2)'!CC12)</f>
        <v>0</v>
      </c>
      <c r="CD12" s="13">
        <f>SUM('TP1'!CD12,'TP2'!CD12,MS!CD12,'MC + Vân hồ'!CD12,YC!CD12,PY!CD12,BY!CD12,SM!CD12,SC!CD12,TC!CD12,ML!CD12,QN!CD12,XL!CD12,'XL (BHTP1)'!CD12,'XL (BHTP2)'!CD12)</f>
        <v>0</v>
      </c>
      <c r="CE12" s="13">
        <f>SUM('TP1'!CE12,'TP2'!CE12,MS!CE12,'MC + Vân hồ'!CE12,YC!CE12,PY!CE12,BY!CE12,SM!CE12,SC!CE12,TC!CE12,ML!CE12,QN!CE12,XL!CE12,'XL (BHTP1)'!CE12,'XL (BHTP2)'!CE12)</f>
        <v>0</v>
      </c>
      <c r="CF12" s="13">
        <f>SUM('TP1'!CF12,'TP2'!CF12,MS!CF12,'MC + Vân hồ'!CF12,YC!CF12,PY!CF12,BY!CF12,SM!CF12,SC!CF12,TC!CF12,ML!CF12,QN!CF12,XL!CF12,'XL (BHTP1)'!CF12,'XL (BHTP2)'!CF12)</f>
        <v>0</v>
      </c>
      <c r="CG12" s="13">
        <f>SUM('TP1'!CG12,'TP2'!CG12,MS!CG12,'MC + Vân hồ'!CG12,YC!CG12,PY!CG12,BY!CG12,SM!CG12,SC!CG12,TC!CG12,ML!CG12,QN!CG12,XL!CG12,'XL (BHTP1)'!CG12,'XL (BHTP2)'!CG12)</f>
        <v>0</v>
      </c>
      <c r="CH12" s="13">
        <f>SUM('TP1'!CH12,'TP2'!CH12,MS!CH12,'MC + Vân hồ'!CH12,YC!CH12,PY!CH12,BY!CH12,SM!CH12,SC!CH12,TC!CH12,ML!CH12,QN!CH12,XL!CH12,'XL (BHTP1)'!CH12,'XL (BHTP2)'!CH12)</f>
        <v>0</v>
      </c>
      <c r="CI12" s="13">
        <f>SUM('TP1'!CI12,'TP2'!CI12,MS!CI12,'MC + Vân hồ'!CI12,YC!CI12,PY!CI12,BY!CI12,SM!CI12,SC!CI12,TC!CI12,ML!CI12,QN!CI12,XL!CI12,'XL (BHTP1)'!CI12,'XL (BHTP2)'!CI12)</f>
        <v>0</v>
      </c>
      <c r="CJ12" s="13">
        <f>SUM('TP1'!CJ12,'TP2'!CJ12,MS!CJ12,'MC + Vân hồ'!CJ12,YC!CJ12,PY!CJ12,BY!CJ12,SM!CJ12,SC!CJ12,TC!CJ12,ML!CJ12,QN!CJ12,XL!CJ12,'XL (BHTP1)'!CJ12,'XL (BHTP2)'!CJ12)</f>
        <v>0</v>
      </c>
      <c r="CK12" s="73">
        <f t="shared" ref="CK12:CQ12" si="8">SUM(E12,L12,S12,Z12,AG12,AN12,AU12,BB12,BI12,BP12,BW12,CD12)</f>
        <v>0</v>
      </c>
      <c r="CL12" s="73">
        <f t="shared" si="8"/>
        <v>0</v>
      </c>
      <c r="CM12" s="73">
        <f t="shared" si="8"/>
        <v>0</v>
      </c>
      <c r="CN12" s="73">
        <f t="shared" si="8"/>
        <v>0</v>
      </c>
      <c r="CO12" s="73">
        <f t="shared" si="8"/>
        <v>0</v>
      </c>
      <c r="CP12" s="73">
        <f t="shared" si="8"/>
        <v>0</v>
      </c>
      <c r="CQ12" s="73">
        <f t="shared" si="8"/>
        <v>0</v>
      </c>
      <c r="CR12" s="56"/>
      <c r="CS12" s="56">
        <f t="shared" si="3"/>
        <v>0</v>
      </c>
    </row>
    <row r="13" outlineLevel="1">
      <c r="B13" s="12" t="s">
        <v>38</v>
      </c>
      <c r="C13" s="12" t="s">
        <v>39</v>
      </c>
      <c r="D13" s="12" t="s">
        <v>26</v>
      </c>
      <c r="E13" s="13">
        <f>SUM('TP1'!E13,'TP2'!E13,MS!E13,'MC + Vân hồ'!E13,YC!E13,PY!E13,BY!E13,SM!E13,SC!E13,TC!E13,ML!E13,QN!E13,XL!E13,'XL (BHTP1)'!E13,'XL (BHTP2)'!E13)</f>
        <v>0</v>
      </c>
      <c r="F13" s="13">
        <f>SUM('TP1'!F13,'TP2'!F13,MS!F13,'MC + Vân hồ'!F13,YC!F13,PY!F13,BY!F13,SM!F13,SC!F13,TC!F13,ML!F13,QN!F13,XL!F13,'XL (BHTP1)'!F13,'XL (BHTP2)'!F13)</f>
        <v>0</v>
      </c>
      <c r="G13" s="13">
        <f>SUM('TP1'!G13,'TP2'!G13,MS!G13,'MC + Vân hồ'!G13,YC!G13,PY!G13,BY!G13,SM!G13,SC!G13,TC!G13,ML!G13,QN!G13,XL!G13,'XL (BHTP1)'!G13,'XL (BHTP2)'!G13)</f>
        <v>0</v>
      </c>
      <c r="H13" s="13">
        <f>SUM('TP1'!H13,'TP2'!H13,MS!H13,'MC + Vân hồ'!H13,YC!H13,PY!H13,BY!H13,SM!H13,SC!H13,TC!H13,ML!H13,QN!H13,XL!H13,'XL (BHTP1)'!H13,'XL (BHTP2)'!H13)</f>
        <v>0</v>
      </c>
      <c r="I13" s="13">
        <f>SUM('TP1'!I13,'TP2'!I13,MS!I13,'MC + Vân hồ'!I13,YC!I13,PY!I13,BY!I13,SM!I13,SC!I13,TC!I13,ML!I13,QN!I13,XL!I13,'XL (BHTP1)'!I13,'XL (BHTP2)'!I13)</f>
        <v>0</v>
      </c>
      <c r="J13" s="13">
        <f>SUM('TP1'!J13,'TP2'!J13,MS!J13,'MC + Vân hồ'!J13,YC!J13,PY!J13,BY!J13,SM!J13,SC!J13,TC!J13,ML!J13,QN!J13,XL!J13,'XL (BHTP1)'!J13,'XL (BHTP2)'!J13)</f>
        <v>0</v>
      </c>
      <c r="K13" s="13">
        <f>SUM('TP1'!K13,'TP2'!K13,MS!K13,'MC + Vân hồ'!K13,YC!K13,PY!K13,BY!K13,SM!K13,SC!K13,TC!K13,ML!K13,QN!K13,XL!K13,'XL (BHTP1)'!K13,'XL (BHTP2)'!K13)</f>
        <v>0</v>
      </c>
      <c r="L13" s="13">
        <f>SUM('TP1'!L13,'TP2'!L13,MS!L13,'MC + Vân hồ'!L13,YC!L13,PY!L13,BY!L13,SM!L13,SC!L13,TC!L13,ML!L13,QN!L13,XL!L13,'XL (BHTP1)'!L13,'XL (BHTP2)'!L13)</f>
        <v>0</v>
      </c>
      <c r="M13" s="13">
        <f>SUM('TP1'!M13,'TP2'!M13,MS!M13,'MC + Vân hồ'!M13,YC!M13,PY!M13,BY!M13,SM!M13,SC!M13,TC!M13,ML!M13,QN!M13,XL!M13,'XL (BHTP1)'!M13,'XL (BHTP2)'!M13)</f>
        <v>0</v>
      </c>
      <c r="N13" s="13">
        <f>SUM('TP1'!N13,'TP2'!N13,MS!N13,'MC + Vân hồ'!N13,YC!N13,PY!N13,BY!N13,SM!N13,SC!N13,TC!N13,ML!N13,QN!N13,XL!N13,'XL (BHTP1)'!N13,'XL (BHTP2)'!N13)</f>
        <v>0</v>
      </c>
      <c r="O13" s="13">
        <f>SUM('TP1'!O13,'TP2'!O13,MS!O13,'MC + Vân hồ'!O13,YC!O13,PY!O13,BY!O13,SM!O13,SC!O13,TC!O13,ML!O13,QN!O13,XL!O13,'XL (BHTP1)'!O13,'XL (BHTP2)'!O13)</f>
        <v>0</v>
      </c>
      <c r="P13" s="13">
        <f>SUM('TP1'!P13,'TP2'!P13,MS!P13,'MC + Vân hồ'!P13,YC!P13,PY!P13,BY!P13,SM!P13,SC!P13,TC!P13,ML!P13,QN!P13,XL!P13,'XL (BHTP1)'!P13,'XL (BHTP2)'!P13)</f>
        <v>0</v>
      </c>
      <c r="Q13" s="13">
        <f>SUM('TP1'!Q13,'TP2'!Q13,MS!Q13,'MC + Vân hồ'!Q13,YC!Q13,PY!Q13,BY!Q13,SM!Q13,SC!Q13,TC!Q13,ML!Q13,QN!Q13,XL!Q13,'XL (BHTP1)'!Q13,'XL (BHTP2)'!Q13)</f>
        <v>0</v>
      </c>
      <c r="R13" s="13">
        <f>SUM('TP1'!R13,'TP2'!R13,MS!R13,'MC + Vân hồ'!R13,YC!R13,PY!R13,BY!R13,SM!R13,SC!R13,TC!R13,ML!R13,QN!R13,XL!R13,'XL (BHTP1)'!R13,'XL (BHTP2)'!R13)</f>
        <v>0</v>
      </c>
      <c r="S13" s="13">
        <f>SUM('TP1'!S13,'TP2'!S13,MS!S13,'MC + Vân hồ'!S13,YC!S13,PY!S13,BY!S13,SM!S13,SC!S13,TC!S13,ML!S13,QN!S13,XL!S13,'XL (BHTP1)'!S13,'XL (BHTP2)'!S13)</f>
        <v>0</v>
      </c>
      <c r="T13" s="13">
        <f>SUM('TP1'!T13,'TP2'!T13,MS!T13,'MC + Vân hồ'!T13,YC!T13,PY!T13,BY!T13,SM!T13,SC!T13,TC!T13,ML!T13,QN!T13,XL!T13,'XL (BHTP1)'!T13,'XL (BHTP2)'!T13)</f>
        <v>0</v>
      </c>
      <c r="U13" s="13">
        <f>SUM('TP1'!U13,'TP2'!U13,MS!U13,'MC + Vân hồ'!U13,YC!U13,PY!U13,BY!U13,SM!U13,SC!U13,TC!U13,ML!U13,QN!U13,XL!U13,'XL (BHTP1)'!U13,'XL (BHTP2)'!U13)</f>
        <v>0</v>
      </c>
      <c r="V13" s="13">
        <f>SUM('TP1'!V13,'TP2'!V13,MS!V13,'MC + Vân hồ'!V13,YC!V13,PY!V13,BY!V13,SM!V13,SC!V13,TC!V13,ML!V13,QN!V13,XL!V13,'XL (BHTP1)'!V13,'XL (BHTP2)'!V13)</f>
        <v>0</v>
      </c>
      <c r="W13" s="13">
        <f>SUM('TP1'!W13,'TP2'!W13,MS!W13,'MC + Vân hồ'!W13,YC!W13,PY!W13,BY!W13,SM!W13,SC!W13,TC!W13,ML!W13,QN!W13,XL!W13,'XL (BHTP1)'!W13,'XL (BHTP2)'!W13)</f>
        <v>0</v>
      </c>
      <c r="X13" s="13">
        <f>SUM('TP1'!X13,'TP2'!X13,MS!X13,'MC + Vân hồ'!X13,YC!X13,PY!X13,BY!X13,SM!X13,SC!X13,TC!X13,ML!X13,QN!X13,XL!X13,'XL (BHTP1)'!X13,'XL (BHTP2)'!X13)</f>
        <v>0</v>
      </c>
      <c r="Y13" s="13">
        <f>SUM('TP1'!Y13,'TP2'!Y13,MS!Y13,'MC + Vân hồ'!Y13,YC!Y13,PY!Y13,BY!Y13,SM!Y13,SC!Y13,TC!Y13,ML!Y13,QN!Y13,XL!Y13,'XL (BHTP1)'!Y13,'XL (BHTP2)'!Y13)</f>
        <v>0</v>
      </c>
      <c r="Z13" s="13">
        <f>SUM('TP1'!Z13,'TP2'!Z13,MS!Z13,'MC + Vân hồ'!Z13,YC!Z13,PY!Z13,BY!Z13,SM!Z13,SC!Z13,TC!Z13,ML!Z13,QN!Z13,XL!Z13,'XL (BHTP1)'!Z13,'XL (BHTP2)'!Z13)</f>
        <v>0</v>
      </c>
      <c r="AA13" s="13">
        <f>SUM('TP1'!AA13,'TP2'!AA13,MS!AA13,'MC + Vân hồ'!AA13,YC!AA13,PY!AA13,BY!AA13,SM!AA13,SC!AA13,TC!AA13,ML!AA13,QN!AA13,XL!AA13,'XL (BHTP1)'!AA13,'XL (BHTP2)'!AA13)</f>
        <v>0</v>
      </c>
      <c r="AB13" s="13">
        <f>SUM('TP1'!AB13,'TP2'!AB13,MS!AB13,'MC + Vân hồ'!AB13,YC!AB13,PY!AB13,BY!AB13,SM!AB13,SC!AB13,TC!AB13,ML!AB13,QN!AB13,XL!AB13,'XL (BHTP1)'!AB13,'XL (BHTP2)'!AB13)</f>
        <v>0</v>
      </c>
      <c r="AC13" s="13">
        <f>SUM('TP1'!AC13,'TP2'!AC13,MS!AC13,'MC + Vân hồ'!AC13,YC!AC13,PY!AC13,BY!AC13,SM!AC13,SC!AC13,TC!AC13,ML!AC13,QN!AC13,XL!AC13,'XL (BHTP1)'!AC13,'XL (BHTP2)'!AC13)</f>
        <v>0</v>
      </c>
      <c r="AD13" s="13">
        <f>SUM('TP1'!AD13,'TP2'!AD13,MS!AD13,'MC + Vân hồ'!AD13,YC!AD13,PY!AD13,BY!AD13,SM!AD13,SC!AD13,TC!AD13,ML!AD13,QN!AD13,XL!AD13,'XL (BHTP1)'!AD13,'XL (BHTP2)'!AD13)</f>
        <v>0</v>
      </c>
      <c r="AE13" s="13">
        <f>SUM('TP1'!AE13,'TP2'!AE13,MS!AE13,'MC + Vân hồ'!AE13,YC!AE13,PY!AE13,BY!AE13,SM!AE13,SC!AE13,TC!AE13,ML!AE13,QN!AE13,XL!AE13,'XL (BHTP1)'!AE13,'XL (BHTP2)'!AE13)</f>
        <v>0</v>
      </c>
      <c r="AF13" s="13">
        <f>SUM('TP1'!AF13,'TP2'!AF13,MS!AF13,'MC + Vân hồ'!AF13,YC!AF13,PY!AF13,BY!AF13,SM!AF13,SC!AF13,TC!AF13,ML!AF13,QN!AF13,XL!AF13,'XL (BHTP1)'!AF13,'XL (BHTP2)'!AF13)</f>
        <v>0</v>
      </c>
      <c r="AG13" s="13">
        <f>SUM('TP1'!AG13,'TP2'!AG13,MS!AG13,'MC + Vân hồ'!AG13,YC!AG13,PY!AG13,BY!AG13,SM!AG13,SC!AG13,TC!AG13,ML!AG13,QN!AG13,XL!AG13,'XL (BHTP1)'!AG13,'XL (BHTP2)'!AG13)</f>
        <v>0</v>
      </c>
      <c r="AH13" s="13">
        <f>SUM('TP1'!AH13,'TP2'!AH13,MS!AH13,'MC + Vân hồ'!AH13,YC!AH13,PY!AH13,BY!AH13,SM!AH13,SC!AH13,TC!AH13,ML!AH13,QN!AH13,XL!AH13,'XL (BHTP1)'!AH13,'XL (BHTP2)'!AH13)</f>
        <v>0</v>
      </c>
      <c r="AI13" s="13">
        <f>SUM('TP1'!AI13,'TP2'!AI13,MS!AI13,'MC + Vân hồ'!AI13,YC!AI13,PY!AI13,BY!AI13,SM!AI13,SC!AI13,TC!AI13,ML!AI13,QN!AI13,XL!AI13,'XL (BHTP1)'!AI13,'XL (BHTP2)'!AI13)</f>
        <v>0</v>
      </c>
      <c r="AJ13" s="13">
        <f>SUM('TP1'!AJ13,'TP2'!AJ13,MS!AJ13,'MC + Vân hồ'!AJ13,YC!AJ13,PY!AJ13,BY!AJ13,SM!AJ13,SC!AJ13,TC!AJ13,ML!AJ13,QN!AJ13,XL!AJ13,'XL (BHTP1)'!AJ13,'XL (BHTP2)'!AJ13)</f>
        <v>0</v>
      </c>
      <c r="AK13" s="13">
        <f>SUM('TP1'!AK13,'TP2'!AK13,MS!AK13,'MC + Vân hồ'!AK13,YC!AK13,PY!AK13,BY!AK13,SM!AK13,SC!AK13,TC!AK13,ML!AK13,QN!AK13,XL!AK13,'XL (BHTP1)'!AK13,'XL (BHTP2)'!AK13)</f>
        <v>0</v>
      </c>
      <c r="AL13" s="13">
        <f>SUM('TP1'!AL13,'TP2'!AL13,MS!AL13,'MC + Vân hồ'!AL13,YC!AL13,PY!AL13,BY!AL13,SM!AL13,SC!AL13,TC!AL13,ML!AL13,QN!AL13,XL!AL13,'XL (BHTP1)'!AL13,'XL (BHTP2)'!AL13)</f>
        <v>0</v>
      </c>
      <c r="AM13" s="13">
        <f>SUM('TP1'!AM13,'TP2'!AM13,MS!AM13,'MC + Vân hồ'!AM13,YC!AM13,PY!AM13,BY!AM13,SM!AM13,SC!AM13,TC!AM13,ML!AM13,QN!AM13,XL!AM13,'XL (BHTP1)'!AM13,'XL (BHTP2)'!AM13)</f>
        <v>0</v>
      </c>
      <c r="AN13" s="13">
        <f>SUM('TP1'!AN13,'TP2'!AN13,MS!AN13,'MC + Vân hồ'!AN13,YC!AN13,PY!AN13,BY!AN13,SM!AN13,SC!AN13,TC!AN13,ML!AN13,QN!AN13,XL!AN13,'XL (BHTP1)'!AN13,'XL (BHTP2)'!AN13)</f>
        <v>0</v>
      </c>
      <c r="AO13" s="13">
        <f>SUM('TP1'!AO13,'TP2'!AO13,MS!AO13,'MC + Vân hồ'!AO13,YC!AO13,PY!AO13,BY!AO13,SM!AO13,SC!AO13,TC!AO13,ML!AO13,QN!AO13,XL!AO13,'XL (BHTP1)'!AO13,'XL (BHTP2)'!AO13)</f>
        <v>0</v>
      </c>
      <c r="AP13" s="13">
        <f>SUM('TP1'!AP13,'TP2'!AP13,MS!AP13,'MC + Vân hồ'!AP13,YC!AP13,PY!AP13,BY!AP13,SM!AP13,SC!AP13,TC!AP13,ML!AP13,QN!AP13,XL!AP13,'XL (BHTP1)'!AP13,'XL (BHTP2)'!AP13)</f>
        <v>0</v>
      </c>
      <c r="AQ13" s="13">
        <f>SUM('TP1'!AQ13,'TP2'!AQ13,MS!AQ13,'MC + Vân hồ'!AQ13,YC!AQ13,PY!AQ13,BY!AQ13,SM!AQ13,SC!AQ13,TC!AQ13,ML!AQ13,QN!AQ13,XL!AQ13,'XL (BHTP1)'!AQ13,'XL (BHTP2)'!AQ13)</f>
        <v>0</v>
      </c>
      <c r="AR13" s="13">
        <f>SUM('TP1'!AR13,'TP2'!AR13,MS!AR13,'MC + Vân hồ'!AR13,YC!AR13,PY!AR13,BY!AR13,SM!AR13,SC!AR13,TC!AR13,ML!AR13,QN!AR13,XL!AR13,'XL (BHTP1)'!AR13,'XL (BHTP2)'!AR13)</f>
        <v>0</v>
      </c>
      <c r="AS13" s="13">
        <f>SUM('TP1'!AS13,'TP2'!AS13,MS!AS13,'MC + Vân hồ'!AS13,YC!AS13,PY!AS13,BY!AS13,SM!AS13,SC!AS13,TC!AS13,ML!AS13,QN!AS13,XL!AS13,'XL (BHTP1)'!AS13,'XL (BHTP2)'!AS13)</f>
        <v>0</v>
      </c>
      <c r="AT13" s="13">
        <f>SUM('TP1'!AT13,'TP2'!AT13,MS!AT13,'MC + Vân hồ'!AT13,YC!AT13,PY!AT13,BY!AT13,SM!AT13,SC!AT13,TC!AT13,ML!AT13,QN!AT13,XL!AT13,'XL (BHTP1)'!AT13,'XL (BHTP2)'!AT13)</f>
        <v>0</v>
      </c>
      <c r="AU13" s="13">
        <f>SUM('TP1'!AU13,'TP2'!AU13,MS!AU13,'MC + Vân hồ'!AU13,YC!AU13,PY!AU13,BY!AU13,SM!AU13,SC!AU13,TC!AU13,ML!AU13,QN!AU13,XL!AU13,'XL (BHTP1)'!AU13,'XL (BHTP2)'!AU13)</f>
        <v>0</v>
      </c>
      <c r="AV13" s="13">
        <f>SUM('TP1'!AV13,'TP2'!AV13,MS!AV13,'MC + Vân hồ'!AV13,YC!AV13,PY!AV13,BY!AV13,SM!AV13,SC!AV13,TC!AV13,ML!AV13,QN!AV13,XL!AV13,'XL (BHTP1)'!AV13,'XL (BHTP2)'!AV13)</f>
        <v>0</v>
      </c>
      <c r="AW13" s="13">
        <f>SUM('TP1'!AW13,'TP2'!AW13,MS!AW13,'MC + Vân hồ'!AW13,YC!AW13,PY!AW13,BY!AW13,SM!AW13,SC!AW13,TC!AW13,ML!AW13,QN!AW13,XL!AW13,'XL (BHTP1)'!AW13,'XL (BHTP2)'!AW13)</f>
        <v>0</v>
      </c>
      <c r="AX13" s="13">
        <f>SUM('TP1'!AX13,'TP2'!AX13,MS!AX13,'MC + Vân hồ'!AX13,YC!AX13,PY!AX13,BY!AX13,SM!AX13,SC!AX13,TC!AX13,ML!AX13,QN!AX13,XL!AX13,'XL (BHTP1)'!AX13,'XL (BHTP2)'!AX13)</f>
        <v>0</v>
      </c>
      <c r="AY13" s="13">
        <f>SUM('TP1'!AY13,'TP2'!AY13,MS!AY13,'MC + Vân hồ'!AY13,YC!AY13,PY!AY13,BY!AY13,SM!AY13,SC!AY13,TC!AY13,ML!AY13,QN!AY13,XL!AY13,'XL (BHTP1)'!AY13,'XL (BHTP2)'!AY13)</f>
        <v>0</v>
      </c>
      <c r="AZ13" s="13">
        <f>SUM('TP1'!AZ13,'TP2'!AZ13,MS!AZ13,'MC + Vân hồ'!AZ13,YC!AZ13,PY!AZ13,BY!AZ13,SM!AZ13,SC!AZ13,TC!AZ13,ML!AZ13,QN!AZ13,XL!AZ13,'XL (BHTP1)'!AZ13,'XL (BHTP2)'!AZ13)</f>
        <v>0</v>
      </c>
      <c r="BA13" s="13">
        <f>SUM('TP1'!BA13,'TP2'!BA13,MS!BA13,'MC + Vân hồ'!BA13,YC!BA13,PY!BA13,BY!BA13,SM!BA13,SC!BA13,TC!BA13,ML!BA13,QN!BA13,XL!BA13,'XL (BHTP1)'!BA13,'XL (BHTP2)'!BA13)</f>
        <v>0</v>
      </c>
      <c r="BB13" s="13">
        <f>SUM('TP1'!BB13,'TP2'!BB13,MS!BB13,'MC + Vân hồ'!BB13,YC!BB13,PY!BB13,BY!BB13,SM!BB13,SC!BB13,TC!BB13,ML!BB13,QN!BB13,XL!BB13,'XL (BHTP1)'!BB13,'XL (BHTP2)'!BB13)</f>
        <v>0</v>
      </c>
      <c r="BC13" s="13">
        <f>SUM('TP1'!BC13,'TP2'!BC13,MS!BC13,'MC + Vân hồ'!BC13,YC!BC13,PY!BC13,BY!BC13,SM!BC13,SC!BC13,TC!BC13,ML!BC13,QN!BC13,XL!BC13,'XL (BHTP1)'!BC13,'XL (BHTP2)'!BC13)</f>
        <v>0</v>
      </c>
      <c r="BD13" s="13">
        <f>SUM('TP1'!BD13,'TP2'!BD13,MS!BD13,'MC + Vân hồ'!BD13,YC!BD13,PY!BD13,BY!BD13,SM!BD13,SC!BD13,TC!BD13,ML!BD13,QN!BD13,XL!BD13,'XL (BHTP1)'!BD13,'XL (BHTP2)'!BD13)</f>
        <v>0</v>
      </c>
      <c r="BE13" s="13">
        <f>SUM('TP1'!BE13,'TP2'!BE13,MS!BE13,'MC + Vân hồ'!BE13,YC!BE13,PY!BE13,BY!BE13,SM!BE13,SC!BE13,TC!BE13,ML!BE13,QN!BE13,XL!BE13,'XL (BHTP1)'!BE13,'XL (BHTP2)'!BE13)</f>
        <v>0</v>
      </c>
      <c r="BF13" s="13">
        <f>SUM('TP1'!BF13,'TP2'!BF13,MS!BF13,'MC + Vân hồ'!BF13,YC!BF13,PY!BF13,BY!BF13,SM!BF13,SC!BF13,TC!BF13,ML!BF13,QN!BF13,XL!BF13,'XL (BHTP1)'!BF13,'XL (BHTP2)'!BF13)</f>
        <v>0</v>
      </c>
      <c r="BG13" s="13">
        <f>SUM('TP1'!BG13,'TP2'!BG13,MS!BG13,'MC + Vân hồ'!BG13,YC!BG13,PY!BG13,BY!BG13,SM!BG13,SC!BG13,TC!BG13,ML!BG13,QN!BG13,XL!BG13,'XL (BHTP1)'!BG13,'XL (BHTP2)'!BG13)</f>
        <v>0</v>
      </c>
      <c r="BH13" s="13">
        <f>SUM('TP1'!BH13,'TP2'!BH13,MS!BH13,'MC + Vân hồ'!BH13,YC!BH13,PY!BH13,BY!BH13,SM!BH13,SC!BH13,TC!BH13,ML!BH13,QN!BH13,XL!BH13,'XL (BHTP1)'!BH13,'XL (BHTP2)'!BH13)</f>
        <v>0</v>
      </c>
      <c r="BI13" s="13">
        <f>SUM('TP1'!BI13,'TP2'!BI13,MS!BI13,'MC + Vân hồ'!BI13,YC!BI13,PY!BI13,BY!BI13,SM!BI13,SC!BI13,TC!BI13,ML!BI13,QN!BI13,XL!BI13,'XL (BHTP1)'!BI13,'XL (BHTP2)'!BI13)</f>
        <v>0</v>
      </c>
      <c r="BJ13" s="13">
        <f>SUM('TP1'!BJ13,'TP2'!BJ13,MS!BJ13,'MC + Vân hồ'!BJ13,YC!BJ13,PY!BJ13,BY!BJ13,SM!BJ13,SC!BJ13,TC!BJ13,ML!BJ13,QN!BJ13,XL!BJ13,'XL (BHTP1)'!BJ13,'XL (BHTP2)'!BJ13)</f>
        <v>0</v>
      </c>
      <c r="BK13" s="13">
        <f>SUM('TP1'!BK13,'TP2'!BK13,MS!BK13,'MC + Vân hồ'!BK13,YC!BK13,PY!BK13,BY!BK13,SM!BK13,SC!BK13,TC!BK13,ML!BK13,QN!BK13,XL!BK13,'XL (BHTP1)'!BK13,'XL (BHTP2)'!BK13)</f>
        <v>0</v>
      </c>
      <c r="BL13" s="13">
        <f>SUM('TP1'!BL13,'TP2'!BL13,MS!BL13,'MC + Vân hồ'!BL13,YC!BL13,PY!BL13,BY!BL13,SM!BL13,SC!BL13,TC!BL13,ML!BL13,QN!BL13,XL!BL13,'XL (BHTP1)'!BL13,'XL (BHTP2)'!BL13)</f>
        <v>0</v>
      </c>
      <c r="BM13" s="13">
        <f>SUM('TP1'!BM13,'TP2'!BM13,MS!BM13,'MC + Vân hồ'!BM13,YC!BM13,PY!BM13,BY!BM13,SM!BM13,SC!BM13,TC!BM13,ML!BM13,QN!BM13,XL!BM13,'XL (BHTP1)'!BM13,'XL (BHTP2)'!BM13)</f>
        <v>0</v>
      </c>
      <c r="BN13" s="13">
        <f>SUM('TP1'!BN13,'TP2'!BN13,MS!BN13,'MC + Vân hồ'!BN13,YC!BN13,PY!BN13,BY!BN13,SM!BN13,SC!BN13,TC!BN13,ML!BN13,QN!BN13,XL!BN13,'XL (BHTP1)'!BN13,'XL (BHTP2)'!BN13)</f>
        <v>0</v>
      </c>
      <c r="BO13" s="13">
        <f>SUM('TP1'!BO13,'TP2'!BO13,MS!BO13,'MC + Vân hồ'!BO13,YC!BO13,PY!BO13,BY!BO13,SM!BO13,SC!BO13,TC!BO13,ML!BO13,QN!BO13,XL!BO13,'XL (BHTP1)'!BO13,'XL (BHTP2)'!BO13)</f>
        <v>0</v>
      </c>
      <c r="BP13" s="13">
        <f>SUM('TP1'!BP13,'TP2'!BP13,MS!BP13,'MC + Vân hồ'!BP13,YC!BP13,PY!BP13,BY!BP13,SM!BP13,SC!BP13,TC!BP13,ML!BP13,QN!BP13,XL!BP13,'XL (BHTP1)'!BP13,'XL (BHTP2)'!BP13)</f>
        <v>0</v>
      </c>
      <c r="BQ13" s="13">
        <f>SUM('TP1'!BQ13,'TP2'!BQ13,MS!BQ13,'MC + Vân hồ'!BQ13,YC!BQ13,PY!BQ13,BY!BQ13,SM!BQ13,SC!BQ13,TC!BQ13,ML!BQ13,QN!BQ13,XL!BQ13,'XL (BHTP1)'!BQ13,'XL (BHTP2)'!BQ13)</f>
        <v>0</v>
      </c>
      <c r="BR13" s="13">
        <f>SUM('TP1'!BR13,'TP2'!BR13,MS!BR13,'MC + Vân hồ'!BR13,YC!BR13,PY!BR13,BY!BR13,SM!BR13,SC!BR13,TC!BR13,ML!BR13,QN!BR13,XL!BR13,'XL (BHTP1)'!BR13,'XL (BHTP2)'!BR13)</f>
        <v>0</v>
      </c>
      <c r="BS13" s="13">
        <f>SUM('TP1'!BS13,'TP2'!BS13,MS!BS13,'MC + Vân hồ'!BS13,YC!BS13,PY!BS13,BY!BS13,SM!BS13,SC!BS13,TC!BS13,ML!BS13,QN!BS13,XL!BS13,'XL (BHTP1)'!BS13,'XL (BHTP2)'!BS13)</f>
        <v>0</v>
      </c>
      <c r="BT13" s="13">
        <f>SUM('TP1'!BT13,'TP2'!BT13,MS!BT13,'MC + Vân hồ'!BT13,YC!BT13,PY!BT13,BY!BT13,SM!BT13,SC!BT13,TC!BT13,ML!BT13,QN!BT13,XL!BT13,'XL (BHTP1)'!BT13,'XL (BHTP2)'!BT13)</f>
        <v>0</v>
      </c>
      <c r="BU13" s="13">
        <f>SUM('TP1'!BU13,'TP2'!BU13,MS!BU13,'MC + Vân hồ'!BU13,YC!BU13,PY!BU13,BY!BU13,SM!BU13,SC!BU13,TC!BU13,ML!BU13,QN!BU13,XL!BU13,'XL (BHTP1)'!BU13,'XL (BHTP2)'!BU13)</f>
        <v>0</v>
      </c>
      <c r="BV13" s="13">
        <f>SUM('TP1'!BV13,'TP2'!BV13,MS!BV13,'MC + Vân hồ'!BV13,YC!BV13,PY!BV13,BY!BV13,SM!BV13,SC!BV13,TC!BV13,ML!BV13,QN!BV13,XL!BV13,'XL (BHTP1)'!BV13,'XL (BHTP2)'!BV13)</f>
        <v>0</v>
      </c>
      <c r="BW13" s="13">
        <f>SUM('TP1'!BW13,'TP2'!BW13,MS!BW13,'MC + Vân hồ'!BW13,YC!BW13,PY!BW13,BY!BW13,SM!BW13,SC!BW13,TC!BW13,ML!BW13,QN!BW13,XL!BW13,'XL (BHTP1)'!BW13,'XL (BHTP2)'!BW13)</f>
        <v>0</v>
      </c>
      <c r="BX13" s="13">
        <f>SUM('TP1'!BX13,'TP2'!BX13,MS!BX13,'MC + Vân hồ'!BX13,YC!BX13,PY!BX13,BY!BX13,SM!BX13,SC!BX13,TC!BX13,ML!BX13,QN!BX13,XL!BX13,'XL (BHTP1)'!BX13,'XL (BHTP2)'!BX13)</f>
        <v>0</v>
      </c>
      <c r="BY13" s="13">
        <f>SUM('TP1'!BY13,'TP2'!BY13,MS!BY13,'MC + Vân hồ'!BY13,YC!BY13,PY!BY13,BY!BY13,SM!BY13,SC!BY13,TC!BY13,ML!BY13,QN!BY13,XL!BY13,'XL (BHTP1)'!BY13,'XL (BHTP2)'!BY13)</f>
        <v>0</v>
      </c>
      <c r="BZ13" s="13">
        <f>SUM('TP1'!BZ13,'TP2'!BZ13,MS!BZ13,'MC + Vân hồ'!BZ13,YC!BZ13,PY!BZ13,BY!BZ13,SM!BZ13,SC!BZ13,TC!BZ13,ML!BZ13,QN!BZ13,XL!BZ13,'XL (BHTP1)'!BZ13,'XL (BHTP2)'!BZ13)</f>
        <v>0</v>
      </c>
      <c r="CA13" s="13">
        <f>SUM('TP1'!CA13,'TP2'!CA13,MS!CA13,'MC + Vân hồ'!CA13,YC!CA13,PY!CA13,BY!CA13,SM!CA13,SC!CA13,TC!CA13,ML!CA13,QN!CA13,XL!CA13,'XL (BHTP1)'!CA13,'XL (BHTP2)'!CA13)</f>
        <v>0</v>
      </c>
      <c r="CB13" s="13">
        <f>SUM('TP1'!CB13,'TP2'!CB13,MS!CB13,'MC + Vân hồ'!CB13,YC!CB13,PY!CB13,BY!CB13,SM!CB13,SC!CB13,TC!CB13,ML!CB13,QN!CB13,XL!CB13,'XL (BHTP1)'!CB13,'XL (BHTP2)'!CB13)</f>
        <v>0</v>
      </c>
      <c r="CC13" s="13">
        <f>SUM('TP1'!CC13,'TP2'!CC13,MS!CC13,'MC + Vân hồ'!CC13,YC!CC13,PY!CC13,BY!CC13,SM!CC13,SC!CC13,TC!CC13,ML!CC13,QN!CC13,XL!CC13,'XL (BHTP1)'!CC13,'XL (BHTP2)'!CC13)</f>
        <v>0</v>
      </c>
      <c r="CD13" s="13">
        <f>SUM('TP1'!CD13,'TP2'!CD13,MS!CD13,'MC + Vân hồ'!CD13,YC!CD13,PY!CD13,BY!CD13,SM!CD13,SC!CD13,TC!CD13,ML!CD13,QN!CD13,XL!CD13,'XL (BHTP1)'!CD13,'XL (BHTP2)'!CD13)</f>
        <v>0</v>
      </c>
      <c r="CE13" s="13">
        <f>SUM('TP1'!CE13,'TP2'!CE13,MS!CE13,'MC + Vân hồ'!CE13,YC!CE13,PY!CE13,BY!CE13,SM!CE13,SC!CE13,TC!CE13,ML!CE13,QN!CE13,XL!CE13,'XL (BHTP1)'!CE13,'XL (BHTP2)'!CE13)</f>
        <v>0</v>
      </c>
      <c r="CF13" s="13">
        <f>SUM('TP1'!CF13,'TP2'!CF13,MS!CF13,'MC + Vân hồ'!CF13,YC!CF13,PY!CF13,BY!CF13,SM!CF13,SC!CF13,TC!CF13,ML!CF13,QN!CF13,XL!CF13,'XL (BHTP1)'!CF13,'XL (BHTP2)'!CF13)</f>
        <v>0</v>
      </c>
      <c r="CG13" s="13">
        <f>SUM('TP1'!CG13,'TP2'!CG13,MS!CG13,'MC + Vân hồ'!CG13,YC!CG13,PY!CG13,BY!CG13,SM!CG13,SC!CG13,TC!CG13,ML!CG13,QN!CG13,XL!CG13,'XL (BHTP1)'!CG13,'XL (BHTP2)'!CG13)</f>
        <v>0</v>
      </c>
      <c r="CH13" s="13">
        <f>SUM('TP1'!CH13,'TP2'!CH13,MS!CH13,'MC + Vân hồ'!CH13,YC!CH13,PY!CH13,BY!CH13,SM!CH13,SC!CH13,TC!CH13,ML!CH13,QN!CH13,XL!CH13,'XL (BHTP1)'!CH13,'XL (BHTP2)'!CH13)</f>
        <v>0</v>
      </c>
      <c r="CI13" s="13">
        <f>SUM('TP1'!CI13,'TP2'!CI13,MS!CI13,'MC + Vân hồ'!CI13,YC!CI13,PY!CI13,BY!CI13,SM!CI13,SC!CI13,TC!CI13,ML!CI13,QN!CI13,XL!CI13,'XL (BHTP1)'!CI13,'XL (BHTP2)'!CI13)</f>
        <v>0</v>
      </c>
      <c r="CJ13" s="13">
        <f>SUM('TP1'!CJ13,'TP2'!CJ13,MS!CJ13,'MC + Vân hồ'!CJ13,YC!CJ13,PY!CJ13,BY!CJ13,SM!CJ13,SC!CJ13,TC!CJ13,ML!CJ13,QN!CJ13,XL!CJ13,'XL (BHTP1)'!CJ13,'XL (BHTP2)'!CJ13)</f>
        <v>0</v>
      </c>
      <c r="CK13" s="73">
        <f t="shared" ref="CK13:CQ13" si="9">SUM(E13,L13,S13,Z13,AG13,AN13,AU13,BB13,BI13,BP13,BW13,CD13)</f>
        <v>0</v>
      </c>
      <c r="CL13" s="73">
        <f t="shared" si="9"/>
        <v>0</v>
      </c>
      <c r="CM13" s="73">
        <f t="shared" si="9"/>
        <v>0</v>
      </c>
      <c r="CN13" s="73">
        <f t="shared" si="9"/>
        <v>0</v>
      </c>
      <c r="CO13" s="73">
        <f t="shared" si="9"/>
        <v>0</v>
      </c>
      <c r="CP13" s="73">
        <f t="shared" si="9"/>
        <v>0</v>
      </c>
      <c r="CQ13" s="73">
        <f t="shared" si="9"/>
        <v>0</v>
      </c>
      <c r="CR13" s="56"/>
      <c r="CS13" s="56">
        <f t="shared" si="3"/>
        <v>0</v>
      </c>
    </row>
    <row r="14" outlineLevel="1">
      <c r="B14" s="12" t="s">
        <v>40</v>
      </c>
      <c r="C14" s="12" t="s">
        <v>41</v>
      </c>
      <c r="D14" s="12" t="s">
        <v>26</v>
      </c>
      <c r="E14" s="13">
        <f>SUM('TP1'!E14,'TP2'!E14,MS!E14,'MC + Vân hồ'!E14,YC!E14,PY!E14,BY!E14,SM!E14,SC!E14,TC!E14,ML!E14,QN!E14,XL!E14,'XL (BHTP1)'!E14,'XL (BHTP2)'!E14)</f>
        <v>0</v>
      </c>
      <c r="F14" s="13">
        <f>SUM('TP1'!F14,'TP2'!F14,MS!F14,'MC + Vân hồ'!F14,YC!F14,PY!F14,BY!F14,SM!F14,SC!F14,TC!F14,ML!F14,QN!F14,XL!F14,'XL (BHTP1)'!F14,'XL (BHTP2)'!F14)</f>
        <v>0</v>
      </c>
      <c r="G14" s="13">
        <f>SUM('TP1'!G14,'TP2'!G14,MS!G14,'MC + Vân hồ'!G14,YC!G14,PY!G14,BY!G14,SM!G14,SC!G14,TC!G14,ML!G14,QN!G14,XL!G14,'XL (BHTP1)'!G14,'XL (BHTP2)'!G14)</f>
        <v>0</v>
      </c>
      <c r="H14" s="13">
        <f>SUM('TP1'!H14,'TP2'!H14,MS!H14,'MC + Vân hồ'!H14,YC!H14,PY!H14,BY!H14,SM!H14,SC!H14,TC!H14,ML!H14,QN!H14,XL!H14,'XL (BHTP1)'!H14,'XL (BHTP2)'!H14)</f>
        <v>0</v>
      </c>
      <c r="I14" s="13">
        <f>SUM('TP1'!I14,'TP2'!I14,MS!I14,'MC + Vân hồ'!I14,YC!I14,PY!I14,BY!I14,SM!I14,SC!I14,TC!I14,ML!I14,QN!I14,XL!I14,'XL (BHTP1)'!I14,'XL (BHTP2)'!I14)</f>
        <v>0</v>
      </c>
      <c r="J14" s="13">
        <f>SUM('TP1'!J14,'TP2'!J14,MS!J14,'MC + Vân hồ'!J14,YC!J14,PY!J14,BY!J14,SM!J14,SC!J14,TC!J14,ML!J14,QN!J14,XL!J14,'XL (BHTP1)'!J14,'XL (BHTP2)'!J14)</f>
        <v>0</v>
      </c>
      <c r="K14" s="13">
        <f>SUM('TP1'!K14,'TP2'!K14,MS!K14,'MC + Vân hồ'!K14,YC!K14,PY!K14,BY!K14,SM!K14,SC!K14,TC!K14,ML!K14,QN!K14,XL!K14,'XL (BHTP1)'!K14,'XL (BHTP2)'!K14)</f>
        <v>0</v>
      </c>
      <c r="L14" s="13">
        <f>SUM('TP1'!L14,'TP2'!L14,MS!L14,'MC + Vân hồ'!L14,YC!L14,PY!L14,BY!L14,SM!L14,SC!L14,TC!L14,ML!L14,QN!L14,XL!L14,'XL (BHTP1)'!L14,'XL (BHTP2)'!L14)</f>
        <v>0</v>
      </c>
      <c r="M14" s="13">
        <f>SUM('TP1'!M14,'TP2'!M14,MS!M14,'MC + Vân hồ'!M14,YC!M14,PY!M14,BY!M14,SM!M14,SC!M14,TC!M14,ML!M14,QN!M14,XL!M14,'XL (BHTP1)'!M14,'XL (BHTP2)'!M14)</f>
        <v>0</v>
      </c>
      <c r="N14" s="13">
        <f>SUM('TP1'!N14,'TP2'!N14,MS!N14,'MC + Vân hồ'!N14,YC!N14,PY!N14,BY!N14,SM!N14,SC!N14,TC!N14,ML!N14,QN!N14,XL!N14,'XL (BHTP1)'!N14,'XL (BHTP2)'!N14)</f>
        <v>0</v>
      </c>
      <c r="O14" s="13">
        <f>SUM('TP1'!O14,'TP2'!O14,MS!O14,'MC + Vân hồ'!O14,YC!O14,PY!O14,BY!O14,SM!O14,SC!O14,TC!O14,ML!O14,QN!O14,XL!O14,'XL (BHTP1)'!O14,'XL (BHTP2)'!O14)</f>
        <v>0</v>
      </c>
      <c r="P14" s="13">
        <f>SUM('TP1'!P14,'TP2'!P14,MS!P14,'MC + Vân hồ'!P14,YC!P14,PY!P14,BY!P14,SM!P14,SC!P14,TC!P14,ML!P14,QN!P14,XL!P14,'XL (BHTP1)'!P14,'XL (BHTP2)'!P14)</f>
        <v>0</v>
      </c>
      <c r="Q14" s="13">
        <f>SUM('TP1'!Q14,'TP2'!Q14,MS!Q14,'MC + Vân hồ'!Q14,YC!Q14,PY!Q14,BY!Q14,SM!Q14,SC!Q14,TC!Q14,ML!Q14,QN!Q14,XL!Q14,'XL (BHTP1)'!Q14,'XL (BHTP2)'!Q14)</f>
        <v>0</v>
      </c>
      <c r="R14" s="13">
        <f>SUM('TP1'!R14,'TP2'!R14,MS!R14,'MC + Vân hồ'!R14,YC!R14,PY!R14,BY!R14,SM!R14,SC!R14,TC!R14,ML!R14,QN!R14,XL!R14,'XL (BHTP1)'!R14,'XL (BHTP2)'!R14)</f>
        <v>0</v>
      </c>
      <c r="S14" s="13">
        <f>SUM('TP1'!S14,'TP2'!S14,MS!S14,'MC + Vân hồ'!S14,YC!S14,PY!S14,BY!S14,SM!S14,SC!S14,TC!S14,ML!S14,QN!S14,XL!S14,'XL (BHTP1)'!S14,'XL (BHTP2)'!S14)</f>
        <v>0</v>
      </c>
      <c r="T14" s="13">
        <f>SUM('TP1'!T14,'TP2'!T14,MS!T14,'MC + Vân hồ'!T14,YC!T14,PY!T14,BY!T14,SM!T14,SC!T14,TC!T14,ML!T14,QN!T14,XL!T14,'XL (BHTP1)'!T14,'XL (BHTP2)'!T14)</f>
        <v>0</v>
      </c>
      <c r="U14" s="13">
        <f>SUM('TP1'!U14,'TP2'!U14,MS!U14,'MC + Vân hồ'!U14,YC!U14,PY!U14,BY!U14,SM!U14,SC!U14,TC!U14,ML!U14,QN!U14,XL!U14,'XL (BHTP1)'!U14,'XL (BHTP2)'!U14)</f>
        <v>0</v>
      </c>
      <c r="V14" s="13">
        <f>SUM('TP1'!V14,'TP2'!V14,MS!V14,'MC + Vân hồ'!V14,YC!V14,PY!V14,BY!V14,SM!V14,SC!V14,TC!V14,ML!V14,QN!V14,XL!V14,'XL (BHTP1)'!V14,'XL (BHTP2)'!V14)</f>
        <v>0</v>
      </c>
      <c r="W14" s="13">
        <f>SUM('TP1'!W14,'TP2'!W14,MS!W14,'MC + Vân hồ'!W14,YC!W14,PY!W14,BY!W14,SM!W14,SC!W14,TC!W14,ML!W14,QN!W14,XL!W14,'XL (BHTP1)'!W14,'XL (BHTP2)'!W14)</f>
        <v>0</v>
      </c>
      <c r="X14" s="13">
        <f>SUM('TP1'!X14,'TP2'!X14,MS!X14,'MC + Vân hồ'!X14,YC!X14,PY!X14,BY!X14,SM!X14,SC!X14,TC!X14,ML!X14,QN!X14,XL!X14,'XL (BHTP1)'!X14,'XL (BHTP2)'!X14)</f>
        <v>0</v>
      </c>
      <c r="Y14" s="13">
        <f>SUM('TP1'!Y14,'TP2'!Y14,MS!Y14,'MC + Vân hồ'!Y14,YC!Y14,PY!Y14,BY!Y14,SM!Y14,SC!Y14,TC!Y14,ML!Y14,QN!Y14,XL!Y14,'XL (BHTP1)'!Y14,'XL (BHTP2)'!Y14)</f>
        <v>0</v>
      </c>
      <c r="Z14" s="13">
        <f>SUM('TP1'!Z14,'TP2'!Z14,MS!Z14,'MC + Vân hồ'!Z14,YC!Z14,PY!Z14,BY!Z14,SM!Z14,SC!Z14,TC!Z14,ML!Z14,QN!Z14,XL!Z14,'XL (BHTP1)'!Z14,'XL (BHTP2)'!Z14)</f>
        <v>0</v>
      </c>
      <c r="AA14" s="13">
        <f>SUM('TP1'!AA14,'TP2'!AA14,MS!AA14,'MC + Vân hồ'!AA14,YC!AA14,PY!AA14,BY!AA14,SM!AA14,SC!AA14,TC!AA14,ML!AA14,QN!AA14,XL!AA14,'XL (BHTP1)'!AA14,'XL (BHTP2)'!AA14)</f>
        <v>0</v>
      </c>
      <c r="AB14" s="13">
        <f>SUM('TP1'!AB14,'TP2'!AB14,MS!AB14,'MC + Vân hồ'!AB14,YC!AB14,PY!AB14,BY!AB14,SM!AB14,SC!AB14,TC!AB14,ML!AB14,QN!AB14,XL!AB14,'XL (BHTP1)'!AB14,'XL (BHTP2)'!AB14)</f>
        <v>0</v>
      </c>
      <c r="AC14" s="13">
        <f>SUM('TP1'!AC14,'TP2'!AC14,MS!AC14,'MC + Vân hồ'!AC14,YC!AC14,PY!AC14,BY!AC14,SM!AC14,SC!AC14,TC!AC14,ML!AC14,QN!AC14,XL!AC14,'XL (BHTP1)'!AC14,'XL (BHTP2)'!AC14)</f>
        <v>0</v>
      </c>
      <c r="AD14" s="13">
        <f>SUM('TP1'!AD14,'TP2'!AD14,MS!AD14,'MC + Vân hồ'!AD14,YC!AD14,PY!AD14,BY!AD14,SM!AD14,SC!AD14,TC!AD14,ML!AD14,QN!AD14,XL!AD14,'XL (BHTP1)'!AD14,'XL (BHTP2)'!AD14)</f>
        <v>0</v>
      </c>
      <c r="AE14" s="13">
        <f>SUM('TP1'!AE14,'TP2'!AE14,MS!AE14,'MC + Vân hồ'!AE14,YC!AE14,PY!AE14,BY!AE14,SM!AE14,SC!AE14,TC!AE14,ML!AE14,QN!AE14,XL!AE14,'XL (BHTP1)'!AE14,'XL (BHTP2)'!AE14)</f>
        <v>0</v>
      </c>
      <c r="AF14" s="13">
        <f>SUM('TP1'!AF14,'TP2'!AF14,MS!AF14,'MC + Vân hồ'!AF14,YC!AF14,PY!AF14,BY!AF14,SM!AF14,SC!AF14,TC!AF14,ML!AF14,QN!AF14,XL!AF14,'XL (BHTP1)'!AF14,'XL (BHTP2)'!AF14)</f>
        <v>0</v>
      </c>
      <c r="AG14" s="13">
        <f>SUM('TP1'!AG14,'TP2'!AG14,MS!AG14,'MC + Vân hồ'!AG14,YC!AG14,PY!AG14,BY!AG14,SM!AG14,SC!AG14,TC!AG14,ML!AG14,QN!AG14,XL!AG14,'XL (BHTP1)'!AG14,'XL (BHTP2)'!AG14)</f>
        <v>0</v>
      </c>
      <c r="AH14" s="13">
        <f>SUM('TP1'!AH14,'TP2'!AH14,MS!AH14,'MC + Vân hồ'!AH14,YC!AH14,PY!AH14,BY!AH14,SM!AH14,SC!AH14,TC!AH14,ML!AH14,QN!AH14,XL!AH14,'XL (BHTP1)'!AH14,'XL (BHTP2)'!AH14)</f>
        <v>0</v>
      </c>
      <c r="AI14" s="13">
        <f>SUM('TP1'!AI14,'TP2'!AI14,MS!AI14,'MC + Vân hồ'!AI14,YC!AI14,PY!AI14,BY!AI14,SM!AI14,SC!AI14,TC!AI14,ML!AI14,QN!AI14,XL!AI14,'XL (BHTP1)'!AI14,'XL (BHTP2)'!AI14)</f>
        <v>0</v>
      </c>
      <c r="AJ14" s="13">
        <f>SUM('TP1'!AJ14,'TP2'!AJ14,MS!AJ14,'MC + Vân hồ'!AJ14,YC!AJ14,PY!AJ14,BY!AJ14,SM!AJ14,SC!AJ14,TC!AJ14,ML!AJ14,QN!AJ14,XL!AJ14,'XL (BHTP1)'!AJ14,'XL (BHTP2)'!AJ14)</f>
        <v>0</v>
      </c>
      <c r="AK14" s="13">
        <f>SUM('TP1'!AK14,'TP2'!AK14,MS!AK14,'MC + Vân hồ'!AK14,YC!AK14,PY!AK14,BY!AK14,SM!AK14,SC!AK14,TC!AK14,ML!AK14,QN!AK14,XL!AK14,'XL (BHTP1)'!AK14,'XL (BHTP2)'!AK14)</f>
        <v>0</v>
      </c>
      <c r="AL14" s="13">
        <f>SUM('TP1'!AL14,'TP2'!AL14,MS!AL14,'MC + Vân hồ'!AL14,YC!AL14,PY!AL14,BY!AL14,SM!AL14,SC!AL14,TC!AL14,ML!AL14,QN!AL14,XL!AL14,'XL (BHTP1)'!AL14,'XL (BHTP2)'!AL14)</f>
        <v>0</v>
      </c>
      <c r="AM14" s="13">
        <f>SUM('TP1'!AM14,'TP2'!AM14,MS!AM14,'MC + Vân hồ'!AM14,YC!AM14,PY!AM14,BY!AM14,SM!AM14,SC!AM14,TC!AM14,ML!AM14,QN!AM14,XL!AM14,'XL (BHTP1)'!AM14,'XL (BHTP2)'!AM14)</f>
        <v>0</v>
      </c>
      <c r="AN14" s="13">
        <f>SUM('TP1'!AN14,'TP2'!AN14,MS!AN14,'MC + Vân hồ'!AN14,YC!AN14,PY!AN14,BY!AN14,SM!AN14,SC!AN14,TC!AN14,ML!AN14,QN!AN14,XL!AN14,'XL (BHTP1)'!AN14,'XL (BHTP2)'!AN14)</f>
        <v>0</v>
      </c>
      <c r="AO14" s="13">
        <f>SUM('TP1'!AO14,'TP2'!AO14,MS!AO14,'MC + Vân hồ'!AO14,YC!AO14,PY!AO14,BY!AO14,SM!AO14,SC!AO14,TC!AO14,ML!AO14,QN!AO14,XL!AO14,'XL (BHTP1)'!AO14,'XL (BHTP2)'!AO14)</f>
        <v>0</v>
      </c>
      <c r="AP14" s="13">
        <f>SUM('TP1'!AP14,'TP2'!AP14,MS!AP14,'MC + Vân hồ'!AP14,YC!AP14,PY!AP14,BY!AP14,SM!AP14,SC!AP14,TC!AP14,ML!AP14,QN!AP14,XL!AP14,'XL (BHTP1)'!AP14,'XL (BHTP2)'!AP14)</f>
        <v>0</v>
      </c>
      <c r="AQ14" s="13">
        <f>SUM('TP1'!AQ14,'TP2'!AQ14,MS!AQ14,'MC + Vân hồ'!AQ14,YC!AQ14,PY!AQ14,BY!AQ14,SM!AQ14,SC!AQ14,TC!AQ14,ML!AQ14,QN!AQ14,XL!AQ14,'XL (BHTP1)'!AQ14,'XL (BHTP2)'!AQ14)</f>
        <v>0</v>
      </c>
      <c r="AR14" s="13">
        <f>SUM('TP1'!AR14,'TP2'!AR14,MS!AR14,'MC + Vân hồ'!AR14,YC!AR14,PY!AR14,BY!AR14,SM!AR14,SC!AR14,TC!AR14,ML!AR14,QN!AR14,XL!AR14,'XL (BHTP1)'!AR14,'XL (BHTP2)'!AR14)</f>
        <v>0</v>
      </c>
      <c r="AS14" s="13">
        <f>SUM('TP1'!AS14,'TP2'!AS14,MS!AS14,'MC + Vân hồ'!AS14,YC!AS14,PY!AS14,BY!AS14,SM!AS14,SC!AS14,TC!AS14,ML!AS14,QN!AS14,XL!AS14,'XL (BHTP1)'!AS14,'XL (BHTP2)'!AS14)</f>
        <v>0</v>
      </c>
      <c r="AT14" s="13">
        <f>SUM('TP1'!AT14,'TP2'!AT14,MS!AT14,'MC + Vân hồ'!AT14,YC!AT14,PY!AT14,BY!AT14,SM!AT14,SC!AT14,TC!AT14,ML!AT14,QN!AT14,XL!AT14,'XL (BHTP1)'!AT14,'XL (BHTP2)'!AT14)</f>
        <v>0</v>
      </c>
      <c r="AU14" s="13">
        <f>SUM('TP1'!AU14,'TP2'!AU14,MS!AU14,'MC + Vân hồ'!AU14,YC!AU14,PY!AU14,BY!AU14,SM!AU14,SC!AU14,TC!AU14,ML!AU14,QN!AU14,XL!AU14,'XL (BHTP1)'!AU14,'XL (BHTP2)'!AU14)</f>
        <v>0</v>
      </c>
      <c r="AV14" s="13">
        <f>SUM('TP1'!AV14,'TP2'!AV14,MS!AV14,'MC + Vân hồ'!AV14,YC!AV14,PY!AV14,BY!AV14,SM!AV14,SC!AV14,TC!AV14,ML!AV14,QN!AV14,XL!AV14,'XL (BHTP1)'!AV14,'XL (BHTP2)'!AV14)</f>
        <v>0</v>
      </c>
      <c r="AW14" s="13">
        <f>SUM('TP1'!AW14,'TP2'!AW14,MS!AW14,'MC + Vân hồ'!AW14,YC!AW14,PY!AW14,BY!AW14,SM!AW14,SC!AW14,TC!AW14,ML!AW14,QN!AW14,XL!AW14,'XL (BHTP1)'!AW14,'XL (BHTP2)'!AW14)</f>
        <v>0</v>
      </c>
      <c r="AX14" s="13">
        <f>SUM('TP1'!AX14,'TP2'!AX14,MS!AX14,'MC + Vân hồ'!AX14,YC!AX14,PY!AX14,BY!AX14,SM!AX14,SC!AX14,TC!AX14,ML!AX14,QN!AX14,XL!AX14,'XL (BHTP1)'!AX14,'XL (BHTP2)'!AX14)</f>
        <v>0</v>
      </c>
      <c r="AY14" s="13">
        <f>SUM('TP1'!AY14,'TP2'!AY14,MS!AY14,'MC + Vân hồ'!AY14,YC!AY14,PY!AY14,BY!AY14,SM!AY14,SC!AY14,TC!AY14,ML!AY14,QN!AY14,XL!AY14,'XL (BHTP1)'!AY14,'XL (BHTP2)'!AY14)</f>
        <v>0</v>
      </c>
      <c r="AZ14" s="13">
        <f>SUM('TP1'!AZ14,'TP2'!AZ14,MS!AZ14,'MC + Vân hồ'!AZ14,YC!AZ14,PY!AZ14,BY!AZ14,SM!AZ14,SC!AZ14,TC!AZ14,ML!AZ14,QN!AZ14,XL!AZ14,'XL (BHTP1)'!AZ14,'XL (BHTP2)'!AZ14)</f>
        <v>0</v>
      </c>
      <c r="BA14" s="13">
        <f>SUM('TP1'!BA14,'TP2'!BA14,MS!BA14,'MC + Vân hồ'!BA14,YC!BA14,PY!BA14,BY!BA14,SM!BA14,SC!BA14,TC!BA14,ML!BA14,QN!BA14,XL!BA14,'XL (BHTP1)'!BA14,'XL (BHTP2)'!BA14)</f>
        <v>0</v>
      </c>
      <c r="BB14" s="13">
        <f>SUM('TP1'!BB14,'TP2'!BB14,MS!BB14,'MC + Vân hồ'!BB14,YC!BB14,PY!BB14,BY!BB14,SM!BB14,SC!BB14,TC!BB14,ML!BB14,QN!BB14,XL!BB14,'XL (BHTP1)'!BB14,'XL (BHTP2)'!BB14)</f>
        <v>0</v>
      </c>
      <c r="BC14" s="13">
        <f>SUM('TP1'!BC14,'TP2'!BC14,MS!BC14,'MC + Vân hồ'!BC14,YC!BC14,PY!BC14,BY!BC14,SM!BC14,SC!BC14,TC!BC14,ML!BC14,QN!BC14,XL!BC14,'XL (BHTP1)'!BC14,'XL (BHTP2)'!BC14)</f>
        <v>0</v>
      </c>
      <c r="BD14" s="13">
        <f>SUM('TP1'!BD14,'TP2'!BD14,MS!BD14,'MC + Vân hồ'!BD14,YC!BD14,PY!BD14,BY!BD14,SM!BD14,SC!BD14,TC!BD14,ML!BD14,QN!BD14,XL!BD14,'XL (BHTP1)'!BD14,'XL (BHTP2)'!BD14)</f>
        <v>0</v>
      </c>
      <c r="BE14" s="13">
        <f>SUM('TP1'!BE14,'TP2'!BE14,MS!BE14,'MC + Vân hồ'!BE14,YC!BE14,PY!BE14,BY!BE14,SM!BE14,SC!BE14,TC!BE14,ML!BE14,QN!BE14,XL!BE14,'XL (BHTP1)'!BE14,'XL (BHTP2)'!BE14)</f>
        <v>0</v>
      </c>
      <c r="BF14" s="13">
        <f>SUM('TP1'!BF14,'TP2'!BF14,MS!BF14,'MC + Vân hồ'!BF14,YC!BF14,PY!BF14,BY!BF14,SM!BF14,SC!BF14,TC!BF14,ML!BF14,QN!BF14,XL!BF14,'XL (BHTP1)'!BF14,'XL (BHTP2)'!BF14)</f>
        <v>0</v>
      </c>
      <c r="BG14" s="13">
        <f>SUM('TP1'!BG14,'TP2'!BG14,MS!BG14,'MC + Vân hồ'!BG14,YC!BG14,PY!BG14,BY!BG14,SM!BG14,SC!BG14,TC!BG14,ML!BG14,QN!BG14,XL!BG14,'XL (BHTP1)'!BG14,'XL (BHTP2)'!BG14)</f>
        <v>0</v>
      </c>
      <c r="BH14" s="13">
        <f>SUM('TP1'!BH14,'TP2'!BH14,MS!BH14,'MC + Vân hồ'!BH14,YC!BH14,PY!BH14,BY!BH14,SM!BH14,SC!BH14,TC!BH14,ML!BH14,QN!BH14,XL!BH14,'XL (BHTP1)'!BH14,'XL (BHTP2)'!BH14)</f>
        <v>0</v>
      </c>
      <c r="BI14" s="13">
        <f>SUM('TP1'!BI14,'TP2'!BI14,MS!BI14,'MC + Vân hồ'!BI14,YC!BI14,PY!BI14,BY!BI14,SM!BI14,SC!BI14,TC!BI14,ML!BI14,QN!BI14,XL!BI14,'XL (BHTP1)'!BI14,'XL (BHTP2)'!BI14)</f>
        <v>0</v>
      </c>
      <c r="BJ14" s="13">
        <f>SUM('TP1'!BJ14,'TP2'!BJ14,MS!BJ14,'MC + Vân hồ'!BJ14,YC!BJ14,PY!BJ14,BY!BJ14,SM!BJ14,SC!BJ14,TC!BJ14,ML!BJ14,QN!BJ14,XL!BJ14,'XL (BHTP1)'!BJ14,'XL (BHTP2)'!BJ14)</f>
        <v>0</v>
      </c>
      <c r="BK14" s="13">
        <f>SUM('TP1'!BK14,'TP2'!BK14,MS!BK14,'MC + Vân hồ'!BK14,YC!BK14,PY!BK14,BY!BK14,SM!BK14,SC!BK14,TC!BK14,ML!BK14,QN!BK14,XL!BK14,'XL (BHTP1)'!BK14,'XL (BHTP2)'!BK14)</f>
        <v>0</v>
      </c>
      <c r="BL14" s="13">
        <f>SUM('TP1'!BL14,'TP2'!BL14,MS!BL14,'MC + Vân hồ'!BL14,YC!BL14,PY!BL14,BY!BL14,SM!BL14,SC!BL14,TC!BL14,ML!BL14,QN!BL14,XL!BL14,'XL (BHTP1)'!BL14,'XL (BHTP2)'!BL14)</f>
        <v>0</v>
      </c>
      <c r="BM14" s="13">
        <f>SUM('TP1'!BM14,'TP2'!BM14,MS!BM14,'MC + Vân hồ'!BM14,YC!BM14,PY!BM14,BY!BM14,SM!BM14,SC!BM14,TC!BM14,ML!BM14,QN!BM14,XL!BM14,'XL (BHTP1)'!BM14,'XL (BHTP2)'!BM14)</f>
        <v>0</v>
      </c>
      <c r="BN14" s="13">
        <f>SUM('TP1'!BN14,'TP2'!BN14,MS!BN14,'MC + Vân hồ'!BN14,YC!BN14,PY!BN14,BY!BN14,SM!BN14,SC!BN14,TC!BN14,ML!BN14,QN!BN14,XL!BN14,'XL (BHTP1)'!BN14,'XL (BHTP2)'!BN14)</f>
        <v>0</v>
      </c>
      <c r="BO14" s="13">
        <f>SUM('TP1'!BO14,'TP2'!BO14,MS!BO14,'MC + Vân hồ'!BO14,YC!BO14,PY!BO14,BY!BO14,SM!BO14,SC!BO14,TC!BO14,ML!BO14,QN!BO14,XL!BO14,'XL (BHTP1)'!BO14,'XL (BHTP2)'!BO14)</f>
        <v>0</v>
      </c>
      <c r="BP14" s="13">
        <f>SUM('TP1'!BP14,'TP2'!BP14,MS!BP14,'MC + Vân hồ'!BP14,YC!BP14,PY!BP14,BY!BP14,SM!BP14,SC!BP14,TC!BP14,ML!BP14,QN!BP14,XL!BP14,'XL (BHTP1)'!BP14,'XL (BHTP2)'!BP14)</f>
        <v>0</v>
      </c>
      <c r="BQ14" s="13">
        <f>SUM('TP1'!BQ14,'TP2'!BQ14,MS!BQ14,'MC + Vân hồ'!BQ14,YC!BQ14,PY!BQ14,BY!BQ14,SM!BQ14,SC!BQ14,TC!BQ14,ML!BQ14,QN!BQ14,XL!BQ14,'XL (BHTP1)'!BQ14,'XL (BHTP2)'!BQ14)</f>
        <v>0</v>
      </c>
      <c r="BR14" s="13">
        <f>SUM('TP1'!BR14,'TP2'!BR14,MS!BR14,'MC + Vân hồ'!BR14,YC!BR14,PY!BR14,BY!BR14,SM!BR14,SC!BR14,TC!BR14,ML!BR14,QN!BR14,XL!BR14,'XL (BHTP1)'!BR14,'XL (BHTP2)'!BR14)</f>
        <v>0</v>
      </c>
      <c r="BS14" s="13">
        <f>SUM('TP1'!BS14,'TP2'!BS14,MS!BS14,'MC + Vân hồ'!BS14,YC!BS14,PY!BS14,BY!BS14,SM!BS14,SC!BS14,TC!BS14,ML!BS14,QN!BS14,XL!BS14,'XL (BHTP1)'!BS14,'XL (BHTP2)'!BS14)</f>
        <v>0</v>
      </c>
      <c r="BT14" s="13">
        <f>SUM('TP1'!BT14,'TP2'!BT14,MS!BT14,'MC + Vân hồ'!BT14,YC!BT14,PY!BT14,BY!BT14,SM!BT14,SC!BT14,TC!BT14,ML!BT14,QN!BT14,XL!BT14,'XL (BHTP1)'!BT14,'XL (BHTP2)'!BT14)</f>
        <v>0</v>
      </c>
      <c r="BU14" s="13">
        <f>SUM('TP1'!BU14,'TP2'!BU14,MS!BU14,'MC + Vân hồ'!BU14,YC!BU14,PY!BU14,BY!BU14,SM!BU14,SC!BU14,TC!BU14,ML!BU14,QN!BU14,XL!BU14,'XL (BHTP1)'!BU14,'XL (BHTP2)'!BU14)</f>
        <v>0</v>
      </c>
      <c r="BV14" s="13">
        <f>SUM('TP1'!BV14,'TP2'!BV14,MS!BV14,'MC + Vân hồ'!BV14,YC!BV14,PY!BV14,BY!BV14,SM!BV14,SC!BV14,TC!BV14,ML!BV14,QN!BV14,XL!BV14,'XL (BHTP1)'!BV14,'XL (BHTP2)'!BV14)</f>
        <v>0</v>
      </c>
      <c r="BW14" s="13">
        <f>SUM('TP1'!BW14,'TP2'!BW14,MS!BW14,'MC + Vân hồ'!BW14,YC!BW14,PY!BW14,BY!BW14,SM!BW14,SC!BW14,TC!BW14,ML!BW14,QN!BW14,XL!BW14,'XL (BHTP1)'!BW14,'XL (BHTP2)'!BW14)</f>
        <v>0</v>
      </c>
      <c r="BX14" s="13">
        <f>SUM('TP1'!BX14,'TP2'!BX14,MS!BX14,'MC + Vân hồ'!BX14,YC!BX14,PY!BX14,BY!BX14,SM!BX14,SC!BX14,TC!BX14,ML!BX14,QN!BX14,XL!BX14,'XL (BHTP1)'!BX14,'XL (BHTP2)'!BX14)</f>
        <v>0</v>
      </c>
      <c r="BY14" s="13">
        <f>SUM('TP1'!BY14,'TP2'!BY14,MS!BY14,'MC + Vân hồ'!BY14,YC!BY14,PY!BY14,BY!BY14,SM!BY14,SC!BY14,TC!BY14,ML!BY14,QN!BY14,XL!BY14,'XL (BHTP1)'!BY14,'XL (BHTP2)'!BY14)</f>
        <v>0</v>
      </c>
      <c r="BZ14" s="13">
        <f>SUM('TP1'!BZ14,'TP2'!BZ14,MS!BZ14,'MC + Vân hồ'!BZ14,YC!BZ14,PY!BZ14,BY!BZ14,SM!BZ14,SC!BZ14,TC!BZ14,ML!BZ14,QN!BZ14,XL!BZ14,'XL (BHTP1)'!BZ14,'XL (BHTP2)'!BZ14)</f>
        <v>0</v>
      </c>
      <c r="CA14" s="13">
        <f>SUM('TP1'!CA14,'TP2'!CA14,MS!CA14,'MC + Vân hồ'!CA14,YC!CA14,PY!CA14,BY!CA14,SM!CA14,SC!CA14,TC!CA14,ML!CA14,QN!CA14,XL!CA14,'XL (BHTP1)'!CA14,'XL (BHTP2)'!CA14)</f>
        <v>0</v>
      </c>
      <c r="CB14" s="13">
        <f>SUM('TP1'!CB14,'TP2'!CB14,MS!CB14,'MC + Vân hồ'!CB14,YC!CB14,PY!CB14,BY!CB14,SM!CB14,SC!CB14,TC!CB14,ML!CB14,QN!CB14,XL!CB14,'XL (BHTP1)'!CB14,'XL (BHTP2)'!CB14)</f>
        <v>0</v>
      </c>
      <c r="CC14" s="13">
        <f>SUM('TP1'!CC14,'TP2'!CC14,MS!CC14,'MC + Vân hồ'!CC14,YC!CC14,PY!CC14,BY!CC14,SM!CC14,SC!CC14,TC!CC14,ML!CC14,QN!CC14,XL!CC14,'XL (BHTP1)'!CC14,'XL (BHTP2)'!CC14)</f>
        <v>0</v>
      </c>
      <c r="CD14" s="13">
        <f>SUM('TP1'!CD14,'TP2'!CD14,MS!CD14,'MC + Vân hồ'!CD14,YC!CD14,PY!CD14,BY!CD14,SM!CD14,SC!CD14,TC!CD14,ML!CD14,QN!CD14,XL!CD14,'XL (BHTP1)'!CD14,'XL (BHTP2)'!CD14)</f>
        <v>0</v>
      </c>
      <c r="CE14" s="13">
        <f>SUM('TP1'!CE14,'TP2'!CE14,MS!CE14,'MC + Vân hồ'!CE14,YC!CE14,PY!CE14,BY!CE14,SM!CE14,SC!CE14,TC!CE14,ML!CE14,QN!CE14,XL!CE14,'XL (BHTP1)'!CE14,'XL (BHTP2)'!CE14)</f>
        <v>0</v>
      </c>
      <c r="CF14" s="13">
        <f>SUM('TP1'!CF14,'TP2'!CF14,MS!CF14,'MC + Vân hồ'!CF14,YC!CF14,PY!CF14,BY!CF14,SM!CF14,SC!CF14,TC!CF14,ML!CF14,QN!CF14,XL!CF14,'XL (BHTP1)'!CF14,'XL (BHTP2)'!CF14)</f>
        <v>0</v>
      </c>
      <c r="CG14" s="13">
        <f>SUM('TP1'!CG14,'TP2'!CG14,MS!CG14,'MC + Vân hồ'!CG14,YC!CG14,PY!CG14,BY!CG14,SM!CG14,SC!CG14,TC!CG14,ML!CG14,QN!CG14,XL!CG14,'XL (BHTP1)'!CG14,'XL (BHTP2)'!CG14)</f>
        <v>0</v>
      </c>
      <c r="CH14" s="13">
        <f>SUM('TP1'!CH14,'TP2'!CH14,MS!CH14,'MC + Vân hồ'!CH14,YC!CH14,PY!CH14,BY!CH14,SM!CH14,SC!CH14,TC!CH14,ML!CH14,QN!CH14,XL!CH14,'XL (BHTP1)'!CH14,'XL (BHTP2)'!CH14)</f>
        <v>0</v>
      </c>
      <c r="CI14" s="13">
        <f>SUM('TP1'!CI14,'TP2'!CI14,MS!CI14,'MC + Vân hồ'!CI14,YC!CI14,PY!CI14,BY!CI14,SM!CI14,SC!CI14,TC!CI14,ML!CI14,QN!CI14,XL!CI14,'XL (BHTP1)'!CI14,'XL (BHTP2)'!CI14)</f>
        <v>0</v>
      </c>
      <c r="CJ14" s="13">
        <f>SUM('TP1'!CJ14,'TP2'!CJ14,MS!CJ14,'MC + Vân hồ'!CJ14,YC!CJ14,PY!CJ14,BY!CJ14,SM!CJ14,SC!CJ14,TC!CJ14,ML!CJ14,QN!CJ14,XL!CJ14,'XL (BHTP1)'!CJ14,'XL (BHTP2)'!CJ14)</f>
        <v>0</v>
      </c>
      <c r="CK14" s="73">
        <f t="shared" ref="CK14:CQ14" si="10">SUM(E14,L14,S14,Z14,AG14,AN14,AU14,BB14,BI14,BP14,BW14,CD14)</f>
        <v>0</v>
      </c>
      <c r="CL14" s="73">
        <f t="shared" si="10"/>
        <v>0</v>
      </c>
      <c r="CM14" s="73">
        <f t="shared" si="10"/>
        <v>0</v>
      </c>
      <c r="CN14" s="73">
        <f t="shared" si="10"/>
        <v>0</v>
      </c>
      <c r="CO14" s="73">
        <f t="shared" si="10"/>
        <v>0</v>
      </c>
      <c r="CP14" s="73">
        <f t="shared" si="10"/>
        <v>0</v>
      </c>
      <c r="CQ14" s="73">
        <f t="shared" si="10"/>
        <v>0</v>
      </c>
      <c r="CR14" s="56"/>
      <c r="CS14" s="56">
        <f t="shared" si="3"/>
        <v>0</v>
      </c>
    </row>
    <row r="15" outlineLevel="1">
      <c r="B15" s="12" t="s">
        <v>42</v>
      </c>
      <c r="C15" s="12" t="s">
        <v>43</v>
      </c>
      <c r="D15" s="12" t="s">
        <v>26</v>
      </c>
      <c r="E15" s="13">
        <f>SUM('TP1'!E15,'TP2'!E15,MS!E15,'MC + Vân hồ'!E15,YC!E15,PY!E15,BY!E15,SM!E15,SC!E15,TC!E15,ML!E15,QN!E15,XL!E15,'XL (BHTP1)'!E15,'XL (BHTP2)'!E15)</f>
        <v>0</v>
      </c>
      <c r="F15" s="13">
        <f>SUM('TP1'!F15,'TP2'!F15,MS!F15,'MC + Vân hồ'!F15,YC!F15,PY!F15,BY!F15,SM!F15,SC!F15,TC!F15,ML!F15,QN!F15,XL!F15,'XL (BHTP1)'!F15,'XL (BHTP2)'!F15)</f>
        <v>6</v>
      </c>
      <c r="G15" s="13">
        <f>SUM('TP1'!G15,'TP2'!G15,MS!G15,'MC + Vân hồ'!G15,YC!G15,PY!G15,BY!G15,SM!G15,SC!G15,TC!G15,ML!G15,QN!G15,XL!G15,'XL (BHTP1)'!G15,'XL (BHTP2)'!G15)</f>
        <v>0</v>
      </c>
      <c r="H15" s="13">
        <f>SUM('TP1'!H15,'TP2'!H15,MS!H15,'MC + Vân hồ'!H15,YC!H15,PY!H15,BY!H15,SM!H15,SC!H15,TC!H15,ML!H15,QN!H15,XL!H15,'XL (BHTP1)'!H15,'XL (BHTP2)'!H15)</f>
        <v>0</v>
      </c>
      <c r="I15" s="13">
        <f>SUM('TP1'!I15,'TP2'!I15,MS!I15,'MC + Vân hồ'!I15,YC!I15,PY!I15,BY!I15,SM!I15,SC!I15,TC!I15,ML!I15,QN!I15,XL!I15,'XL (BHTP1)'!I15,'XL (BHTP2)'!I15)</f>
        <v>0</v>
      </c>
      <c r="J15" s="13">
        <f>SUM('TP1'!J15,'TP2'!J15,MS!J15,'MC + Vân hồ'!J15,YC!J15,PY!J15,BY!J15,SM!J15,SC!J15,TC!J15,ML!J15,QN!J15,XL!J15,'XL (BHTP1)'!J15,'XL (BHTP2)'!J15)</f>
        <v>0</v>
      </c>
      <c r="K15" s="13">
        <f>SUM('TP1'!K15,'TP2'!K15,MS!K15,'MC + Vân hồ'!K15,YC!K15,PY!K15,BY!K15,SM!K15,SC!K15,TC!K15,ML!K15,QN!K15,XL!K15,'XL (BHTP1)'!K15,'XL (BHTP2)'!K15)</f>
        <v>0</v>
      </c>
      <c r="L15" s="13">
        <f>SUM('TP1'!L15,'TP2'!L15,MS!L15,'MC + Vân hồ'!L15,YC!L15,PY!L15,BY!L15,SM!L15,SC!L15,TC!L15,ML!L15,QN!L15,XL!L15,'XL (BHTP1)'!L15,'XL (BHTP2)'!L15)</f>
        <v>0</v>
      </c>
      <c r="M15" s="13">
        <f>SUM('TP1'!M15,'TP2'!M15,MS!M15,'MC + Vân hồ'!M15,YC!M15,PY!M15,BY!M15,SM!M15,SC!M15,TC!M15,ML!M15,QN!M15,XL!M15,'XL (BHTP1)'!M15,'XL (BHTP2)'!M15)</f>
        <v>2</v>
      </c>
      <c r="N15" s="13">
        <f>SUM('TP1'!N15,'TP2'!N15,MS!N15,'MC + Vân hồ'!N15,YC!N15,PY!N15,BY!N15,SM!N15,SC!N15,TC!N15,ML!N15,QN!N15,XL!N15,'XL (BHTP1)'!N15,'XL (BHTP2)'!N15)</f>
        <v>0</v>
      </c>
      <c r="O15" s="13">
        <f>SUM('TP1'!O15,'TP2'!O15,MS!O15,'MC + Vân hồ'!O15,YC!O15,PY!O15,BY!O15,SM!O15,SC!O15,TC!O15,ML!O15,QN!O15,XL!O15,'XL (BHTP1)'!O15,'XL (BHTP2)'!O15)</f>
        <v>0</v>
      </c>
      <c r="P15" s="13">
        <f>SUM('TP1'!P15,'TP2'!P15,MS!P15,'MC + Vân hồ'!P15,YC!P15,PY!P15,BY!P15,SM!P15,SC!P15,TC!P15,ML!P15,QN!P15,XL!P15,'XL (BHTP1)'!P15,'XL (BHTP2)'!P15)</f>
        <v>0</v>
      </c>
      <c r="Q15" s="13">
        <f>SUM('TP1'!Q15,'TP2'!Q15,MS!Q15,'MC + Vân hồ'!Q15,YC!Q15,PY!Q15,BY!Q15,SM!Q15,SC!Q15,TC!Q15,ML!Q15,QN!Q15,XL!Q15,'XL (BHTP1)'!Q15,'XL (BHTP2)'!Q15)</f>
        <v>0</v>
      </c>
      <c r="R15" s="13">
        <f>SUM('TP1'!R15,'TP2'!R15,MS!R15,'MC + Vân hồ'!R15,YC!R15,PY!R15,BY!R15,SM!R15,SC!R15,TC!R15,ML!R15,QN!R15,XL!R15,'XL (BHTP1)'!R15,'XL (BHTP2)'!R15)</f>
        <v>0</v>
      </c>
      <c r="S15" s="13">
        <f>SUM('TP1'!S15,'TP2'!S15,MS!S15,'MC + Vân hồ'!S15,YC!S15,PY!S15,BY!S15,SM!S15,SC!S15,TC!S15,ML!S15,QN!S15,XL!S15,'XL (BHTP1)'!S15,'XL (BHTP2)'!S15)</f>
        <v>0</v>
      </c>
      <c r="T15" s="13">
        <f>SUM('TP1'!T15,'TP2'!T15,MS!T15,'MC + Vân hồ'!T15,YC!T15,PY!T15,BY!T15,SM!T15,SC!T15,TC!T15,ML!T15,QN!T15,XL!T15,'XL (BHTP1)'!T15,'XL (BHTP2)'!T15)</f>
        <v>2</v>
      </c>
      <c r="U15" s="13">
        <f>SUM('TP1'!U15,'TP2'!U15,MS!U15,'MC + Vân hồ'!U15,YC!U15,PY!U15,BY!U15,SM!U15,SC!U15,TC!U15,ML!U15,QN!U15,XL!U15,'XL (BHTP1)'!U15,'XL (BHTP2)'!U15)</f>
        <v>1</v>
      </c>
      <c r="V15" s="13">
        <f>SUM('TP1'!V15,'TP2'!V15,MS!V15,'MC + Vân hồ'!V15,YC!V15,PY!V15,BY!V15,SM!V15,SC!V15,TC!V15,ML!V15,QN!V15,XL!V15,'XL (BHTP1)'!V15,'XL (BHTP2)'!V15)</f>
        <v>0</v>
      </c>
      <c r="W15" s="13">
        <f>SUM('TP1'!W15,'TP2'!W15,MS!W15,'MC + Vân hồ'!W15,YC!W15,PY!W15,BY!W15,SM!W15,SC!W15,TC!W15,ML!W15,QN!W15,XL!W15,'XL (BHTP1)'!W15,'XL (BHTP2)'!W15)</f>
        <v>0</v>
      </c>
      <c r="X15" s="13">
        <f>SUM('TP1'!X15,'TP2'!X15,MS!X15,'MC + Vân hồ'!X15,YC!X15,PY!X15,BY!X15,SM!X15,SC!X15,TC!X15,ML!X15,QN!X15,XL!X15,'XL (BHTP1)'!X15,'XL (BHTP2)'!X15)</f>
        <v>0</v>
      </c>
      <c r="Y15" s="13">
        <f>SUM('TP1'!Y15,'TP2'!Y15,MS!Y15,'MC + Vân hồ'!Y15,YC!Y15,PY!Y15,BY!Y15,SM!Y15,SC!Y15,TC!Y15,ML!Y15,QN!Y15,XL!Y15,'XL (BHTP1)'!Y15,'XL (BHTP2)'!Y15)</f>
        <v>0</v>
      </c>
      <c r="Z15" s="13">
        <f>SUM('TP1'!Z15,'TP2'!Z15,MS!Z15,'MC + Vân hồ'!Z15,YC!Z15,PY!Z15,BY!Z15,SM!Z15,SC!Z15,TC!Z15,ML!Z15,QN!Z15,XL!Z15,'XL (BHTP1)'!Z15,'XL (BHTP2)'!Z15)</f>
        <v>0</v>
      </c>
      <c r="AA15" s="13">
        <f>SUM('TP1'!AA15,'TP2'!AA15,MS!AA15,'MC + Vân hồ'!AA15,YC!AA15,PY!AA15,BY!AA15,SM!AA15,SC!AA15,TC!AA15,ML!AA15,QN!AA15,XL!AA15,'XL (BHTP1)'!AA15,'XL (BHTP2)'!AA15)</f>
        <v>5</v>
      </c>
      <c r="AB15" s="13">
        <f>SUM('TP1'!AB15,'TP2'!AB15,MS!AB15,'MC + Vân hồ'!AB15,YC!AB15,PY!AB15,BY!AB15,SM!AB15,SC!AB15,TC!AB15,ML!AB15,QN!AB15,XL!AB15,'XL (BHTP1)'!AB15,'XL (BHTP2)'!AB15)</f>
        <v>0</v>
      </c>
      <c r="AC15" s="13">
        <f>SUM('TP1'!AC15,'TP2'!AC15,MS!AC15,'MC + Vân hồ'!AC15,YC!AC15,PY!AC15,BY!AC15,SM!AC15,SC!AC15,TC!AC15,ML!AC15,QN!AC15,XL!AC15,'XL (BHTP1)'!AC15,'XL (BHTP2)'!AC15)</f>
        <v>0</v>
      </c>
      <c r="AD15" s="13">
        <f>SUM('TP1'!AD15,'TP2'!AD15,MS!AD15,'MC + Vân hồ'!AD15,YC!AD15,PY!AD15,BY!AD15,SM!AD15,SC!AD15,TC!AD15,ML!AD15,QN!AD15,XL!AD15,'XL (BHTP1)'!AD15,'XL (BHTP2)'!AD15)</f>
        <v>0</v>
      </c>
      <c r="AE15" s="13">
        <f>SUM('TP1'!AE15,'TP2'!AE15,MS!AE15,'MC + Vân hồ'!AE15,YC!AE15,PY!AE15,BY!AE15,SM!AE15,SC!AE15,TC!AE15,ML!AE15,QN!AE15,XL!AE15,'XL (BHTP1)'!AE15,'XL (BHTP2)'!AE15)</f>
        <v>0</v>
      </c>
      <c r="AF15" s="13">
        <f>SUM('TP1'!AF15,'TP2'!AF15,MS!AF15,'MC + Vân hồ'!AF15,YC!AF15,PY!AF15,BY!AF15,SM!AF15,SC!AF15,TC!AF15,ML!AF15,QN!AF15,XL!AF15,'XL (BHTP1)'!AF15,'XL (BHTP2)'!AF15)</f>
        <v>0</v>
      </c>
      <c r="AG15" s="13">
        <f>SUM('TP1'!AG15,'TP2'!AG15,MS!AG15,'MC + Vân hồ'!AG15,YC!AG15,PY!AG15,BY!AG15,SM!AG15,SC!AG15,TC!AG15,ML!AG15,QN!AG15,XL!AG15,'XL (BHTP1)'!AG15,'XL (BHTP2)'!AG15)</f>
        <v>0</v>
      </c>
      <c r="AH15" s="13">
        <f>SUM('TP1'!AH15,'TP2'!AH15,MS!AH15,'MC + Vân hồ'!AH15,YC!AH15,PY!AH15,BY!AH15,SM!AH15,SC!AH15,TC!AH15,ML!AH15,QN!AH15,XL!AH15,'XL (BHTP1)'!AH15,'XL (BHTP2)'!AH15)</f>
        <v>0</v>
      </c>
      <c r="AI15" s="13">
        <f>SUM('TP1'!AI15,'TP2'!AI15,MS!AI15,'MC + Vân hồ'!AI15,YC!AI15,PY!AI15,BY!AI15,SM!AI15,SC!AI15,TC!AI15,ML!AI15,QN!AI15,XL!AI15,'XL (BHTP1)'!AI15,'XL (BHTP2)'!AI15)</f>
        <v>1</v>
      </c>
      <c r="AJ15" s="13">
        <f>SUM('TP1'!AJ15,'TP2'!AJ15,MS!AJ15,'MC + Vân hồ'!AJ15,YC!AJ15,PY!AJ15,BY!AJ15,SM!AJ15,SC!AJ15,TC!AJ15,ML!AJ15,QN!AJ15,XL!AJ15,'XL (BHTP1)'!AJ15,'XL (BHTP2)'!AJ15)</f>
        <v>0</v>
      </c>
      <c r="AK15" s="13">
        <f>SUM('TP1'!AK15,'TP2'!AK15,MS!AK15,'MC + Vân hồ'!AK15,YC!AK15,PY!AK15,BY!AK15,SM!AK15,SC!AK15,TC!AK15,ML!AK15,QN!AK15,XL!AK15,'XL (BHTP1)'!AK15,'XL (BHTP2)'!AK15)</f>
        <v>0</v>
      </c>
      <c r="AL15" s="13">
        <f>SUM('TP1'!AL15,'TP2'!AL15,MS!AL15,'MC + Vân hồ'!AL15,YC!AL15,PY!AL15,BY!AL15,SM!AL15,SC!AL15,TC!AL15,ML!AL15,QN!AL15,XL!AL15,'XL (BHTP1)'!AL15,'XL (BHTP2)'!AL15)</f>
        <v>0</v>
      </c>
      <c r="AM15" s="13">
        <f>SUM('TP1'!AM15,'TP2'!AM15,MS!AM15,'MC + Vân hồ'!AM15,YC!AM15,PY!AM15,BY!AM15,SM!AM15,SC!AM15,TC!AM15,ML!AM15,QN!AM15,XL!AM15,'XL (BHTP1)'!AM15,'XL (BHTP2)'!AM15)</f>
        <v>0</v>
      </c>
      <c r="AN15" s="13">
        <f>SUM('TP1'!AN15,'TP2'!AN15,MS!AN15,'MC + Vân hồ'!AN15,YC!AN15,PY!AN15,BY!AN15,SM!AN15,SC!AN15,TC!AN15,ML!AN15,QN!AN15,XL!AN15,'XL (BHTP1)'!AN15,'XL (BHTP2)'!AN15)</f>
        <v>0</v>
      </c>
      <c r="AO15" s="13">
        <f>SUM('TP1'!AO15,'TP2'!AO15,MS!AO15,'MC + Vân hồ'!AO15,YC!AO15,PY!AO15,BY!AO15,SM!AO15,SC!AO15,TC!AO15,ML!AO15,QN!AO15,XL!AO15,'XL (BHTP1)'!AO15,'XL (BHTP2)'!AO15)</f>
        <v>9</v>
      </c>
      <c r="AP15" s="13">
        <f>SUM('TP1'!AP15,'TP2'!AP15,MS!AP15,'MC + Vân hồ'!AP15,YC!AP15,PY!AP15,BY!AP15,SM!AP15,SC!AP15,TC!AP15,ML!AP15,QN!AP15,XL!AP15,'XL (BHTP1)'!AP15,'XL (BHTP2)'!AP15)</f>
        <v>4</v>
      </c>
      <c r="AQ15" s="13">
        <f>SUM('TP1'!AQ15,'TP2'!AQ15,MS!AQ15,'MC + Vân hồ'!AQ15,YC!AQ15,PY!AQ15,BY!AQ15,SM!AQ15,SC!AQ15,TC!AQ15,ML!AQ15,QN!AQ15,XL!AQ15,'XL (BHTP1)'!AQ15,'XL (BHTP2)'!AQ15)</f>
        <v>0</v>
      </c>
      <c r="AR15" s="13">
        <f>SUM('TP1'!AR15,'TP2'!AR15,MS!AR15,'MC + Vân hồ'!AR15,YC!AR15,PY!AR15,BY!AR15,SM!AR15,SC!AR15,TC!AR15,ML!AR15,QN!AR15,XL!AR15,'XL (BHTP1)'!AR15,'XL (BHTP2)'!AR15)</f>
        <v>0</v>
      </c>
      <c r="AS15" s="13">
        <f>SUM('TP1'!AS15,'TP2'!AS15,MS!AS15,'MC + Vân hồ'!AS15,YC!AS15,PY!AS15,BY!AS15,SM!AS15,SC!AS15,TC!AS15,ML!AS15,QN!AS15,XL!AS15,'XL (BHTP1)'!AS15,'XL (BHTP2)'!AS15)</f>
        <v>0</v>
      </c>
      <c r="AT15" s="13">
        <f>SUM('TP1'!AT15,'TP2'!AT15,MS!AT15,'MC + Vân hồ'!AT15,YC!AT15,PY!AT15,BY!AT15,SM!AT15,SC!AT15,TC!AT15,ML!AT15,QN!AT15,XL!AT15,'XL (BHTP1)'!AT15,'XL (BHTP2)'!AT15)</f>
        <v>0</v>
      </c>
      <c r="AU15" s="13">
        <f>SUM('TP1'!AU15,'TP2'!AU15,MS!AU15,'MC + Vân hồ'!AU15,YC!AU15,PY!AU15,BY!AU15,SM!AU15,SC!AU15,TC!AU15,ML!AU15,QN!AU15,XL!AU15,'XL (BHTP1)'!AU15,'XL (BHTP2)'!AU15)</f>
        <v>0</v>
      </c>
      <c r="AV15" s="13">
        <f>SUM('TP1'!AV15,'TP2'!AV15,MS!AV15,'MC + Vân hồ'!AV15,YC!AV15,PY!AV15,BY!AV15,SM!AV15,SC!AV15,TC!AV15,ML!AV15,QN!AV15,XL!AV15,'XL (BHTP1)'!AV15,'XL (BHTP2)'!AV15)</f>
        <v>5</v>
      </c>
      <c r="AW15" s="13">
        <f>SUM('TP1'!AW15,'TP2'!AW15,MS!AW15,'MC + Vân hồ'!AW15,YC!AW15,PY!AW15,BY!AW15,SM!AW15,SC!AW15,TC!AW15,ML!AW15,QN!AW15,XL!AW15,'XL (BHTP1)'!AW15,'XL (BHTP2)'!AW15)</f>
        <v>4</v>
      </c>
      <c r="AX15" s="13">
        <f>SUM('TP1'!AX15,'TP2'!AX15,MS!AX15,'MC + Vân hồ'!AX15,YC!AX15,PY!AX15,BY!AX15,SM!AX15,SC!AX15,TC!AX15,ML!AX15,QN!AX15,XL!AX15,'XL (BHTP1)'!AX15,'XL (BHTP2)'!AX15)</f>
        <v>0</v>
      </c>
      <c r="AY15" s="13">
        <f>SUM('TP1'!AY15,'TP2'!AY15,MS!AY15,'MC + Vân hồ'!AY15,YC!AY15,PY!AY15,BY!AY15,SM!AY15,SC!AY15,TC!AY15,ML!AY15,QN!AY15,XL!AY15,'XL (BHTP1)'!AY15,'XL (BHTP2)'!AY15)</f>
        <v>0</v>
      </c>
      <c r="AZ15" s="13">
        <f>SUM('TP1'!AZ15,'TP2'!AZ15,MS!AZ15,'MC + Vân hồ'!AZ15,YC!AZ15,PY!AZ15,BY!AZ15,SM!AZ15,SC!AZ15,TC!AZ15,ML!AZ15,QN!AZ15,XL!AZ15,'XL (BHTP1)'!AZ15,'XL (BHTP2)'!AZ15)</f>
        <v>0</v>
      </c>
      <c r="BA15" s="13">
        <f>SUM('TP1'!BA15,'TP2'!BA15,MS!BA15,'MC + Vân hồ'!BA15,YC!BA15,PY!BA15,BY!BA15,SM!BA15,SC!BA15,TC!BA15,ML!BA15,QN!BA15,XL!BA15,'XL (BHTP1)'!BA15,'XL (BHTP2)'!BA15)</f>
        <v>0</v>
      </c>
      <c r="BB15" s="13">
        <f>SUM('TP1'!BB15,'TP2'!BB15,MS!BB15,'MC + Vân hồ'!BB15,YC!BB15,PY!BB15,BY!BB15,SM!BB15,SC!BB15,TC!BB15,ML!BB15,QN!BB15,XL!BB15,'XL (BHTP1)'!BB15,'XL (BHTP2)'!BB15)</f>
        <v>0</v>
      </c>
      <c r="BC15" s="13">
        <f>SUM('TP1'!BC15,'TP2'!BC15,MS!BC15,'MC + Vân hồ'!BC15,YC!BC15,PY!BC15,BY!BC15,SM!BC15,SC!BC15,TC!BC15,ML!BC15,QN!BC15,XL!BC15,'XL (BHTP1)'!BC15,'XL (BHTP2)'!BC15)</f>
        <v>2</v>
      </c>
      <c r="BD15" s="13">
        <f>SUM('TP1'!BD15,'TP2'!BD15,MS!BD15,'MC + Vân hồ'!BD15,YC!BD15,PY!BD15,BY!BD15,SM!BD15,SC!BD15,TC!BD15,ML!BD15,QN!BD15,XL!BD15,'XL (BHTP1)'!BD15,'XL (BHTP2)'!BD15)</f>
        <v>4</v>
      </c>
      <c r="BE15" s="13">
        <f>SUM('TP1'!BE15,'TP2'!BE15,MS!BE15,'MC + Vân hồ'!BE15,YC!BE15,PY!BE15,BY!BE15,SM!BE15,SC!BE15,TC!BE15,ML!BE15,QN!BE15,XL!BE15,'XL (BHTP1)'!BE15,'XL (BHTP2)'!BE15)</f>
        <v>0</v>
      </c>
      <c r="BF15" s="13">
        <f>SUM('TP1'!BF15,'TP2'!BF15,MS!BF15,'MC + Vân hồ'!BF15,YC!BF15,PY!BF15,BY!BF15,SM!BF15,SC!BF15,TC!BF15,ML!BF15,QN!BF15,XL!BF15,'XL (BHTP1)'!BF15,'XL (BHTP2)'!BF15)</f>
        <v>0</v>
      </c>
      <c r="BG15" s="13">
        <f>SUM('TP1'!BG15,'TP2'!BG15,MS!BG15,'MC + Vân hồ'!BG15,YC!BG15,PY!BG15,BY!BG15,SM!BG15,SC!BG15,TC!BG15,ML!BG15,QN!BG15,XL!BG15,'XL (BHTP1)'!BG15,'XL (BHTP2)'!BG15)</f>
        <v>0</v>
      </c>
      <c r="BH15" s="13">
        <f>SUM('TP1'!BH15,'TP2'!BH15,MS!BH15,'MC + Vân hồ'!BH15,YC!BH15,PY!BH15,BY!BH15,SM!BH15,SC!BH15,TC!BH15,ML!BH15,QN!BH15,XL!BH15,'XL (BHTP1)'!BH15,'XL (BHTP2)'!BH15)</f>
        <v>0</v>
      </c>
      <c r="BI15" s="13">
        <f>SUM('TP1'!BI15,'TP2'!BI15,MS!BI15,'MC + Vân hồ'!BI15,YC!BI15,PY!BI15,BY!BI15,SM!BI15,SC!BI15,TC!BI15,ML!BI15,QN!BI15,XL!BI15,'XL (BHTP1)'!BI15,'XL (BHTP2)'!BI15)</f>
        <v>0</v>
      </c>
      <c r="BJ15" s="13">
        <f>SUM('TP1'!BJ15,'TP2'!BJ15,MS!BJ15,'MC + Vân hồ'!BJ15,YC!BJ15,PY!BJ15,BY!BJ15,SM!BJ15,SC!BJ15,TC!BJ15,ML!BJ15,QN!BJ15,XL!BJ15,'XL (BHTP1)'!BJ15,'XL (BHTP2)'!BJ15)</f>
        <v>0</v>
      </c>
      <c r="BK15" s="13">
        <f>SUM('TP1'!BK15,'TP2'!BK15,MS!BK15,'MC + Vân hồ'!BK15,YC!BK15,PY!BK15,BY!BK15,SM!BK15,SC!BK15,TC!BK15,ML!BK15,QN!BK15,XL!BK15,'XL (BHTP1)'!BK15,'XL (BHTP2)'!BK15)</f>
        <v>0</v>
      </c>
      <c r="BL15" s="13">
        <f>SUM('TP1'!BL15,'TP2'!BL15,MS!BL15,'MC + Vân hồ'!BL15,YC!BL15,PY!BL15,BY!BL15,SM!BL15,SC!BL15,TC!BL15,ML!BL15,QN!BL15,XL!BL15,'XL (BHTP1)'!BL15,'XL (BHTP2)'!BL15)</f>
        <v>0</v>
      </c>
      <c r="BM15" s="13">
        <f>SUM('TP1'!BM15,'TP2'!BM15,MS!BM15,'MC + Vân hồ'!BM15,YC!BM15,PY!BM15,BY!BM15,SM!BM15,SC!BM15,TC!BM15,ML!BM15,QN!BM15,XL!BM15,'XL (BHTP1)'!BM15,'XL (BHTP2)'!BM15)</f>
        <v>0</v>
      </c>
      <c r="BN15" s="13">
        <f>SUM('TP1'!BN15,'TP2'!BN15,MS!BN15,'MC + Vân hồ'!BN15,YC!BN15,PY!BN15,BY!BN15,SM!BN15,SC!BN15,TC!BN15,ML!BN15,QN!BN15,XL!BN15,'XL (BHTP1)'!BN15,'XL (BHTP2)'!BN15)</f>
        <v>0</v>
      </c>
      <c r="BO15" s="13">
        <f>SUM('TP1'!BO15,'TP2'!BO15,MS!BO15,'MC + Vân hồ'!BO15,YC!BO15,PY!BO15,BY!BO15,SM!BO15,SC!BO15,TC!BO15,ML!BO15,QN!BO15,XL!BO15,'XL (BHTP1)'!BO15,'XL (BHTP2)'!BO15)</f>
        <v>0</v>
      </c>
      <c r="BP15" s="13">
        <f>SUM('TP1'!BP15,'TP2'!BP15,MS!BP15,'MC + Vân hồ'!BP15,YC!BP15,PY!BP15,BY!BP15,SM!BP15,SC!BP15,TC!BP15,ML!BP15,QN!BP15,XL!BP15,'XL (BHTP1)'!BP15,'XL (BHTP2)'!BP15)</f>
        <v>0</v>
      </c>
      <c r="BQ15" s="13">
        <f>SUM('TP1'!BQ15,'TP2'!BQ15,MS!BQ15,'MC + Vân hồ'!BQ15,YC!BQ15,PY!BQ15,BY!BQ15,SM!BQ15,SC!BQ15,TC!BQ15,ML!BQ15,QN!BQ15,XL!BQ15,'XL (BHTP1)'!BQ15,'XL (BHTP2)'!BQ15)</f>
        <v>0</v>
      </c>
      <c r="BR15" s="13">
        <f>SUM('TP1'!BR15,'TP2'!BR15,MS!BR15,'MC + Vân hồ'!BR15,YC!BR15,PY!BR15,BY!BR15,SM!BR15,SC!BR15,TC!BR15,ML!BR15,QN!BR15,XL!BR15,'XL (BHTP1)'!BR15,'XL (BHTP2)'!BR15)</f>
        <v>0</v>
      </c>
      <c r="BS15" s="13">
        <f>SUM('TP1'!BS15,'TP2'!BS15,MS!BS15,'MC + Vân hồ'!BS15,YC!BS15,PY!BS15,BY!BS15,SM!BS15,SC!BS15,TC!BS15,ML!BS15,QN!BS15,XL!BS15,'XL (BHTP1)'!BS15,'XL (BHTP2)'!BS15)</f>
        <v>0</v>
      </c>
      <c r="BT15" s="13">
        <f>SUM('TP1'!BT15,'TP2'!BT15,MS!BT15,'MC + Vân hồ'!BT15,YC!BT15,PY!BT15,BY!BT15,SM!BT15,SC!BT15,TC!BT15,ML!BT15,QN!BT15,XL!BT15,'XL (BHTP1)'!BT15,'XL (BHTP2)'!BT15)</f>
        <v>0</v>
      </c>
      <c r="BU15" s="13">
        <f>SUM('TP1'!BU15,'TP2'!BU15,MS!BU15,'MC + Vân hồ'!BU15,YC!BU15,PY!BU15,BY!BU15,SM!BU15,SC!BU15,TC!BU15,ML!BU15,QN!BU15,XL!BU15,'XL (BHTP1)'!BU15,'XL (BHTP2)'!BU15)</f>
        <v>0</v>
      </c>
      <c r="BV15" s="13">
        <f>SUM('TP1'!BV15,'TP2'!BV15,MS!BV15,'MC + Vân hồ'!BV15,YC!BV15,PY!BV15,BY!BV15,SM!BV15,SC!BV15,TC!BV15,ML!BV15,QN!BV15,XL!BV15,'XL (BHTP1)'!BV15,'XL (BHTP2)'!BV15)</f>
        <v>0</v>
      </c>
      <c r="BW15" s="13">
        <f>SUM('TP1'!BW15,'TP2'!BW15,MS!BW15,'MC + Vân hồ'!BW15,YC!BW15,PY!BW15,BY!BW15,SM!BW15,SC!BW15,TC!BW15,ML!BW15,QN!BW15,XL!BW15,'XL (BHTP1)'!BW15,'XL (BHTP2)'!BW15)</f>
        <v>0</v>
      </c>
      <c r="BX15" s="13">
        <f>SUM('TP1'!BX15,'TP2'!BX15,MS!BX15,'MC + Vân hồ'!BX15,YC!BX15,PY!BX15,BY!BX15,SM!BX15,SC!BX15,TC!BX15,ML!BX15,QN!BX15,XL!BX15,'XL (BHTP1)'!BX15,'XL (BHTP2)'!BX15)</f>
        <v>0</v>
      </c>
      <c r="BY15" s="13">
        <f>SUM('TP1'!BY15,'TP2'!BY15,MS!BY15,'MC + Vân hồ'!BY15,YC!BY15,PY!BY15,BY!BY15,SM!BY15,SC!BY15,TC!BY15,ML!BY15,QN!BY15,XL!BY15,'XL (BHTP1)'!BY15,'XL (BHTP2)'!BY15)</f>
        <v>0</v>
      </c>
      <c r="BZ15" s="13">
        <f>SUM('TP1'!BZ15,'TP2'!BZ15,MS!BZ15,'MC + Vân hồ'!BZ15,YC!BZ15,PY!BZ15,BY!BZ15,SM!BZ15,SC!BZ15,TC!BZ15,ML!BZ15,QN!BZ15,XL!BZ15,'XL (BHTP1)'!BZ15,'XL (BHTP2)'!BZ15)</f>
        <v>0</v>
      </c>
      <c r="CA15" s="13">
        <f>SUM('TP1'!CA15,'TP2'!CA15,MS!CA15,'MC + Vân hồ'!CA15,YC!CA15,PY!CA15,BY!CA15,SM!CA15,SC!CA15,TC!CA15,ML!CA15,QN!CA15,XL!CA15,'XL (BHTP1)'!CA15,'XL (BHTP2)'!CA15)</f>
        <v>0</v>
      </c>
      <c r="CB15" s="13">
        <f>SUM('TP1'!CB15,'TP2'!CB15,MS!CB15,'MC + Vân hồ'!CB15,YC!CB15,PY!CB15,BY!CB15,SM!CB15,SC!CB15,TC!CB15,ML!CB15,QN!CB15,XL!CB15,'XL (BHTP1)'!CB15,'XL (BHTP2)'!CB15)</f>
        <v>0</v>
      </c>
      <c r="CC15" s="13">
        <f>SUM('TP1'!CC15,'TP2'!CC15,MS!CC15,'MC + Vân hồ'!CC15,YC!CC15,PY!CC15,BY!CC15,SM!CC15,SC!CC15,TC!CC15,ML!CC15,QN!CC15,XL!CC15,'XL (BHTP1)'!CC15,'XL (BHTP2)'!CC15)</f>
        <v>0</v>
      </c>
      <c r="CD15" s="13">
        <f>SUM('TP1'!CD15,'TP2'!CD15,MS!CD15,'MC + Vân hồ'!CD15,YC!CD15,PY!CD15,BY!CD15,SM!CD15,SC!CD15,TC!CD15,ML!CD15,QN!CD15,XL!CD15,'XL (BHTP1)'!CD15,'XL (BHTP2)'!CD15)</f>
        <v>0</v>
      </c>
      <c r="CE15" s="13">
        <f>SUM('TP1'!CE15,'TP2'!CE15,MS!CE15,'MC + Vân hồ'!CE15,YC!CE15,PY!CE15,BY!CE15,SM!CE15,SC!CE15,TC!CE15,ML!CE15,QN!CE15,XL!CE15,'XL (BHTP1)'!CE15,'XL (BHTP2)'!CE15)</f>
        <v>0</v>
      </c>
      <c r="CF15" s="13">
        <f>SUM('TP1'!CF15,'TP2'!CF15,MS!CF15,'MC + Vân hồ'!CF15,YC!CF15,PY!CF15,BY!CF15,SM!CF15,SC!CF15,TC!CF15,ML!CF15,QN!CF15,XL!CF15,'XL (BHTP1)'!CF15,'XL (BHTP2)'!CF15)</f>
        <v>0</v>
      </c>
      <c r="CG15" s="13">
        <f>SUM('TP1'!CG15,'TP2'!CG15,MS!CG15,'MC + Vân hồ'!CG15,YC!CG15,PY!CG15,BY!CG15,SM!CG15,SC!CG15,TC!CG15,ML!CG15,QN!CG15,XL!CG15,'XL (BHTP1)'!CG15,'XL (BHTP2)'!CG15)</f>
        <v>0</v>
      </c>
      <c r="CH15" s="13">
        <f>SUM('TP1'!CH15,'TP2'!CH15,MS!CH15,'MC + Vân hồ'!CH15,YC!CH15,PY!CH15,BY!CH15,SM!CH15,SC!CH15,TC!CH15,ML!CH15,QN!CH15,XL!CH15,'XL (BHTP1)'!CH15,'XL (BHTP2)'!CH15)</f>
        <v>0</v>
      </c>
      <c r="CI15" s="13">
        <f>SUM('TP1'!CI15,'TP2'!CI15,MS!CI15,'MC + Vân hồ'!CI15,YC!CI15,PY!CI15,BY!CI15,SM!CI15,SC!CI15,TC!CI15,ML!CI15,QN!CI15,XL!CI15,'XL (BHTP1)'!CI15,'XL (BHTP2)'!CI15)</f>
        <v>0</v>
      </c>
      <c r="CJ15" s="13">
        <f>SUM('TP1'!CJ15,'TP2'!CJ15,MS!CJ15,'MC + Vân hồ'!CJ15,YC!CJ15,PY!CJ15,BY!CJ15,SM!CJ15,SC!CJ15,TC!CJ15,ML!CJ15,QN!CJ15,XL!CJ15,'XL (BHTP1)'!CJ15,'XL (BHTP2)'!CJ15)</f>
        <v>0</v>
      </c>
      <c r="CK15" s="73">
        <f t="shared" ref="CK15:CQ15" si="11">SUM(E15,L15,S15,Z15,AG15,AN15,AU15,BB15,BI15,BP15,BW15,CD15)</f>
        <v>0</v>
      </c>
      <c r="CL15" s="73">
        <f t="shared" si="11"/>
        <v>31</v>
      </c>
      <c r="CM15" s="73">
        <f t="shared" si="11"/>
        <v>14</v>
      </c>
      <c r="CN15" s="73">
        <f t="shared" si="11"/>
        <v>0</v>
      </c>
      <c r="CO15" s="73">
        <f t="shared" si="11"/>
        <v>0</v>
      </c>
      <c r="CP15" s="73">
        <f t="shared" si="11"/>
        <v>0</v>
      </c>
      <c r="CQ15" s="73">
        <f t="shared" si="11"/>
        <v>0</v>
      </c>
      <c r="CR15" s="56"/>
      <c r="CS15" s="56">
        <f t="shared" si="3"/>
        <v>0</v>
      </c>
    </row>
    <row r="16" outlineLevel="1">
      <c r="B16" s="12" t="s">
        <v>44</v>
      </c>
      <c r="C16" s="12" t="s">
        <v>45</v>
      </c>
      <c r="D16" s="12" t="s">
        <v>26</v>
      </c>
      <c r="E16" s="13">
        <f>SUM('TP1'!E16,'TP2'!E16,MS!E16,'MC + Vân hồ'!E16,YC!E16,PY!E16,BY!E16,SM!E16,SC!E16,TC!E16,ML!E16,QN!E16,XL!E16,'XL (BHTP1)'!E16,'XL (BHTP2)'!E16)</f>
        <v>0</v>
      </c>
      <c r="F16" s="13">
        <f>SUM('TP1'!F16,'TP2'!F16,MS!F16,'MC + Vân hồ'!F16,YC!F16,PY!F16,BY!F16,SM!F16,SC!F16,TC!F16,ML!F16,QN!F16,XL!F16,'XL (BHTP1)'!F16,'XL (BHTP2)'!F16)</f>
        <v>3</v>
      </c>
      <c r="G16" s="13">
        <f>SUM('TP1'!G16,'TP2'!G16,MS!G16,'MC + Vân hồ'!G16,YC!G16,PY!G16,BY!G16,SM!G16,SC!G16,TC!G16,ML!G16,QN!G16,XL!G16,'XL (BHTP1)'!G16,'XL (BHTP2)'!G16)</f>
        <v>3</v>
      </c>
      <c r="H16" s="13">
        <f>SUM('TP1'!H16,'TP2'!H16,MS!H16,'MC + Vân hồ'!H16,YC!H16,PY!H16,BY!H16,SM!H16,SC!H16,TC!H16,ML!H16,QN!H16,XL!H16,'XL (BHTP1)'!H16,'XL (BHTP2)'!H16)</f>
        <v>0</v>
      </c>
      <c r="I16" s="13">
        <f>SUM('TP1'!I16,'TP2'!I16,MS!I16,'MC + Vân hồ'!I16,YC!I16,PY!I16,BY!I16,SM!I16,SC!I16,TC!I16,ML!I16,QN!I16,XL!I16,'XL (BHTP1)'!I16,'XL (BHTP2)'!I16)</f>
        <v>0</v>
      </c>
      <c r="J16" s="13">
        <f>SUM('TP1'!J16,'TP2'!J16,MS!J16,'MC + Vân hồ'!J16,YC!J16,PY!J16,BY!J16,SM!J16,SC!J16,TC!J16,ML!J16,QN!J16,XL!J16,'XL (BHTP1)'!J16,'XL (BHTP2)'!J16)</f>
        <v>0</v>
      </c>
      <c r="K16" s="13">
        <f>SUM('TP1'!K16,'TP2'!K16,MS!K16,'MC + Vân hồ'!K16,YC!K16,PY!K16,BY!K16,SM!K16,SC!K16,TC!K16,ML!K16,QN!K16,XL!K16,'XL (BHTP1)'!K16,'XL (BHTP2)'!K16)</f>
        <v>0</v>
      </c>
      <c r="L16" s="13">
        <f>SUM('TP1'!L16,'TP2'!L16,MS!L16,'MC + Vân hồ'!L16,YC!L16,PY!L16,BY!L16,SM!L16,SC!L16,TC!L16,ML!L16,QN!L16,XL!L16,'XL (BHTP1)'!L16,'XL (BHTP2)'!L16)</f>
        <v>0</v>
      </c>
      <c r="M16" s="13">
        <f>SUM('TP1'!M16,'TP2'!M16,MS!M16,'MC + Vân hồ'!M16,YC!M16,PY!M16,BY!M16,SM!M16,SC!M16,TC!M16,ML!M16,QN!M16,XL!M16,'XL (BHTP1)'!M16,'XL (BHTP2)'!M16)</f>
        <v>0</v>
      </c>
      <c r="N16" s="13">
        <f>SUM('TP1'!N16,'TP2'!N16,MS!N16,'MC + Vân hồ'!N16,YC!N16,PY!N16,BY!N16,SM!N16,SC!N16,TC!N16,ML!N16,QN!N16,XL!N16,'XL (BHTP1)'!N16,'XL (BHTP2)'!N16)</f>
        <v>2</v>
      </c>
      <c r="O16" s="13">
        <f>SUM('TP1'!O16,'TP2'!O16,MS!O16,'MC + Vân hồ'!O16,YC!O16,PY!O16,BY!O16,SM!O16,SC!O16,TC!O16,ML!O16,QN!O16,XL!O16,'XL (BHTP1)'!O16,'XL (BHTP2)'!O16)</f>
        <v>0</v>
      </c>
      <c r="P16" s="13">
        <f>SUM('TP1'!P16,'TP2'!P16,MS!P16,'MC + Vân hồ'!P16,YC!P16,PY!P16,BY!P16,SM!P16,SC!P16,TC!P16,ML!P16,QN!P16,XL!P16,'XL (BHTP1)'!P16,'XL (BHTP2)'!P16)</f>
        <v>0</v>
      </c>
      <c r="Q16" s="13">
        <f>SUM('TP1'!Q16,'TP2'!Q16,MS!Q16,'MC + Vân hồ'!Q16,YC!Q16,PY!Q16,BY!Q16,SM!Q16,SC!Q16,TC!Q16,ML!Q16,QN!Q16,XL!Q16,'XL (BHTP1)'!Q16,'XL (BHTP2)'!Q16)</f>
        <v>0</v>
      </c>
      <c r="R16" s="13">
        <f>SUM('TP1'!R16,'TP2'!R16,MS!R16,'MC + Vân hồ'!R16,YC!R16,PY!R16,BY!R16,SM!R16,SC!R16,TC!R16,ML!R16,QN!R16,XL!R16,'XL (BHTP1)'!R16,'XL (BHTP2)'!R16)</f>
        <v>0</v>
      </c>
      <c r="S16" s="13">
        <f>SUM('TP1'!S16,'TP2'!S16,MS!S16,'MC + Vân hồ'!S16,YC!S16,PY!S16,BY!S16,SM!S16,SC!S16,TC!S16,ML!S16,QN!S16,XL!S16,'XL (BHTP1)'!S16,'XL (BHTP2)'!S16)</f>
        <v>0</v>
      </c>
      <c r="T16" s="13">
        <f>SUM('TP1'!T16,'TP2'!T16,MS!T16,'MC + Vân hồ'!T16,YC!T16,PY!T16,BY!T16,SM!T16,SC!T16,TC!T16,ML!T16,QN!T16,XL!T16,'XL (BHTP1)'!T16,'XL (BHTP2)'!T16)</f>
        <v>0</v>
      </c>
      <c r="U16" s="13">
        <f>SUM('TP1'!U16,'TP2'!U16,MS!U16,'MC + Vân hồ'!U16,YC!U16,PY!U16,BY!U16,SM!U16,SC!U16,TC!U16,ML!U16,QN!U16,XL!U16,'XL (BHTP1)'!U16,'XL (BHTP2)'!U16)</f>
        <v>0</v>
      </c>
      <c r="V16" s="13">
        <f>SUM('TP1'!V16,'TP2'!V16,MS!V16,'MC + Vân hồ'!V16,YC!V16,PY!V16,BY!V16,SM!V16,SC!V16,TC!V16,ML!V16,QN!V16,XL!V16,'XL (BHTP1)'!V16,'XL (BHTP2)'!V16)</f>
        <v>0</v>
      </c>
      <c r="W16" s="13">
        <f>SUM('TP1'!W16,'TP2'!W16,MS!W16,'MC + Vân hồ'!W16,YC!W16,PY!W16,BY!W16,SM!W16,SC!W16,TC!W16,ML!W16,QN!W16,XL!W16,'XL (BHTP1)'!W16,'XL (BHTP2)'!W16)</f>
        <v>0</v>
      </c>
      <c r="X16" s="13">
        <f>SUM('TP1'!X16,'TP2'!X16,MS!X16,'MC + Vân hồ'!X16,YC!X16,PY!X16,BY!X16,SM!X16,SC!X16,TC!X16,ML!X16,QN!X16,XL!X16,'XL (BHTP1)'!X16,'XL (BHTP2)'!X16)</f>
        <v>0</v>
      </c>
      <c r="Y16" s="13">
        <f>SUM('TP1'!Y16,'TP2'!Y16,MS!Y16,'MC + Vân hồ'!Y16,YC!Y16,PY!Y16,BY!Y16,SM!Y16,SC!Y16,TC!Y16,ML!Y16,QN!Y16,XL!Y16,'XL (BHTP1)'!Y16,'XL (BHTP2)'!Y16)</f>
        <v>0</v>
      </c>
      <c r="Z16" s="13">
        <f>SUM('TP1'!Z16,'TP2'!Z16,MS!Z16,'MC + Vân hồ'!Z16,YC!Z16,PY!Z16,BY!Z16,SM!Z16,SC!Z16,TC!Z16,ML!Z16,QN!Z16,XL!Z16,'XL (BHTP1)'!Z16,'XL (BHTP2)'!Z16)</f>
        <v>0</v>
      </c>
      <c r="AA16" s="13">
        <f>SUM('TP1'!AA16,'TP2'!AA16,MS!AA16,'MC + Vân hồ'!AA16,YC!AA16,PY!AA16,BY!AA16,SM!AA16,SC!AA16,TC!AA16,ML!AA16,QN!AA16,XL!AA16,'XL (BHTP1)'!AA16,'XL (BHTP2)'!AA16)</f>
        <v>0</v>
      </c>
      <c r="AB16" s="13">
        <f>SUM('TP1'!AB16,'TP2'!AB16,MS!AB16,'MC + Vân hồ'!AB16,YC!AB16,PY!AB16,BY!AB16,SM!AB16,SC!AB16,TC!AB16,ML!AB16,QN!AB16,XL!AB16,'XL (BHTP1)'!AB16,'XL (BHTP2)'!AB16)</f>
        <v>0</v>
      </c>
      <c r="AC16" s="13">
        <f>SUM('TP1'!AC16,'TP2'!AC16,MS!AC16,'MC + Vân hồ'!AC16,YC!AC16,PY!AC16,BY!AC16,SM!AC16,SC!AC16,TC!AC16,ML!AC16,QN!AC16,XL!AC16,'XL (BHTP1)'!AC16,'XL (BHTP2)'!AC16)</f>
        <v>0</v>
      </c>
      <c r="AD16" s="13">
        <f>SUM('TP1'!AD16,'TP2'!AD16,MS!AD16,'MC + Vân hồ'!AD16,YC!AD16,PY!AD16,BY!AD16,SM!AD16,SC!AD16,TC!AD16,ML!AD16,QN!AD16,XL!AD16,'XL (BHTP1)'!AD16,'XL (BHTP2)'!AD16)</f>
        <v>0</v>
      </c>
      <c r="AE16" s="13">
        <f>SUM('TP1'!AE16,'TP2'!AE16,MS!AE16,'MC + Vân hồ'!AE16,YC!AE16,PY!AE16,BY!AE16,SM!AE16,SC!AE16,TC!AE16,ML!AE16,QN!AE16,XL!AE16,'XL (BHTP1)'!AE16,'XL (BHTP2)'!AE16)</f>
        <v>0</v>
      </c>
      <c r="AF16" s="13">
        <f>SUM('TP1'!AF16,'TP2'!AF16,MS!AF16,'MC + Vân hồ'!AF16,YC!AF16,PY!AF16,BY!AF16,SM!AF16,SC!AF16,TC!AF16,ML!AF16,QN!AF16,XL!AF16,'XL (BHTP1)'!AF16,'XL (BHTP2)'!AF16)</f>
        <v>0</v>
      </c>
      <c r="AG16" s="13">
        <f>SUM('TP1'!AG16,'TP2'!AG16,MS!AG16,'MC + Vân hồ'!AG16,YC!AG16,PY!AG16,BY!AG16,SM!AG16,SC!AG16,TC!AG16,ML!AG16,QN!AG16,XL!AG16,'XL (BHTP1)'!AG16,'XL (BHTP2)'!AG16)</f>
        <v>0</v>
      </c>
      <c r="AH16" s="13">
        <f>SUM('TP1'!AH16,'TP2'!AH16,MS!AH16,'MC + Vân hồ'!AH16,YC!AH16,PY!AH16,BY!AH16,SM!AH16,SC!AH16,TC!AH16,ML!AH16,QN!AH16,XL!AH16,'XL (BHTP1)'!AH16,'XL (BHTP2)'!AH16)</f>
        <v>0</v>
      </c>
      <c r="AI16" s="13">
        <f>SUM('TP1'!AI16,'TP2'!AI16,MS!AI16,'MC + Vân hồ'!AI16,YC!AI16,PY!AI16,BY!AI16,SM!AI16,SC!AI16,TC!AI16,ML!AI16,QN!AI16,XL!AI16,'XL (BHTP1)'!AI16,'XL (BHTP2)'!AI16)</f>
        <v>0</v>
      </c>
      <c r="AJ16" s="13">
        <f>SUM('TP1'!AJ16,'TP2'!AJ16,MS!AJ16,'MC + Vân hồ'!AJ16,YC!AJ16,PY!AJ16,BY!AJ16,SM!AJ16,SC!AJ16,TC!AJ16,ML!AJ16,QN!AJ16,XL!AJ16,'XL (BHTP1)'!AJ16,'XL (BHTP2)'!AJ16)</f>
        <v>0</v>
      </c>
      <c r="AK16" s="13">
        <f>SUM('TP1'!AK16,'TP2'!AK16,MS!AK16,'MC + Vân hồ'!AK16,YC!AK16,PY!AK16,BY!AK16,SM!AK16,SC!AK16,TC!AK16,ML!AK16,QN!AK16,XL!AK16,'XL (BHTP1)'!AK16,'XL (BHTP2)'!AK16)</f>
        <v>0</v>
      </c>
      <c r="AL16" s="13">
        <f>SUM('TP1'!AL16,'TP2'!AL16,MS!AL16,'MC + Vân hồ'!AL16,YC!AL16,PY!AL16,BY!AL16,SM!AL16,SC!AL16,TC!AL16,ML!AL16,QN!AL16,XL!AL16,'XL (BHTP1)'!AL16,'XL (BHTP2)'!AL16)</f>
        <v>0</v>
      </c>
      <c r="AM16" s="13">
        <f>SUM('TP1'!AM16,'TP2'!AM16,MS!AM16,'MC + Vân hồ'!AM16,YC!AM16,PY!AM16,BY!AM16,SM!AM16,SC!AM16,TC!AM16,ML!AM16,QN!AM16,XL!AM16,'XL (BHTP1)'!AM16,'XL (BHTP2)'!AM16)</f>
        <v>0</v>
      </c>
      <c r="AN16" s="13">
        <f>SUM('TP1'!AN16,'TP2'!AN16,MS!AN16,'MC + Vân hồ'!AN16,YC!AN16,PY!AN16,BY!AN16,SM!AN16,SC!AN16,TC!AN16,ML!AN16,QN!AN16,XL!AN16,'XL (BHTP1)'!AN16,'XL (BHTP2)'!AN16)</f>
        <v>0</v>
      </c>
      <c r="AO16" s="13">
        <f>SUM('TP1'!AO16,'TP2'!AO16,MS!AO16,'MC + Vân hồ'!AO16,YC!AO16,PY!AO16,BY!AO16,SM!AO16,SC!AO16,TC!AO16,ML!AO16,QN!AO16,XL!AO16,'XL (BHTP1)'!AO16,'XL (BHTP2)'!AO16)</f>
        <v>0</v>
      </c>
      <c r="AP16" s="13">
        <f>SUM('TP1'!AP16,'TP2'!AP16,MS!AP16,'MC + Vân hồ'!AP16,YC!AP16,PY!AP16,BY!AP16,SM!AP16,SC!AP16,TC!AP16,ML!AP16,QN!AP16,XL!AP16,'XL (BHTP1)'!AP16,'XL (BHTP2)'!AP16)</f>
        <v>0</v>
      </c>
      <c r="AQ16" s="13">
        <f>SUM('TP1'!AQ16,'TP2'!AQ16,MS!AQ16,'MC + Vân hồ'!AQ16,YC!AQ16,PY!AQ16,BY!AQ16,SM!AQ16,SC!AQ16,TC!AQ16,ML!AQ16,QN!AQ16,XL!AQ16,'XL (BHTP1)'!AQ16,'XL (BHTP2)'!AQ16)</f>
        <v>0</v>
      </c>
      <c r="AR16" s="13">
        <f>SUM('TP1'!AR16,'TP2'!AR16,MS!AR16,'MC + Vân hồ'!AR16,YC!AR16,PY!AR16,BY!AR16,SM!AR16,SC!AR16,TC!AR16,ML!AR16,QN!AR16,XL!AR16,'XL (BHTP1)'!AR16,'XL (BHTP2)'!AR16)</f>
        <v>0</v>
      </c>
      <c r="AS16" s="13">
        <f>SUM('TP1'!AS16,'TP2'!AS16,MS!AS16,'MC + Vân hồ'!AS16,YC!AS16,PY!AS16,BY!AS16,SM!AS16,SC!AS16,TC!AS16,ML!AS16,QN!AS16,XL!AS16,'XL (BHTP1)'!AS16,'XL (BHTP2)'!AS16)</f>
        <v>0</v>
      </c>
      <c r="AT16" s="13">
        <f>SUM('TP1'!AT16,'TP2'!AT16,MS!AT16,'MC + Vân hồ'!AT16,YC!AT16,PY!AT16,BY!AT16,SM!AT16,SC!AT16,TC!AT16,ML!AT16,QN!AT16,XL!AT16,'XL (BHTP1)'!AT16,'XL (BHTP2)'!AT16)</f>
        <v>0</v>
      </c>
      <c r="AU16" s="13">
        <f>SUM('TP1'!AU16,'TP2'!AU16,MS!AU16,'MC + Vân hồ'!AU16,YC!AU16,PY!AU16,BY!AU16,SM!AU16,SC!AU16,TC!AU16,ML!AU16,QN!AU16,XL!AU16,'XL (BHTP1)'!AU16,'XL (BHTP2)'!AU16)</f>
        <v>0</v>
      </c>
      <c r="AV16" s="13">
        <f>SUM('TP1'!AV16,'TP2'!AV16,MS!AV16,'MC + Vân hồ'!AV16,YC!AV16,PY!AV16,BY!AV16,SM!AV16,SC!AV16,TC!AV16,ML!AV16,QN!AV16,XL!AV16,'XL (BHTP1)'!AV16,'XL (BHTP2)'!AV16)</f>
        <v>0</v>
      </c>
      <c r="AW16" s="13">
        <f>SUM('TP1'!AW16,'TP2'!AW16,MS!AW16,'MC + Vân hồ'!AW16,YC!AW16,PY!AW16,BY!AW16,SM!AW16,SC!AW16,TC!AW16,ML!AW16,QN!AW16,XL!AW16,'XL (BHTP1)'!AW16,'XL (BHTP2)'!AW16)</f>
        <v>0</v>
      </c>
      <c r="AX16" s="13">
        <f>SUM('TP1'!AX16,'TP2'!AX16,MS!AX16,'MC + Vân hồ'!AX16,YC!AX16,PY!AX16,BY!AX16,SM!AX16,SC!AX16,TC!AX16,ML!AX16,QN!AX16,XL!AX16,'XL (BHTP1)'!AX16,'XL (BHTP2)'!AX16)</f>
        <v>0</v>
      </c>
      <c r="AY16" s="13">
        <f>SUM('TP1'!AY16,'TP2'!AY16,MS!AY16,'MC + Vân hồ'!AY16,YC!AY16,PY!AY16,BY!AY16,SM!AY16,SC!AY16,TC!AY16,ML!AY16,QN!AY16,XL!AY16,'XL (BHTP1)'!AY16,'XL (BHTP2)'!AY16)</f>
        <v>0</v>
      </c>
      <c r="AZ16" s="13">
        <f>SUM('TP1'!AZ16,'TP2'!AZ16,MS!AZ16,'MC + Vân hồ'!AZ16,YC!AZ16,PY!AZ16,BY!AZ16,SM!AZ16,SC!AZ16,TC!AZ16,ML!AZ16,QN!AZ16,XL!AZ16,'XL (BHTP1)'!AZ16,'XL (BHTP2)'!AZ16)</f>
        <v>0</v>
      </c>
      <c r="BA16" s="13">
        <f>SUM('TP1'!BA16,'TP2'!BA16,MS!BA16,'MC + Vân hồ'!BA16,YC!BA16,PY!BA16,BY!BA16,SM!BA16,SC!BA16,TC!BA16,ML!BA16,QN!BA16,XL!BA16,'XL (BHTP1)'!BA16,'XL (BHTP2)'!BA16)</f>
        <v>0</v>
      </c>
      <c r="BB16" s="13">
        <f>SUM('TP1'!BB16,'TP2'!BB16,MS!BB16,'MC + Vân hồ'!BB16,YC!BB16,PY!BB16,BY!BB16,SM!BB16,SC!BB16,TC!BB16,ML!BB16,QN!BB16,XL!BB16,'XL (BHTP1)'!BB16,'XL (BHTP2)'!BB16)</f>
        <v>0</v>
      </c>
      <c r="BC16" s="13">
        <f>SUM('TP1'!BC16,'TP2'!BC16,MS!BC16,'MC + Vân hồ'!BC16,YC!BC16,PY!BC16,BY!BC16,SM!BC16,SC!BC16,TC!BC16,ML!BC16,QN!BC16,XL!BC16,'XL (BHTP1)'!BC16,'XL (BHTP2)'!BC16)</f>
        <v>0</v>
      </c>
      <c r="BD16" s="13">
        <f>SUM('TP1'!BD16,'TP2'!BD16,MS!BD16,'MC + Vân hồ'!BD16,YC!BD16,PY!BD16,BY!BD16,SM!BD16,SC!BD16,TC!BD16,ML!BD16,QN!BD16,XL!BD16,'XL (BHTP1)'!BD16,'XL (BHTP2)'!BD16)</f>
        <v>0</v>
      </c>
      <c r="BE16" s="13">
        <f>SUM('TP1'!BE16,'TP2'!BE16,MS!BE16,'MC + Vân hồ'!BE16,YC!BE16,PY!BE16,BY!BE16,SM!BE16,SC!BE16,TC!BE16,ML!BE16,QN!BE16,XL!BE16,'XL (BHTP1)'!BE16,'XL (BHTP2)'!BE16)</f>
        <v>0</v>
      </c>
      <c r="BF16" s="13">
        <f>SUM('TP1'!BF16,'TP2'!BF16,MS!BF16,'MC + Vân hồ'!BF16,YC!BF16,PY!BF16,BY!BF16,SM!BF16,SC!BF16,TC!BF16,ML!BF16,QN!BF16,XL!BF16,'XL (BHTP1)'!BF16,'XL (BHTP2)'!BF16)</f>
        <v>0</v>
      </c>
      <c r="BG16" s="13">
        <f>SUM('TP1'!BG16,'TP2'!BG16,MS!BG16,'MC + Vân hồ'!BG16,YC!BG16,PY!BG16,BY!BG16,SM!BG16,SC!BG16,TC!BG16,ML!BG16,QN!BG16,XL!BG16,'XL (BHTP1)'!BG16,'XL (BHTP2)'!BG16)</f>
        <v>0</v>
      </c>
      <c r="BH16" s="13">
        <f>SUM('TP1'!BH16,'TP2'!BH16,MS!BH16,'MC + Vân hồ'!BH16,YC!BH16,PY!BH16,BY!BH16,SM!BH16,SC!BH16,TC!BH16,ML!BH16,QN!BH16,XL!BH16,'XL (BHTP1)'!BH16,'XL (BHTP2)'!BH16)</f>
        <v>0</v>
      </c>
      <c r="BI16" s="13">
        <f>SUM('TP1'!BI16,'TP2'!BI16,MS!BI16,'MC + Vân hồ'!BI16,YC!BI16,PY!BI16,BY!BI16,SM!BI16,SC!BI16,TC!BI16,ML!BI16,QN!BI16,XL!BI16,'XL (BHTP1)'!BI16,'XL (BHTP2)'!BI16)</f>
        <v>0</v>
      </c>
      <c r="BJ16" s="13">
        <f>SUM('TP1'!BJ16,'TP2'!BJ16,MS!BJ16,'MC + Vân hồ'!BJ16,YC!BJ16,PY!BJ16,BY!BJ16,SM!BJ16,SC!BJ16,TC!BJ16,ML!BJ16,QN!BJ16,XL!BJ16,'XL (BHTP1)'!BJ16,'XL (BHTP2)'!BJ16)</f>
        <v>0</v>
      </c>
      <c r="BK16" s="13">
        <f>SUM('TP1'!BK16,'TP2'!BK16,MS!BK16,'MC + Vân hồ'!BK16,YC!BK16,PY!BK16,BY!BK16,SM!BK16,SC!BK16,TC!BK16,ML!BK16,QN!BK16,XL!BK16,'XL (BHTP1)'!BK16,'XL (BHTP2)'!BK16)</f>
        <v>0</v>
      </c>
      <c r="BL16" s="13">
        <f>SUM('TP1'!BL16,'TP2'!BL16,MS!BL16,'MC + Vân hồ'!BL16,YC!BL16,PY!BL16,BY!BL16,SM!BL16,SC!BL16,TC!BL16,ML!BL16,QN!BL16,XL!BL16,'XL (BHTP1)'!BL16,'XL (BHTP2)'!BL16)</f>
        <v>0</v>
      </c>
      <c r="BM16" s="13">
        <f>SUM('TP1'!BM16,'TP2'!BM16,MS!BM16,'MC + Vân hồ'!BM16,YC!BM16,PY!BM16,BY!BM16,SM!BM16,SC!BM16,TC!BM16,ML!BM16,QN!BM16,XL!BM16,'XL (BHTP1)'!BM16,'XL (BHTP2)'!BM16)</f>
        <v>0</v>
      </c>
      <c r="BN16" s="13">
        <f>SUM('TP1'!BN16,'TP2'!BN16,MS!BN16,'MC + Vân hồ'!BN16,YC!BN16,PY!BN16,BY!BN16,SM!BN16,SC!BN16,TC!BN16,ML!BN16,QN!BN16,XL!BN16,'XL (BHTP1)'!BN16,'XL (BHTP2)'!BN16)</f>
        <v>0</v>
      </c>
      <c r="BO16" s="13">
        <f>SUM('TP1'!BO16,'TP2'!BO16,MS!BO16,'MC + Vân hồ'!BO16,YC!BO16,PY!BO16,BY!BO16,SM!BO16,SC!BO16,TC!BO16,ML!BO16,QN!BO16,XL!BO16,'XL (BHTP1)'!BO16,'XL (BHTP2)'!BO16)</f>
        <v>0</v>
      </c>
      <c r="BP16" s="13">
        <f>SUM('TP1'!BP16,'TP2'!BP16,MS!BP16,'MC + Vân hồ'!BP16,YC!BP16,PY!BP16,BY!BP16,SM!BP16,SC!BP16,TC!BP16,ML!BP16,QN!BP16,XL!BP16,'XL (BHTP1)'!BP16,'XL (BHTP2)'!BP16)</f>
        <v>0</v>
      </c>
      <c r="BQ16" s="13">
        <f>SUM('TP1'!BQ16,'TP2'!BQ16,MS!BQ16,'MC + Vân hồ'!BQ16,YC!BQ16,PY!BQ16,BY!BQ16,SM!BQ16,SC!BQ16,TC!BQ16,ML!BQ16,QN!BQ16,XL!BQ16,'XL (BHTP1)'!BQ16,'XL (BHTP2)'!BQ16)</f>
        <v>0</v>
      </c>
      <c r="BR16" s="13">
        <f>SUM('TP1'!BR16,'TP2'!BR16,MS!BR16,'MC + Vân hồ'!BR16,YC!BR16,PY!BR16,BY!BR16,SM!BR16,SC!BR16,TC!BR16,ML!BR16,QN!BR16,XL!BR16,'XL (BHTP1)'!BR16,'XL (BHTP2)'!BR16)</f>
        <v>0</v>
      </c>
      <c r="BS16" s="13">
        <f>SUM('TP1'!BS16,'TP2'!BS16,MS!BS16,'MC + Vân hồ'!BS16,YC!BS16,PY!BS16,BY!BS16,SM!BS16,SC!BS16,TC!BS16,ML!BS16,QN!BS16,XL!BS16,'XL (BHTP1)'!BS16,'XL (BHTP2)'!BS16)</f>
        <v>0</v>
      </c>
      <c r="BT16" s="13">
        <f>SUM('TP1'!BT16,'TP2'!BT16,MS!BT16,'MC + Vân hồ'!BT16,YC!BT16,PY!BT16,BY!BT16,SM!BT16,SC!BT16,TC!BT16,ML!BT16,QN!BT16,XL!BT16,'XL (BHTP1)'!BT16,'XL (BHTP2)'!BT16)</f>
        <v>0</v>
      </c>
      <c r="BU16" s="13">
        <f>SUM('TP1'!BU16,'TP2'!BU16,MS!BU16,'MC + Vân hồ'!BU16,YC!BU16,PY!BU16,BY!BU16,SM!BU16,SC!BU16,TC!BU16,ML!BU16,QN!BU16,XL!BU16,'XL (BHTP1)'!BU16,'XL (BHTP2)'!BU16)</f>
        <v>0</v>
      </c>
      <c r="BV16" s="13">
        <f>SUM('TP1'!BV16,'TP2'!BV16,MS!BV16,'MC + Vân hồ'!BV16,YC!BV16,PY!BV16,BY!BV16,SM!BV16,SC!BV16,TC!BV16,ML!BV16,QN!BV16,XL!BV16,'XL (BHTP1)'!BV16,'XL (BHTP2)'!BV16)</f>
        <v>0</v>
      </c>
      <c r="BW16" s="13">
        <f>SUM('TP1'!BW16,'TP2'!BW16,MS!BW16,'MC + Vân hồ'!BW16,YC!BW16,PY!BW16,BY!BW16,SM!BW16,SC!BW16,TC!BW16,ML!BW16,QN!BW16,XL!BW16,'XL (BHTP1)'!BW16,'XL (BHTP2)'!BW16)</f>
        <v>0</v>
      </c>
      <c r="BX16" s="13">
        <f>SUM('TP1'!BX16,'TP2'!BX16,MS!BX16,'MC + Vân hồ'!BX16,YC!BX16,PY!BX16,BY!BX16,SM!BX16,SC!BX16,TC!BX16,ML!BX16,QN!BX16,XL!BX16,'XL (BHTP1)'!BX16,'XL (BHTP2)'!BX16)</f>
        <v>0</v>
      </c>
      <c r="BY16" s="13">
        <f>SUM('TP1'!BY16,'TP2'!BY16,MS!BY16,'MC + Vân hồ'!BY16,YC!BY16,PY!BY16,BY!BY16,SM!BY16,SC!BY16,TC!BY16,ML!BY16,QN!BY16,XL!BY16,'XL (BHTP1)'!BY16,'XL (BHTP2)'!BY16)</f>
        <v>0</v>
      </c>
      <c r="BZ16" s="13">
        <f>SUM('TP1'!BZ16,'TP2'!BZ16,MS!BZ16,'MC + Vân hồ'!BZ16,YC!BZ16,PY!BZ16,BY!BZ16,SM!BZ16,SC!BZ16,TC!BZ16,ML!BZ16,QN!BZ16,XL!BZ16,'XL (BHTP1)'!BZ16,'XL (BHTP2)'!BZ16)</f>
        <v>0</v>
      </c>
      <c r="CA16" s="13">
        <f>SUM('TP1'!CA16,'TP2'!CA16,MS!CA16,'MC + Vân hồ'!CA16,YC!CA16,PY!CA16,BY!CA16,SM!CA16,SC!CA16,TC!CA16,ML!CA16,QN!CA16,XL!CA16,'XL (BHTP1)'!CA16,'XL (BHTP2)'!CA16)</f>
        <v>0</v>
      </c>
      <c r="CB16" s="13">
        <f>SUM('TP1'!CB16,'TP2'!CB16,MS!CB16,'MC + Vân hồ'!CB16,YC!CB16,PY!CB16,BY!CB16,SM!CB16,SC!CB16,TC!CB16,ML!CB16,QN!CB16,XL!CB16,'XL (BHTP1)'!CB16,'XL (BHTP2)'!CB16)</f>
        <v>0</v>
      </c>
      <c r="CC16" s="13">
        <f>SUM('TP1'!CC16,'TP2'!CC16,MS!CC16,'MC + Vân hồ'!CC16,YC!CC16,PY!CC16,BY!CC16,SM!CC16,SC!CC16,TC!CC16,ML!CC16,QN!CC16,XL!CC16,'XL (BHTP1)'!CC16,'XL (BHTP2)'!CC16)</f>
        <v>0</v>
      </c>
      <c r="CD16" s="13">
        <f>SUM('TP1'!CD16,'TP2'!CD16,MS!CD16,'MC + Vân hồ'!CD16,YC!CD16,PY!CD16,BY!CD16,SM!CD16,SC!CD16,TC!CD16,ML!CD16,QN!CD16,XL!CD16,'XL (BHTP1)'!CD16,'XL (BHTP2)'!CD16)</f>
        <v>0</v>
      </c>
      <c r="CE16" s="13">
        <f>SUM('TP1'!CE16,'TP2'!CE16,MS!CE16,'MC + Vân hồ'!CE16,YC!CE16,PY!CE16,BY!CE16,SM!CE16,SC!CE16,TC!CE16,ML!CE16,QN!CE16,XL!CE16,'XL (BHTP1)'!CE16,'XL (BHTP2)'!CE16)</f>
        <v>0</v>
      </c>
      <c r="CF16" s="13">
        <f>SUM('TP1'!CF16,'TP2'!CF16,MS!CF16,'MC + Vân hồ'!CF16,YC!CF16,PY!CF16,BY!CF16,SM!CF16,SC!CF16,TC!CF16,ML!CF16,QN!CF16,XL!CF16,'XL (BHTP1)'!CF16,'XL (BHTP2)'!CF16)</f>
        <v>0</v>
      </c>
      <c r="CG16" s="13">
        <f>SUM('TP1'!CG16,'TP2'!CG16,MS!CG16,'MC + Vân hồ'!CG16,YC!CG16,PY!CG16,BY!CG16,SM!CG16,SC!CG16,TC!CG16,ML!CG16,QN!CG16,XL!CG16,'XL (BHTP1)'!CG16,'XL (BHTP2)'!CG16)</f>
        <v>0</v>
      </c>
      <c r="CH16" s="13">
        <f>SUM('TP1'!CH16,'TP2'!CH16,MS!CH16,'MC + Vân hồ'!CH16,YC!CH16,PY!CH16,BY!CH16,SM!CH16,SC!CH16,TC!CH16,ML!CH16,QN!CH16,XL!CH16,'XL (BHTP1)'!CH16,'XL (BHTP2)'!CH16)</f>
        <v>0</v>
      </c>
      <c r="CI16" s="13">
        <f>SUM('TP1'!CI16,'TP2'!CI16,MS!CI16,'MC + Vân hồ'!CI16,YC!CI16,PY!CI16,BY!CI16,SM!CI16,SC!CI16,TC!CI16,ML!CI16,QN!CI16,XL!CI16,'XL (BHTP1)'!CI16,'XL (BHTP2)'!CI16)</f>
        <v>0</v>
      </c>
      <c r="CJ16" s="13">
        <f>SUM('TP1'!CJ16,'TP2'!CJ16,MS!CJ16,'MC + Vân hồ'!CJ16,YC!CJ16,PY!CJ16,BY!CJ16,SM!CJ16,SC!CJ16,TC!CJ16,ML!CJ16,QN!CJ16,XL!CJ16,'XL (BHTP1)'!CJ16,'XL (BHTP2)'!CJ16)</f>
        <v>0</v>
      </c>
      <c r="CK16" s="73">
        <f t="shared" ref="CK16:CQ16" si="12">SUM(E16,L16,S16,Z16,AG16,AN16,AU16,BB16,BI16,BP16,BW16,CD16)</f>
        <v>0</v>
      </c>
      <c r="CL16" s="73">
        <f t="shared" si="12"/>
        <v>3</v>
      </c>
      <c r="CM16" s="73">
        <f t="shared" si="12"/>
        <v>5</v>
      </c>
      <c r="CN16" s="73">
        <f t="shared" si="12"/>
        <v>0</v>
      </c>
      <c r="CO16" s="73">
        <f t="shared" si="12"/>
        <v>0</v>
      </c>
      <c r="CP16" s="73">
        <f t="shared" si="12"/>
        <v>0</v>
      </c>
      <c r="CQ16" s="73">
        <f t="shared" si="12"/>
        <v>0</v>
      </c>
      <c r="CR16" s="56"/>
      <c r="CS16" s="56">
        <f t="shared" si="3"/>
        <v>0</v>
      </c>
    </row>
    <row r="17" outlineLevel="1">
      <c r="B17" s="12" t="s">
        <v>46</v>
      </c>
      <c r="C17" s="23" t="s">
        <v>47</v>
      </c>
      <c r="D17" s="12" t="s">
        <v>48</v>
      </c>
      <c r="E17" s="13">
        <f>SUM('TP1'!E17,'TP2'!E17,MS!E17,'MC + Vân hồ'!E17,YC!E17,PY!E17,BY!E17,SM!E17,SC!E17,TC!E17,ML!E17,QN!E17,XL!E17,'XL (BHTP1)'!E17,'XL (BHTP2)'!E17)</f>
        <v>0</v>
      </c>
      <c r="F17" s="13">
        <f>SUM('TP1'!F17,'TP2'!F17,MS!F17,'MC + Vân hồ'!F17,YC!F17,PY!F17,BY!F17,SM!F17,SC!F17,TC!F17,ML!F17,QN!F17,XL!F17,'XL (BHTP1)'!F17,'XL (BHTP2)'!F17)</f>
        <v>0</v>
      </c>
      <c r="G17" s="13">
        <f>SUM('TP1'!G17,'TP2'!G17,MS!G17,'MC + Vân hồ'!G17,YC!G17,PY!G17,BY!G17,SM!G17,SC!G17,TC!G17,ML!G17,QN!G17,XL!G17,'XL (BHTP1)'!G17,'XL (BHTP2)'!G17)</f>
        <v>0</v>
      </c>
      <c r="H17" s="13">
        <f>SUM('TP1'!H17,'TP2'!H17,MS!H17,'MC + Vân hồ'!H17,YC!H17,PY!H17,BY!H17,SM!H17,SC!H17,TC!H17,ML!H17,QN!H17,XL!H17,'XL (BHTP1)'!H17,'XL (BHTP2)'!H17)</f>
        <v>0</v>
      </c>
      <c r="I17" s="13">
        <f>SUM('TP1'!I17,'TP2'!I17,MS!I17,'MC + Vân hồ'!I17,YC!I17,PY!I17,BY!I17,SM!I17,SC!I17,TC!I17,ML!I17,QN!I17,XL!I17,'XL (BHTP1)'!I17,'XL (BHTP2)'!I17)</f>
        <v>0</v>
      </c>
      <c r="J17" s="13">
        <f>SUM('TP1'!J17,'TP2'!J17,MS!J17,'MC + Vân hồ'!J17,YC!J17,PY!J17,BY!J17,SM!J17,SC!J17,TC!J17,ML!J17,QN!J17,XL!J17,'XL (BHTP1)'!J17,'XL (BHTP2)'!J17)</f>
        <v>0</v>
      </c>
      <c r="K17" s="13">
        <f>SUM('TP1'!K17,'TP2'!K17,MS!K17,'MC + Vân hồ'!K17,YC!K17,PY!K17,BY!K17,SM!K17,SC!K17,TC!K17,ML!K17,QN!K17,XL!K17,'XL (BHTP1)'!K17,'XL (BHTP2)'!K17)</f>
        <v>0</v>
      </c>
      <c r="L17" s="13">
        <f>SUM('TP1'!L17,'TP2'!L17,MS!L17,'MC + Vân hồ'!L17,YC!L17,PY!L17,BY!L17,SM!L17,SC!L17,TC!L17,ML!L17,QN!L17,XL!L17,'XL (BHTP1)'!L17,'XL (BHTP2)'!L17)</f>
        <v>0</v>
      </c>
      <c r="M17" s="13">
        <f>SUM('TP1'!M17,'TP2'!M17,MS!M17,'MC + Vân hồ'!M17,YC!M17,PY!M17,BY!M17,SM!M17,SC!M17,TC!M17,ML!M17,QN!M17,XL!M17,'XL (BHTP1)'!M17,'XL (BHTP2)'!M17)</f>
        <v>0</v>
      </c>
      <c r="N17" s="13">
        <f>SUM('TP1'!N17,'TP2'!N17,MS!N17,'MC + Vân hồ'!N17,YC!N17,PY!N17,BY!N17,SM!N17,SC!N17,TC!N17,ML!N17,QN!N17,XL!N17,'XL (BHTP1)'!N17,'XL (BHTP2)'!N17)</f>
        <v>0</v>
      </c>
      <c r="O17" s="13">
        <f>SUM('TP1'!O17,'TP2'!O17,MS!O17,'MC + Vân hồ'!O17,YC!O17,PY!O17,BY!O17,SM!O17,SC!O17,TC!O17,ML!O17,QN!O17,XL!O17,'XL (BHTP1)'!O17,'XL (BHTP2)'!O17)</f>
        <v>0</v>
      </c>
      <c r="P17" s="13">
        <f>SUM('TP1'!P17,'TP2'!P17,MS!P17,'MC + Vân hồ'!P17,YC!P17,PY!P17,BY!P17,SM!P17,SC!P17,TC!P17,ML!P17,QN!P17,XL!P17,'XL (BHTP1)'!P17,'XL (BHTP2)'!P17)</f>
        <v>0</v>
      </c>
      <c r="Q17" s="13">
        <f>SUM('TP1'!Q17,'TP2'!Q17,MS!Q17,'MC + Vân hồ'!Q17,YC!Q17,PY!Q17,BY!Q17,SM!Q17,SC!Q17,TC!Q17,ML!Q17,QN!Q17,XL!Q17,'XL (BHTP1)'!Q17,'XL (BHTP2)'!Q17)</f>
        <v>0</v>
      </c>
      <c r="R17" s="13">
        <f>SUM('TP1'!R17,'TP2'!R17,MS!R17,'MC + Vân hồ'!R17,YC!R17,PY!R17,BY!R17,SM!R17,SC!R17,TC!R17,ML!R17,QN!R17,XL!R17,'XL (BHTP1)'!R17,'XL (BHTP2)'!R17)</f>
        <v>0</v>
      </c>
      <c r="S17" s="13">
        <f>SUM('TP1'!S17,'TP2'!S17,MS!S17,'MC + Vân hồ'!S17,YC!S17,PY!S17,BY!S17,SM!S17,SC!S17,TC!S17,ML!S17,QN!S17,XL!S17,'XL (BHTP1)'!S17,'XL (BHTP2)'!S17)</f>
        <v>0</v>
      </c>
      <c r="T17" s="13">
        <f>SUM('TP1'!T17,'TP2'!T17,MS!T17,'MC + Vân hồ'!T17,YC!T17,PY!T17,BY!T17,SM!T17,SC!T17,TC!T17,ML!T17,QN!T17,XL!T17,'XL (BHTP1)'!T17,'XL (BHTP2)'!T17)</f>
        <v>0</v>
      </c>
      <c r="U17" s="13">
        <f>SUM('TP1'!U17,'TP2'!U17,MS!U17,'MC + Vân hồ'!U17,YC!U17,PY!U17,BY!U17,SM!U17,SC!U17,TC!U17,ML!U17,QN!U17,XL!U17,'XL (BHTP1)'!U17,'XL (BHTP2)'!U17)</f>
        <v>0</v>
      </c>
      <c r="V17" s="13">
        <f>SUM('TP1'!V17,'TP2'!V17,MS!V17,'MC + Vân hồ'!V17,YC!V17,PY!V17,BY!V17,SM!V17,SC!V17,TC!V17,ML!V17,QN!V17,XL!V17,'XL (BHTP1)'!V17,'XL (BHTP2)'!V17)</f>
        <v>0</v>
      </c>
      <c r="W17" s="13">
        <f>SUM('TP1'!W17,'TP2'!W17,MS!W17,'MC + Vân hồ'!W17,YC!W17,PY!W17,BY!W17,SM!W17,SC!W17,TC!W17,ML!W17,QN!W17,XL!W17,'XL (BHTP1)'!W17,'XL (BHTP2)'!W17)</f>
        <v>0</v>
      </c>
      <c r="X17" s="13">
        <f>SUM('TP1'!X17,'TP2'!X17,MS!X17,'MC + Vân hồ'!X17,YC!X17,PY!X17,BY!X17,SM!X17,SC!X17,TC!X17,ML!X17,QN!X17,XL!X17,'XL (BHTP1)'!X17,'XL (BHTP2)'!X17)</f>
        <v>0</v>
      </c>
      <c r="Y17" s="13">
        <f>SUM('TP1'!Y17,'TP2'!Y17,MS!Y17,'MC + Vân hồ'!Y17,YC!Y17,PY!Y17,BY!Y17,SM!Y17,SC!Y17,TC!Y17,ML!Y17,QN!Y17,XL!Y17,'XL (BHTP1)'!Y17,'XL (BHTP2)'!Y17)</f>
        <v>0</v>
      </c>
      <c r="Z17" s="13">
        <f>SUM('TP1'!Z17,'TP2'!Z17,MS!Z17,'MC + Vân hồ'!Z17,YC!Z17,PY!Z17,BY!Z17,SM!Z17,SC!Z17,TC!Z17,ML!Z17,QN!Z17,XL!Z17,'XL (BHTP1)'!Z17,'XL (BHTP2)'!Z17)</f>
        <v>0</v>
      </c>
      <c r="AA17" s="13">
        <f>SUM('TP1'!AA17,'TP2'!AA17,MS!AA17,'MC + Vân hồ'!AA17,YC!AA17,PY!AA17,BY!AA17,SM!AA17,SC!AA17,TC!AA17,ML!AA17,QN!AA17,XL!AA17,'XL (BHTP1)'!AA17,'XL (BHTP2)'!AA17)</f>
        <v>0</v>
      </c>
      <c r="AB17" s="13">
        <f>SUM('TP1'!AB17,'TP2'!AB17,MS!AB17,'MC + Vân hồ'!AB17,YC!AB17,PY!AB17,BY!AB17,SM!AB17,SC!AB17,TC!AB17,ML!AB17,QN!AB17,XL!AB17,'XL (BHTP1)'!AB17,'XL (BHTP2)'!AB17)</f>
        <v>0</v>
      </c>
      <c r="AC17" s="13">
        <f>SUM('TP1'!AC17,'TP2'!AC17,MS!AC17,'MC + Vân hồ'!AC17,YC!AC17,PY!AC17,BY!AC17,SM!AC17,SC!AC17,TC!AC17,ML!AC17,QN!AC17,XL!AC17,'XL (BHTP1)'!AC17,'XL (BHTP2)'!AC17)</f>
        <v>0</v>
      </c>
      <c r="AD17" s="13">
        <f>SUM('TP1'!AD17,'TP2'!AD17,MS!AD17,'MC + Vân hồ'!AD17,YC!AD17,PY!AD17,BY!AD17,SM!AD17,SC!AD17,TC!AD17,ML!AD17,QN!AD17,XL!AD17,'XL (BHTP1)'!AD17,'XL (BHTP2)'!AD17)</f>
        <v>0</v>
      </c>
      <c r="AE17" s="13">
        <f>SUM('TP1'!AE17,'TP2'!AE17,MS!AE17,'MC + Vân hồ'!AE17,YC!AE17,PY!AE17,BY!AE17,SM!AE17,SC!AE17,TC!AE17,ML!AE17,QN!AE17,XL!AE17,'XL (BHTP1)'!AE17,'XL (BHTP2)'!AE17)</f>
        <v>0</v>
      </c>
      <c r="AF17" s="13">
        <f>SUM('TP1'!AF17,'TP2'!AF17,MS!AF17,'MC + Vân hồ'!AF17,YC!AF17,PY!AF17,BY!AF17,SM!AF17,SC!AF17,TC!AF17,ML!AF17,QN!AF17,XL!AF17,'XL (BHTP1)'!AF17,'XL (BHTP2)'!AF17)</f>
        <v>0</v>
      </c>
      <c r="AG17" s="13">
        <f>SUM('TP1'!AG17,'TP2'!AG17,MS!AG17,'MC + Vân hồ'!AG17,YC!AG17,PY!AG17,BY!AG17,SM!AG17,SC!AG17,TC!AG17,ML!AG17,QN!AG17,XL!AG17,'XL (BHTP1)'!AG17,'XL (BHTP2)'!AG17)</f>
        <v>0</v>
      </c>
      <c r="AH17" s="13">
        <f>SUM('TP1'!AH17,'TP2'!AH17,MS!AH17,'MC + Vân hồ'!AH17,YC!AH17,PY!AH17,BY!AH17,SM!AH17,SC!AH17,TC!AH17,ML!AH17,QN!AH17,XL!AH17,'XL (BHTP1)'!AH17,'XL (BHTP2)'!AH17)</f>
        <v>0</v>
      </c>
      <c r="AI17" s="13">
        <f>SUM('TP1'!AI17,'TP2'!AI17,MS!AI17,'MC + Vân hồ'!AI17,YC!AI17,PY!AI17,BY!AI17,SM!AI17,SC!AI17,TC!AI17,ML!AI17,QN!AI17,XL!AI17,'XL (BHTP1)'!AI17,'XL (BHTP2)'!AI17)</f>
        <v>0</v>
      </c>
      <c r="AJ17" s="13">
        <f>SUM('TP1'!AJ17,'TP2'!AJ17,MS!AJ17,'MC + Vân hồ'!AJ17,YC!AJ17,PY!AJ17,BY!AJ17,SM!AJ17,SC!AJ17,TC!AJ17,ML!AJ17,QN!AJ17,XL!AJ17,'XL (BHTP1)'!AJ17,'XL (BHTP2)'!AJ17)</f>
        <v>0</v>
      </c>
      <c r="AK17" s="13">
        <f>SUM('TP1'!AK17,'TP2'!AK17,MS!AK17,'MC + Vân hồ'!AK17,YC!AK17,PY!AK17,BY!AK17,SM!AK17,SC!AK17,TC!AK17,ML!AK17,QN!AK17,XL!AK17,'XL (BHTP1)'!AK17,'XL (BHTP2)'!AK17)</f>
        <v>0</v>
      </c>
      <c r="AL17" s="13">
        <f>SUM('TP1'!AL17,'TP2'!AL17,MS!AL17,'MC + Vân hồ'!AL17,YC!AL17,PY!AL17,BY!AL17,SM!AL17,SC!AL17,TC!AL17,ML!AL17,QN!AL17,XL!AL17,'XL (BHTP1)'!AL17,'XL (BHTP2)'!AL17)</f>
        <v>0</v>
      </c>
      <c r="AM17" s="13">
        <f>SUM('TP1'!AM17,'TP2'!AM17,MS!AM17,'MC + Vân hồ'!AM17,YC!AM17,PY!AM17,BY!AM17,SM!AM17,SC!AM17,TC!AM17,ML!AM17,QN!AM17,XL!AM17,'XL (BHTP1)'!AM17,'XL (BHTP2)'!AM17)</f>
        <v>0</v>
      </c>
      <c r="AN17" s="13">
        <f>SUM('TP1'!AN17,'TP2'!AN17,MS!AN17,'MC + Vân hồ'!AN17,YC!AN17,PY!AN17,BY!AN17,SM!AN17,SC!AN17,TC!AN17,ML!AN17,QN!AN17,XL!AN17,'XL (BHTP1)'!AN17,'XL (BHTP2)'!AN17)</f>
        <v>0</v>
      </c>
      <c r="AO17" s="13">
        <f>SUM('TP1'!AO17,'TP2'!AO17,MS!AO17,'MC + Vân hồ'!AO17,YC!AO17,PY!AO17,BY!AO17,SM!AO17,SC!AO17,TC!AO17,ML!AO17,QN!AO17,XL!AO17,'XL (BHTP1)'!AO17,'XL (BHTP2)'!AO17)</f>
        <v>0</v>
      </c>
      <c r="AP17" s="13">
        <f>SUM('TP1'!AP17,'TP2'!AP17,MS!AP17,'MC + Vân hồ'!AP17,YC!AP17,PY!AP17,BY!AP17,SM!AP17,SC!AP17,TC!AP17,ML!AP17,QN!AP17,XL!AP17,'XL (BHTP1)'!AP17,'XL (BHTP2)'!AP17)</f>
        <v>0</v>
      </c>
      <c r="AQ17" s="13">
        <f>SUM('TP1'!AQ17,'TP2'!AQ17,MS!AQ17,'MC + Vân hồ'!AQ17,YC!AQ17,PY!AQ17,BY!AQ17,SM!AQ17,SC!AQ17,TC!AQ17,ML!AQ17,QN!AQ17,XL!AQ17,'XL (BHTP1)'!AQ17,'XL (BHTP2)'!AQ17)</f>
        <v>0</v>
      </c>
      <c r="AR17" s="13">
        <f>SUM('TP1'!AR17,'TP2'!AR17,MS!AR17,'MC + Vân hồ'!AR17,YC!AR17,PY!AR17,BY!AR17,SM!AR17,SC!AR17,TC!AR17,ML!AR17,QN!AR17,XL!AR17,'XL (BHTP1)'!AR17,'XL (BHTP2)'!AR17)</f>
        <v>0</v>
      </c>
      <c r="AS17" s="13">
        <f>SUM('TP1'!AS17,'TP2'!AS17,MS!AS17,'MC + Vân hồ'!AS17,YC!AS17,PY!AS17,BY!AS17,SM!AS17,SC!AS17,TC!AS17,ML!AS17,QN!AS17,XL!AS17,'XL (BHTP1)'!AS17,'XL (BHTP2)'!AS17)</f>
        <v>0</v>
      </c>
      <c r="AT17" s="13">
        <f>SUM('TP1'!AT17,'TP2'!AT17,MS!AT17,'MC + Vân hồ'!AT17,YC!AT17,PY!AT17,BY!AT17,SM!AT17,SC!AT17,TC!AT17,ML!AT17,QN!AT17,XL!AT17,'XL (BHTP1)'!AT17,'XL (BHTP2)'!AT17)</f>
        <v>0</v>
      </c>
      <c r="AU17" s="13">
        <f>SUM('TP1'!AU17,'TP2'!AU17,MS!AU17,'MC + Vân hồ'!AU17,YC!AU17,PY!AU17,BY!AU17,SM!AU17,SC!AU17,TC!AU17,ML!AU17,QN!AU17,XL!AU17,'XL (BHTP1)'!AU17,'XL (BHTP2)'!AU17)</f>
        <v>0</v>
      </c>
      <c r="AV17" s="13">
        <f>SUM('TP1'!AV17,'TP2'!AV17,MS!AV17,'MC + Vân hồ'!AV17,YC!AV17,PY!AV17,BY!AV17,SM!AV17,SC!AV17,TC!AV17,ML!AV17,QN!AV17,XL!AV17,'XL (BHTP1)'!AV17,'XL (BHTP2)'!AV17)</f>
        <v>0</v>
      </c>
      <c r="AW17" s="13">
        <f>SUM('TP1'!AW17,'TP2'!AW17,MS!AW17,'MC + Vân hồ'!AW17,YC!AW17,PY!AW17,BY!AW17,SM!AW17,SC!AW17,TC!AW17,ML!AW17,QN!AW17,XL!AW17,'XL (BHTP1)'!AW17,'XL (BHTP2)'!AW17)</f>
        <v>0</v>
      </c>
      <c r="AX17" s="13">
        <f>SUM('TP1'!AX17,'TP2'!AX17,MS!AX17,'MC + Vân hồ'!AX17,YC!AX17,PY!AX17,BY!AX17,SM!AX17,SC!AX17,TC!AX17,ML!AX17,QN!AX17,XL!AX17,'XL (BHTP1)'!AX17,'XL (BHTP2)'!AX17)</f>
        <v>0</v>
      </c>
      <c r="AY17" s="13">
        <f>SUM('TP1'!AY17,'TP2'!AY17,MS!AY17,'MC + Vân hồ'!AY17,YC!AY17,PY!AY17,BY!AY17,SM!AY17,SC!AY17,TC!AY17,ML!AY17,QN!AY17,XL!AY17,'XL (BHTP1)'!AY17,'XL (BHTP2)'!AY17)</f>
        <v>0</v>
      </c>
      <c r="AZ17" s="13">
        <f>SUM('TP1'!AZ17,'TP2'!AZ17,MS!AZ17,'MC + Vân hồ'!AZ17,YC!AZ17,PY!AZ17,BY!AZ17,SM!AZ17,SC!AZ17,TC!AZ17,ML!AZ17,QN!AZ17,XL!AZ17,'XL (BHTP1)'!AZ17,'XL (BHTP2)'!AZ17)</f>
        <v>0</v>
      </c>
      <c r="BA17" s="13">
        <f>SUM('TP1'!BA17,'TP2'!BA17,MS!BA17,'MC + Vân hồ'!BA17,YC!BA17,PY!BA17,BY!BA17,SM!BA17,SC!BA17,TC!BA17,ML!BA17,QN!BA17,XL!BA17,'XL (BHTP1)'!BA17,'XL (BHTP2)'!BA17)</f>
        <v>0</v>
      </c>
      <c r="BB17" s="13">
        <f>SUM('TP1'!BB17,'TP2'!BB17,MS!BB17,'MC + Vân hồ'!BB17,YC!BB17,PY!BB17,BY!BB17,SM!BB17,SC!BB17,TC!BB17,ML!BB17,QN!BB17,XL!BB17,'XL (BHTP1)'!BB17,'XL (BHTP2)'!BB17)</f>
        <v>0</v>
      </c>
      <c r="BC17" s="13">
        <f>SUM('TP1'!BC17,'TP2'!BC17,MS!BC17,'MC + Vân hồ'!BC17,YC!BC17,PY!BC17,BY!BC17,SM!BC17,SC!BC17,TC!BC17,ML!BC17,QN!BC17,XL!BC17,'XL (BHTP1)'!BC17,'XL (BHTP2)'!BC17)</f>
        <v>0</v>
      </c>
      <c r="BD17" s="13">
        <f>SUM('TP1'!BD17,'TP2'!BD17,MS!BD17,'MC + Vân hồ'!BD17,YC!BD17,PY!BD17,BY!BD17,SM!BD17,SC!BD17,TC!BD17,ML!BD17,QN!BD17,XL!BD17,'XL (BHTP1)'!BD17,'XL (BHTP2)'!BD17)</f>
        <v>0</v>
      </c>
      <c r="BE17" s="13">
        <f>SUM('TP1'!BE17,'TP2'!BE17,MS!BE17,'MC + Vân hồ'!BE17,YC!BE17,PY!BE17,BY!BE17,SM!BE17,SC!BE17,TC!BE17,ML!BE17,QN!BE17,XL!BE17,'XL (BHTP1)'!BE17,'XL (BHTP2)'!BE17)</f>
        <v>0</v>
      </c>
      <c r="BF17" s="13">
        <f>SUM('TP1'!BF17,'TP2'!BF17,MS!BF17,'MC + Vân hồ'!BF17,YC!BF17,PY!BF17,BY!BF17,SM!BF17,SC!BF17,TC!BF17,ML!BF17,QN!BF17,XL!BF17,'XL (BHTP1)'!BF17,'XL (BHTP2)'!BF17)</f>
        <v>0</v>
      </c>
      <c r="BG17" s="13">
        <f>SUM('TP1'!BG17,'TP2'!BG17,MS!BG17,'MC + Vân hồ'!BG17,YC!BG17,PY!BG17,BY!BG17,SM!BG17,SC!BG17,TC!BG17,ML!BG17,QN!BG17,XL!BG17,'XL (BHTP1)'!BG17,'XL (BHTP2)'!BG17)</f>
        <v>0</v>
      </c>
      <c r="BH17" s="13">
        <f>SUM('TP1'!BH17,'TP2'!BH17,MS!BH17,'MC + Vân hồ'!BH17,YC!BH17,PY!BH17,BY!BH17,SM!BH17,SC!BH17,TC!BH17,ML!BH17,QN!BH17,XL!BH17,'XL (BHTP1)'!BH17,'XL (BHTP2)'!BH17)</f>
        <v>0</v>
      </c>
      <c r="BI17" s="13">
        <f>SUM('TP1'!BI17,'TP2'!BI17,MS!BI17,'MC + Vân hồ'!BI17,YC!BI17,PY!BI17,BY!BI17,SM!BI17,SC!BI17,TC!BI17,ML!BI17,QN!BI17,XL!BI17,'XL (BHTP1)'!BI17,'XL (BHTP2)'!BI17)</f>
        <v>0</v>
      </c>
      <c r="BJ17" s="13">
        <f>SUM('TP1'!BJ17,'TP2'!BJ17,MS!BJ17,'MC + Vân hồ'!BJ17,YC!BJ17,PY!BJ17,BY!BJ17,SM!BJ17,SC!BJ17,TC!BJ17,ML!BJ17,QN!BJ17,XL!BJ17,'XL (BHTP1)'!BJ17,'XL (BHTP2)'!BJ17)</f>
        <v>0</v>
      </c>
      <c r="BK17" s="13">
        <f>SUM('TP1'!BK17,'TP2'!BK17,MS!BK17,'MC + Vân hồ'!BK17,YC!BK17,PY!BK17,BY!BK17,SM!BK17,SC!BK17,TC!BK17,ML!BK17,QN!BK17,XL!BK17,'XL (BHTP1)'!BK17,'XL (BHTP2)'!BK17)</f>
        <v>0</v>
      </c>
      <c r="BL17" s="13">
        <f>SUM('TP1'!BL17,'TP2'!BL17,MS!BL17,'MC + Vân hồ'!BL17,YC!BL17,PY!BL17,BY!BL17,SM!BL17,SC!BL17,TC!BL17,ML!BL17,QN!BL17,XL!BL17,'XL (BHTP1)'!BL17,'XL (BHTP2)'!BL17)</f>
        <v>0</v>
      </c>
      <c r="BM17" s="13">
        <f>SUM('TP1'!BM17,'TP2'!BM17,MS!BM17,'MC + Vân hồ'!BM17,YC!BM17,PY!BM17,BY!BM17,SM!BM17,SC!BM17,TC!BM17,ML!BM17,QN!BM17,XL!BM17,'XL (BHTP1)'!BM17,'XL (BHTP2)'!BM17)</f>
        <v>0</v>
      </c>
      <c r="BN17" s="13">
        <f>SUM('TP1'!BN17,'TP2'!BN17,MS!BN17,'MC + Vân hồ'!BN17,YC!BN17,PY!BN17,BY!BN17,SM!BN17,SC!BN17,TC!BN17,ML!BN17,QN!BN17,XL!BN17,'XL (BHTP1)'!BN17,'XL (BHTP2)'!BN17)</f>
        <v>0</v>
      </c>
      <c r="BO17" s="13">
        <f>SUM('TP1'!BO17,'TP2'!BO17,MS!BO17,'MC + Vân hồ'!BO17,YC!BO17,PY!BO17,BY!BO17,SM!BO17,SC!BO17,TC!BO17,ML!BO17,QN!BO17,XL!BO17,'XL (BHTP1)'!BO17,'XL (BHTP2)'!BO17)</f>
        <v>0</v>
      </c>
      <c r="BP17" s="13">
        <f>SUM('TP1'!BP17,'TP2'!BP17,MS!BP17,'MC + Vân hồ'!BP17,YC!BP17,PY!BP17,BY!BP17,SM!BP17,SC!BP17,TC!BP17,ML!BP17,QN!BP17,XL!BP17,'XL (BHTP1)'!BP17,'XL (BHTP2)'!BP17)</f>
        <v>0</v>
      </c>
      <c r="BQ17" s="13">
        <f>SUM('TP1'!BQ17,'TP2'!BQ17,MS!BQ17,'MC + Vân hồ'!BQ17,YC!BQ17,PY!BQ17,BY!BQ17,SM!BQ17,SC!BQ17,TC!BQ17,ML!BQ17,QN!BQ17,XL!BQ17,'XL (BHTP1)'!BQ17,'XL (BHTP2)'!BQ17)</f>
        <v>0</v>
      </c>
      <c r="BR17" s="13">
        <f>SUM('TP1'!BR17,'TP2'!BR17,MS!BR17,'MC + Vân hồ'!BR17,YC!BR17,PY!BR17,BY!BR17,SM!BR17,SC!BR17,TC!BR17,ML!BR17,QN!BR17,XL!BR17,'XL (BHTP1)'!BR17,'XL (BHTP2)'!BR17)</f>
        <v>0</v>
      </c>
      <c r="BS17" s="13">
        <f>SUM('TP1'!BS17,'TP2'!BS17,MS!BS17,'MC + Vân hồ'!BS17,YC!BS17,PY!BS17,BY!BS17,SM!BS17,SC!BS17,TC!BS17,ML!BS17,QN!BS17,XL!BS17,'XL (BHTP1)'!BS17,'XL (BHTP2)'!BS17)</f>
        <v>0</v>
      </c>
      <c r="BT17" s="13">
        <f>SUM('TP1'!BT17,'TP2'!BT17,MS!BT17,'MC + Vân hồ'!BT17,YC!BT17,PY!BT17,BY!BT17,SM!BT17,SC!BT17,TC!BT17,ML!BT17,QN!BT17,XL!BT17,'XL (BHTP1)'!BT17,'XL (BHTP2)'!BT17)</f>
        <v>0</v>
      </c>
      <c r="BU17" s="13">
        <f>SUM('TP1'!BU17,'TP2'!BU17,MS!BU17,'MC + Vân hồ'!BU17,YC!BU17,PY!BU17,BY!BU17,SM!BU17,SC!BU17,TC!BU17,ML!BU17,QN!BU17,XL!BU17,'XL (BHTP1)'!BU17,'XL (BHTP2)'!BU17)</f>
        <v>0</v>
      </c>
      <c r="BV17" s="13">
        <f>SUM('TP1'!BV17,'TP2'!BV17,MS!BV17,'MC + Vân hồ'!BV17,YC!BV17,PY!BV17,BY!BV17,SM!BV17,SC!BV17,TC!BV17,ML!BV17,QN!BV17,XL!BV17,'XL (BHTP1)'!BV17,'XL (BHTP2)'!BV17)</f>
        <v>0</v>
      </c>
      <c r="BW17" s="13">
        <f>SUM('TP1'!BW17,'TP2'!BW17,MS!BW17,'MC + Vân hồ'!BW17,YC!BW17,PY!BW17,BY!BW17,SM!BW17,SC!BW17,TC!BW17,ML!BW17,QN!BW17,XL!BW17,'XL (BHTP1)'!BW17,'XL (BHTP2)'!BW17)</f>
        <v>0</v>
      </c>
      <c r="BX17" s="13">
        <f>SUM('TP1'!BX17,'TP2'!BX17,MS!BX17,'MC + Vân hồ'!BX17,YC!BX17,PY!BX17,BY!BX17,SM!BX17,SC!BX17,TC!BX17,ML!BX17,QN!BX17,XL!BX17,'XL (BHTP1)'!BX17,'XL (BHTP2)'!BX17)</f>
        <v>0</v>
      </c>
      <c r="BY17" s="13">
        <f>SUM('TP1'!BY17,'TP2'!BY17,MS!BY17,'MC + Vân hồ'!BY17,YC!BY17,PY!BY17,BY!BY17,SM!BY17,SC!BY17,TC!BY17,ML!BY17,QN!BY17,XL!BY17,'XL (BHTP1)'!BY17,'XL (BHTP2)'!BY17)</f>
        <v>0</v>
      </c>
      <c r="BZ17" s="13">
        <f>SUM('TP1'!BZ17,'TP2'!BZ17,MS!BZ17,'MC + Vân hồ'!BZ17,YC!BZ17,PY!BZ17,BY!BZ17,SM!BZ17,SC!BZ17,TC!BZ17,ML!BZ17,QN!BZ17,XL!BZ17,'XL (BHTP1)'!BZ17,'XL (BHTP2)'!BZ17)</f>
        <v>0</v>
      </c>
      <c r="CA17" s="13">
        <f>SUM('TP1'!CA17,'TP2'!CA17,MS!CA17,'MC + Vân hồ'!CA17,YC!CA17,PY!CA17,BY!CA17,SM!CA17,SC!CA17,TC!CA17,ML!CA17,QN!CA17,XL!CA17,'XL (BHTP1)'!CA17,'XL (BHTP2)'!CA17)</f>
        <v>0</v>
      </c>
      <c r="CB17" s="13">
        <f>SUM('TP1'!CB17,'TP2'!CB17,MS!CB17,'MC + Vân hồ'!CB17,YC!CB17,PY!CB17,BY!CB17,SM!CB17,SC!CB17,TC!CB17,ML!CB17,QN!CB17,XL!CB17,'XL (BHTP1)'!CB17,'XL (BHTP2)'!CB17)</f>
        <v>0</v>
      </c>
      <c r="CC17" s="13">
        <f>SUM('TP1'!CC17,'TP2'!CC17,MS!CC17,'MC + Vân hồ'!CC17,YC!CC17,PY!CC17,BY!CC17,SM!CC17,SC!CC17,TC!CC17,ML!CC17,QN!CC17,XL!CC17,'XL (BHTP1)'!CC17,'XL (BHTP2)'!CC17)</f>
        <v>0</v>
      </c>
      <c r="CD17" s="13">
        <f>SUM('TP1'!CD17,'TP2'!CD17,MS!CD17,'MC + Vân hồ'!CD17,YC!CD17,PY!CD17,BY!CD17,SM!CD17,SC!CD17,TC!CD17,ML!CD17,QN!CD17,XL!CD17,'XL (BHTP1)'!CD17,'XL (BHTP2)'!CD17)</f>
        <v>0</v>
      </c>
      <c r="CE17" s="13">
        <f>SUM('TP1'!CE17,'TP2'!CE17,MS!CE17,'MC + Vân hồ'!CE17,YC!CE17,PY!CE17,BY!CE17,SM!CE17,SC!CE17,TC!CE17,ML!CE17,QN!CE17,XL!CE17,'XL (BHTP1)'!CE17,'XL (BHTP2)'!CE17)</f>
        <v>0</v>
      </c>
      <c r="CF17" s="13">
        <f>SUM('TP1'!CF17,'TP2'!CF17,MS!CF17,'MC + Vân hồ'!CF17,YC!CF17,PY!CF17,BY!CF17,SM!CF17,SC!CF17,TC!CF17,ML!CF17,QN!CF17,XL!CF17,'XL (BHTP1)'!CF17,'XL (BHTP2)'!CF17)</f>
        <v>0</v>
      </c>
      <c r="CG17" s="13">
        <f>SUM('TP1'!CG17,'TP2'!CG17,MS!CG17,'MC + Vân hồ'!CG17,YC!CG17,PY!CG17,BY!CG17,SM!CG17,SC!CG17,TC!CG17,ML!CG17,QN!CG17,XL!CG17,'XL (BHTP1)'!CG17,'XL (BHTP2)'!CG17)</f>
        <v>0</v>
      </c>
      <c r="CH17" s="13">
        <f>SUM('TP1'!CH17,'TP2'!CH17,MS!CH17,'MC + Vân hồ'!CH17,YC!CH17,PY!CH17,BY!CH17,SM!CH17,SC!CH17,TC!CH17,ML!CH17,QN!CH17,XL!CH17,'XL (BHTP1)'!CH17,'XL (BHTP2)'!CH17)</f>
        <v>0</v>
      </c>
      <c r="CI17" s="13">
        <f>SUM('TP1'!CI17,'TP2'!CI17,MS!CI17,'MC + Vân hồ'!CI17,YC!CI17,PY!CI17,BY!CI17,SM!CI17,SC!CI17,TC!CI17,ML!CI17,QN!CI17,XL!CI17,'XL (BHTP1)'!CI17,'XL (BHTP2)'!CI17)</f>
        <v>0</v>
      </c>
      <c r="CJ17" s="13">
        <f>SUM('TP1'!CJ17,'TP2'!CJ17,MS!CJ17,'MC + Vân hồ'!CJ17,YC!CJ17,PY!CJ17,BY!CJ17,SM!CJ17,SC!CJ17,TC!CJ17,ML!CJ17,QN!CJ17,XL!CJ17,'XL (BHTP1)'!CJ17,'XL (BHTP2)'!CJ17)</f>
        <v>0</v>
      </c>
      <c r="CK17" s="73">
        <f t="shared" ref="CK17:CQ17" si="13">SUM(E17,L17,S17,Z17,AG17,AN17,AU17,BB17,BI17,BP17,BW17,CD17)</f>
        <v>0</v>
      </c>
      <c r="CL17" s="73">
        <f t="shared" si="13"/>
        <v>0</v>
      </c>
      <c r="CM17" s="73">
        <f t="shared" si="13"/>
        <v>0</v>
      </c>
      <c r="CN17" s="73">
        <f t="shared" si="13"/>
        <v>0</v>
      </c>
      <c r="CO17" s="73">
        <f t="shared" si="13"/>
        <v>0</v>
      </c>
      <c r="CP17" s="73">
        <f t="shared" si="13"/>
        <v>0</v>
      </c>
      <c r="CQ17" s="73">
        <f t="shared" si="13"/>
        <v>0</v>
      </c>
      <c r="CR17" s="56"/>
      <c r="CS17" s="56">
        <f t="shared" si="3"/>
        <v>0</v>
      </c>
    </row>
    <row r="18" outlineLevel="1">
      <c r="B18" s="12" t="s">
        <v>49</v>
      </c>
      <c r="C18" s="12" t="s">
        <v>51</v>
      </c>
      <c r="D18" s="12" t="s">
        <v>26</v>
      </c>
      <c r="E18" s="13">
        <f>SUM('TP1'!E18,'TP2'!E18,MS!E18,'MC + Vân hồ'!E18,YC!E18,PY!E18,BY!E18,SM!E18,SC!E18,TC!E18,ML!E18,QN!E18,XL!E18,'XL (BHTP1)'!E18,'XL (BHTP2)'!E18)</f>
        <v>0</v>
      </c>
      <c r="F18" s="13">
        <f>SUM('TP1'!F18,'TP2'!F18,MS!F18,'MC + Vân hồ'!F18,YC!F18,PY!F18,BY!F18,SM!F18,SC!F18,TC!F18,ML!F18,QN!F18,XL!F18,'XL (BHTP1)'!F18,'XL (BHTP2)'!F18)</f>
        <v>0</v>
      </c>
      <c r="G18" s="13">
        <f>SUM('TP1'!G18,'TP2'!G18,MS!G18,'MC + Vân hồ'!G18,YC!G18,PY!G18,BY!G18,SM!G18,SC!G18,TC!G18,ML!G18,QN!G18,XL!G18,'XL (BHTP1)'!G18,'XL (BHTP2)'!G18)</f>
        <v>0</v>
      </c>
      <c r="H18" s="13">
        <f>SUM('TP1'!H18,'TP2'!H18,MS!H18,'MC + Vân hồ'!H18,YC!H18,PY!H18,BY!H18,SM!H18,SC!H18,TC!H18,ML!H18,QN!H18,XL!H18,'XL (BHTP1)'!H18,'XL (BHTP2)'!H18)</f>
        <v>0</v>
      </c>
      <c r="I18" s="13">
        <f>SUM('TP1'!I18,'TP2'!I18,MS!I18,'MC + Vân hồ'!I18,YC!I18,PY!I18,BY!I18,SM!I18,SC!I18,TC!I18,ML!I18,QN!I18,XL!I18,'XL (BHTP1)'!I18,'XL (BHTP2)'!I18)</f>
        <v>0</v>
      </c>
      <c r="J18" s="13">
        <f>SUM('TP1'!J18,'TP2'!J18,MS!J18,'MC + Vân hồ'!J18,YC!J18,PY!J18,BY!J18,SM!J18,SC!J18,TC!J18,ML!J18,QN!J18,XL!J18,'XL (BHTP1)'!J18,'XL (BHTP2)'!J18)</f>
        <v>0</v>
      </c>
      <c r="K18" s="13">
        <f>SUM('TP1'!K18,'TP2'!K18,MS!K18,'MC + Vân hồ'!K18,YC!K18,PY!K18,BY!K18,SM!K18,SC!K18,TC!K18,ML!K18,QN!K18,XL!K18,'XL (BHTP1)'!K18,'XL (BHTP2)'!K18)</f>
        <v>0</v>
      </c>
      <c r="L18" s="13">
        <f>SUM('TP1'!L18,'TP2'!L18,MS!L18,'MC + Vân hồ'!L18,YC!L18,PY!L18,BY!L18,SM!L18,SC!L18,TC!L18,ML!L18,QN!L18,XL!L18,'XL (BHTP1)'!L18,'XL (BHTP2)'!L18)</f>
        <v>0</v>
      </c>
      <c r="M18" s="13">
        <f>SUM('TP1'!M18,'TP2'!M18,MS!M18,'MC + Vân hồ'!M18,YC!M18,PY!M18,BY!M18,SM!M18,SC!M18,TC!M18,ML!M18,QN!M18,XL!M18,'XL (BHTP1)'!M18,'XL (BHTP2)'!M18)</f>
        <v>0</v>
      </c>
      <c r="N18" s="13">
        <f>SUM('TP1'!N18,'TP2'!N18,MS!N18,'MC + Vân hồ'!N18,YC!N18,PY!N18,BY!N18,SM!N18,SC!N18,TC!N18,ML!N18,QN!N18,XL!N18,'XL (BHTP1)'!N18,'XL (BHTP2)'!N18)</f>
        <v>0</v>
      </c>
      <c r="O18" s="13">
        <f>SUM('TP1'!O18,'TP2'!O18,MS!O18,'MC + Vân hồ'!O18,YC!O18,PY!O18,BY!O18,SM!O18,SC!O18,TC!O18,ML!O18,QN!O18,XL!O18,'XL (BHTP1)'!O18,'XL (BHTP2)'!O18)</f>
        <v>0</v>
      </c>
      <c r="P18" s="13">
        <f>SUM('TP1'!P18,'TP2'!P18,MS!P18,'MC + Vân hồ'!P18,YC!P18,PY!P18,BY!P18,SM!P18,SC!P18,TC!P18,ML!P18,QN!P18,XL!P18,'XL (BHTP1)'!P18,'XL (BHTP2)'!P18)</f>
        <v>0</v>
      </c>
      <c r="Q18" s="13">
        <f>SUM('TP1'!Q18,'TP2'!Q18,MS!Q18,'MC + Vân hồ'!Q18,YC!Q18,PY!Q18,BY!Q18,SM!Q18,SC!Q18,TC!Q18,ML!Q18,QN!Q18,XL!Q18,'XL (BHTP1)'!Q18,'XL (BHTP2)'!Q18)</f>
        <v>0</v>
      </c>
      <c r="R18" s="13">
        <f>SUM('TP1'!R18,'TP2'!R18,MS!R18,'MC + Vân hồ'!R18,YC!R18,PY!R18,BY!R18,SM!R18,SC!R18,TC!R18,ML!R18,QN!R18,XL!R18,'XL (BHTP1)'!R18,'XL (BHTP2)'!R18)</f>
        <v>0</v>
      </c>
      <c r="S18" s="13">
        <f>SUM('TP1'!S18,'TP2'!S18,MS!S18,'MC + Vân hồ'!S18,YC!S18,PY!S18,BY!S18,SM!S18,SC!S18,TC!S18,ML!S18,QN!S18,XL!S18,'XL (BHTP1)'!S18,'XL (BHTP2)'!S18)</f>
        <v>0</v>
      </c>
      <c r="T18" s="13">
        <f>SUM('TP1'!T18,'TP2'!T18,MS!T18,'MC + Vân hồ'!T18,YC!T18,PY!T18,BY!T18,SM!T18,SC!T18,TC!T18,ML!T18,QN!T18,XL!T18,'XL (BHTP1)'!T18,'XL (BHTP2)'!T18)</f>
        <v>0</v>
      </c>
      <c r="U18" s="13">
        <f>SUM('TP1'!U18,'TP2'!U18,MS!U18,'MC + Vân hồ'!U18,YC!U18,PY!U18,BY!U18,SM!U18,SC!U18,TC!U18,ML!U18,QN!U18,XL!U18,'XL (BHTP1)'!U18,'XL (BHTP2)'!U18)</f>
        <v>0</v>
      </c>
      <c r="V18" s="13">
        <f>SUM('TP1'!V18,'TP2'!V18,MS!V18,'MC + Vân hồ'!V18,YC!V18,PY!V18,BY!V18,SM!V18,SC!V18,TC!V18,ML!V18,QN!V18,XL!V18,'XL (BHTP1)'!V18,'XL (BHTP2)'!V18)</f>
        <v>0</v>
      </c>
      <c r="W18" s="13">
        <f>SUM('TP1'!W18,'TP2'!W18,MS!W18,'MC + Vân hồ'!W18,YC!W18,PY!W18,BY!W18,SM!W18,SC!W18,TC!W18,ML!W18,QN!W18,XL!W18,'XL (BHTP1)'!W18,'XL (BHTP2)'!W18)</f>
        <v>0</v>
      </c>
      <c r="X18" s="13">
        <f>SUM('TP1'!X18,'TP2'!X18,MS!X18,'MC + Vân hồ'!X18,YC!X18,PY!X18,BY!X18,SM!X18,SC!X18,TC!X18,ML!X18,QN!X18,XL!X18,'XL (BHTP1)'!X18,'XL (BHTP2)'!X18)</f>
        <v>0</v>
      </c>
      <c r="Y18" s="13">
        <f>SUM('TP1'!Y18,'TP2'!Y18,MS!Y18,'MC + Vân hồ'!Y18,YC!Y18,PY!Y18,BY!Y18,SM!Y18,SC!Y18,TC!Y18,ML!Y18,QN!Y18,XL!Y18,'XL (BHTP1)'!Y18,'XL (BHTP2)'!Y18)</f>
        <v>0</v>
      </c>
      <c r="Z18" s="13">
        <f>SUM('TP1'!Z18,'TP2'!Z18,MS!Z18,'MC + Vân hồ'!Z18,YC!Z18,PY!Z18,BY!Z18,SM!Z18,SC!Z18,TC!Z18,ML!Z18,QN!Z18,XL!Z18,'XL (BHTP1)'!Z18,'XL (BHTP2)'!Z18)</f>
        <v>0</v>
      </c>
      <c r="AA18" s="13">
        <f>SUM('TP1'!AA18,'TP2'!AA18,MS!AA18,'MC + Vân hồ'!AA18,YC!AA18,PY!AA18,BY!AA18,SM!AA18,SC!AA18,TC!AA18,ML!AA18,QN!AA18,XL!AA18,'XL (BHTP1)'!AA18,'XL (BHTP2)'!AA18)</f>
        <v>1</v>
      </c>
      <c r="AB18" s="13">
        <f>SUM('TP1'!AB18,'TP2'!AB18,MS!AB18,'MC + Vân hồ'!AB18,YC!AB18,PY!AB18,BY!AB18,SM!AB18,SC!AB18,TC!AB18,ML!AB18,QN!AB18,XL!AB18,'XL (BHTP1)'!AB18,'XL (BHTP2)'!AB18)</f>
        <v>1</v>
      </c>
      <c r="AC18" s="13">
        <f>SUM('TP1'!AC18,'TP2'!AC18,MS!AC18,'MC + Vân hồ'!AC18,YC!AC18,PY!AC18,BY!AC18,SM!AC18,SC!AC18,TC!AC18,ML!AC18,QN!AC18,XL!AC18,'XL (BHTP1)'!AC18,'XL (BHTP2)'!AC18)</f>
        <v>0</v>
      </c>
      <c r="AD18" s="13">
        <f>SUM('TP1'!AD18,'TP2'!AD18,MS!AD18,'MC + Vân hồ'!AD18,YC!AD18,PY!AD18,BY!AD18,SM!AD18,SC!AD18,TC!AD18,ML!AD18,QN!AD18,XL!AD18,'XL (BHTP1)'!AD18,'XL (BHTP2)'!AD18)</f>
        <v>0</v>
      </c>
      <c r="AE18" s="13">
        <f>SUM('TP1'!AE18,'TP2'!AE18,MS!AE18,'MC + Vân hồ'!AE18,YC!AE18,PY!AE18,BY!AE18,SM!AE18,SC!AE18,TC!AE18,ML!AE18,QN!AE18,XL!AE18,'XL (BHTP1)'!AE18,'XL (BHTP2)'!AE18)</f>
        <v>0</v>
      </c>
      <c r="AF18" s="13">
        <f>SUM('TP1'!AF18,'TP2'!AF18,MS!AF18,'MC + Vân hồ'!AF18,YC!AF18,PY!AF18,BY!AF18,SM!AF18,SC!AF18,TC!AF18,ML!AF18,QN!AF18,XL!AF18,'XL (BHTP1)'!AF18,'XL (BHTP2)'!AF18)</f>
        <v>0</v>
      </c>
      <c r="AG18" s="13">
        <f>SUM('TP1'!AG18,'TP2'!AG18,MS!AG18,'MC + Vân hồ'!AG18,YC!AG18,PY!AG18,BY!AG18,SM!AG18,SC!AG18,TC!AG18,ML!AG18,QN!AG18,XL!AG18,'XL (BHTP1)'!AG18,'XL (BHTP2)'!AG18)</f>
        <v>0</v>
      </c>
      <c r="AH18" s="13">
        <f>SUM('TP1'!AH18,'TP2'!AH18,MS!AH18,'MC + Vân hồ'!AH18,YC!AH18,PY!AH18,BY!AH18,SM!AH18,SC!AH18,TC!AH18,ML!AH18,QN!AH18,XL!AH18,'XL (BHTP1)'!AH18,'XL (BHTP2)'!AH18)</f>
        <v>0</v>
      </c>
      <c r="AI18" s="13">
        <f>SUM('TP1'!AI18,'TP2'!AI18,MS!AI18,'MC + Vân hồ'!AI18,YC!AI18,PY!AI18,BY!AI18,SM!AI18,SC!AI18,TC!AI18,ML!AI18,QN!AI18,XL!AI18,'XL (BHTP1)'!AI18,'XL (BHTP2)'!AI18)</f>
        <v>0</v>
      </c>
      <c r="AJ18" s="13">
        <f>SUM('TP1'!AJ18,'TP2'!AJ18,MS!AJ18,'MC + Vân hồ'!AJ18,YC!AJ18,PY!AJ18,BY!AJ18,SM!AJ18,SC!AJ18,TC!AJ18,ML!AJ18,QN!AJ18,XL!AJ18,'XL (BHTP1)'!AJ18,'XL (BHTP2)'!AJ18)</f>
        <v>0</v>
      </c>
      <c r="AK18" s="13">
        <f>SUM('TP1'!AK18,'TP2'!AK18,MS!AK18,'MC + Vân hồ'!AK18,YC!AK18,PY!AK18,BY!AK18,SM!AK18,SC!AK18,TC!AK18,ML!AK18,QN!AK18,XL!AK18,'XL (BHTP1)'!AK18,'XL (BHTP2)'!AK18)</f>
        <v>0</v>
      </c>
      <c r="AL18" s="13">
        <f>SUM('TP1'!AL18,'TP2'!AL18,MS!AL18,'MC + Vân hồ'!AL18,YC!AL18,PY!AL18,BY!AL18,SM!AL18,SC!AL18,TC!AL18,ML!AL18,QN!AL18,XL!AL18,'XL (BHTP1)'!AL18,'XL (BHTP2)'!AL18)</f>
        <v>0</v>
      </c>
      <c r="AM18" s="13">
        <f>SUM('TP1'!AM18,'TP2'!AM18,MS!AM18,'MC + Vân hồ'!AM18,YC!AM18,PY!AM18,BY!AM18,SM!AM18,SC!AM18,TC!AM18,ML!AM18,QN!AM18,XL!AM18,'XL (BHTP1)'!AM18,'XL (BHTP2)'!AM18)</f>
        <v>0</v>
      </c>
      <c r="AN18" s="13">
        <f>SUM('TP1'!AN18,'TP2'!AN18,MS!AN18,'MC + Vân hồ'!AN18,YC!AN18,PY!AN18,BY!AN18,SM!AN18,SC!AN18,TC!AN18,ML!AN18,QN!AN18,XL!AN18,'XL (BHTP1)'!AN18,'XL (BHTP2)'!AN18)</f>
        <v>0</v>
      </c>
      <c r="AO18" s="13">
        <f>SUM('TP1'!AO18,'TP2'!AO18,MS!AO18,'MC + Vân hồ'!AO18,YC!AO18,PY!AO18,BY!AO18,SM!AO18,SC!AO18,TC!AO18,ML!AO18,QN!AO18,XL!AO18,'XL (BHTP1)'!AO18,'XL (BHTP2)'!AO18)</f>
        <v>0</v>
      </c>
      <c r="AP18" s="13">
        <f>SUM('TP1'!AP18,'TP2'!AP18,MS!AP18,'MC + Vân hồ'!AP18,YC!AP18,PY!AP18,BY!AP18,SM!AP18,SC!AP18,TC!AP18,ML!AP18,QN!AP18,XL!AP18,'XL (BHTP1)'!AP18,'XL (BHTP2)'!AP18)</f>
        <v>0</v>
      </c>
      <c r="AQ18" s="13">
        <f>SUM('TP1'!AQ18,'TP2'!AQ18,MS!AQ18,'MC + Vân hồ'!AQ18,YC!AQ18,PY!AQ18,BY!AQ18,SM!AQ18,SC!AQ18,TC!AQ18,ML!AQ18,QN!AQ18,XL!AQ18,'XL (BHTP1)'!AQ18,'XL (BHTP2)'!AQ18)</f>
        <v>0</v>
      </c>
      <c r="AR18" s="13">
        <f>SUM('TP1'!AR18,'TP2'!AR18,MS!AR18,'MC + Vân hồ'!AR18,YC!AR18,PY!AR18,BY!AR18,SM!AR18,SC!AR18,TC!AR18,ML!AR18,QN!AR18,XL!AR18,'XL (BHTP1)'!AR18,'XL (BHTP2)'!AR18)</f>
        <v>0</v>
      </c>
      <c r="AS18" s="13">
        <f>SUM('TP1'!AS18,'TP2'!AS18,MS!AS18,'MC + Vân hồ'!AS18,YC!AS18,PY!AS18,BY!AS18,SM!AS18,SC!AS18,TC!AS18,ML!AS18,QN!AS18,XL!AS18,'XL (BHTP1)'!AS18,'XL (BHTP2)'!AS18)</f>
        <v>0</v>
      </c>
      <c r="AT18" s="13">
        <f>SUM('TP1'!AT18,'TP2'!AT18,MS!AT18,'MC + Vân hồ'!AT18,YC!AT18,PY!AT18,BY!AT18,SM!AT18,SC!AT18,TC!AT18,ML!AT18,QN!AT18,XL!AT18,'XL (BHTP1)'!AT18,'XL (BHTP2)'!AT18)</f>
        <v>0</v>
      </c>
      <c r="AU18" s="13">
        <f>SUM('TP1'!AU18,'TP2'!AU18,MS!AU18,'MC + Vân hồ'!AU18,YC!AU18,PY!AU18,BY!AU18,SM!AU18,SC!AU18,TC!AU18,ML!AU18,QN!AU18,XL!AU18,'XL (BHTP1)'!AU18,'XL (BHTP2)'!AU18)</f>
        <v>0</v>
      </c>
      <c r="AV18" s="13">
        <f>SUM('TP1'!AV18,'TP2'!AV18,MS!AV18,'MC + Vân hồ'!AV18,YC!AV18,PY!AV18,BY!AV18,SM!AV18,SC!AV18,TC!AV18,ML!AV18,QN!AV18,XL!AV18,'XL (BHTP1)'!AV18,'XL (BHTP2)'!AV18)</f>
        <v>0</v>
      </c>
      <c r="AW18" s="13">
        <f>SUM('TP1'!AW18,'TP2'!AW18,MS!AW18,'MC + Vân hồ'!AW18,YC!AW18,PY!AW18,BY!AW18,SM!AW18,SC!AW18,TC!AW18,ML!AW18,QN!AW18,XL!AW18,'XL (BHTP1)'!AW18,'XL (BHTP2)'!AW18)</f>
        <v>1</v>
      </c>
      <c r="AX18" s="13">
        <f>SUM('TP1'!AX18,'TP2'!AX18,MS!AX18,'MC + Vân hồ'!AX18,YC!AX18,PY!AX18,BY!AX18,SM!AX18,SC!AX18,TC!AX18,ML!AX18,QN!AX18,XL!AX18,'XL (BHTP1)'!AX18,'XL (BHTP2)'!AX18)</f>
        <v>0</v>
      </c>
      <c r="AY18" s="13">
        <f>SUM('TP1'!AY18,'TP2'!AY18,MS!AY18,'MC + Vân hồ'!AY18,YC!AY18,PY!AY18,BY!AY18,SM!AY18,SC!AY18,TC!AY18,ML!AY18,QN!AY18,XL!AY18,'XL (BHTP1)'!AY18,'XL (BHTP2)'!AY18)</f>
        <v>0</v>
      </c>
      <c r="AZ18" s="13">
        <f>SUM('TP1'!AZ18,'TP2'!AZ18,MS!AZ18,'MC + Vân hồ'!AZ18,YC!AZ18,PY!AZ18,BY!AZ18,SM!AZ18,SC!AZ18,TC!AZ18,ML!AZ18,QN!AZ18,XL!AZ18,'XL (BHTP1)'!AZ18,'XL (BHTP2)'!AZ18)</f>
        <v>0</v>
      </c>
      <c r="BA18" s="13">
        <f>SUM('TP1'!BA18,'TP2'!BA18,MS!BA18,'MC + Vân hồ'!BA18,YC!BA18,PY!BA18,BY!BA18,SM!BA18,SC!BA18,TC!BA18,ML!BA18,QN!BA18,XL!BA18,'XL (BHTP1)'!BA18,'XL (BHTP2)'!BA18)</f>
        <v>0</v>
      </c>
      <c r="BB18" s="13">
        <f>SUM('TP1'!BB18,'TP2'!BB18,MS!BB18,'MC + Vân hồ'!BB18,YC!BB18,PY!BB18,BY!BB18,SM!BB18,SC!BB18,TC!BB18,ML!BB18,QN!BB18,XL!BB18,'XL (BHTP1)'!BB18,'XL (BHTP2)'!BB18)</f>
        <v>0</v>
      </c>
      <c r="BC18" s="13">
        <f>SUM('TP1'!BC18,'TP2'!BC18,MS!BC18,'MC + Vân hồ'!BC18,YC!BC18,PY!BC18,BY!BC18,SM!BC18,SC!BC18,TC!BC18,ML!BC18,QN!BC18,XL!BC18,'XL (BHTP1)'!BC18,'XL (BHTP2)'!BC18)</f>
        <v>1</v>
      </c>
      <c r="BD18" s="13">
        <f>SUM('TP1'!BD18,'TP2'!BD18,MS!BD18,'MC + Vân hồ'!BD18,YC!BD18,PY!BD18,BY!BD18,SM!BD18,SC!BD18,TC!BD18,ML!BD18,QN!BD18,XL!BD18,'XL (BHTP1)'!BD18,'XL (BHTP2)'!BD18)</f>
        <v>1</v>
      </c>
      <c r="BE18" s="13">
        <f>SUM('TP1'!BE18,'TP2'!BE18,MS!BE18,'MC + Vân hồ'!BE18,YC!BE18,PY!BE18,BY!BE18,SM!BE18,SC!BE18,TC!BE18,ML!BE18,QN!BE18,XL!BE18,'XL (BHTP1)'!BE18,'XL (BHTP2)'!BE18)</f>
        <v>0</v>
      </c>
      <c r="BF18" s="13">
        <f>SUM('TP1'!BF18,'TP2'!BF18,MS!BF18,'MC + Vân hồ'!BF18,YC!BF18,PY!BF18,BY!BF18,SM!BF18,SC!BF18,TC!BF18,ML!BF18,QN!BF18,XL!BF18,'XL (BHTP1)'!BF18,'XL (BHTP2)'!BF18)</f>
        <v>0</v>
      </c>
      <c r="BG18" s="13">
        <f>SUM('TP1'!BG18,'TP2'!BG18,MS!BG18,'MC + Vân hồ'!BG18,YC!BG18,PY!BG18,BY!BG18,SM!BG18,SC!BG18,TC!BG18,ML!BG18,QN!BG18,XL!BG18,'XL (BHTP1)'!BG18,'XL (BHTP2)'!BG18)</f>
        <v>0</v>
      </c>
      <c r="BH18" s="13">
        <f>SUM('TP1'!BH18,'TP2'!BH18,MS!BH18,'MC + Vân hồ'!BH18,YC!BH18,PY!BH18,BY!BH18,SM!BH18,SC!BH18,TC!BH18,ML!BH18,QN!BH18,XL!BH18,'XL (BHTP1)'!BH18,'XL (BHTP2)'!BH18)</f>
        <v>0</v>
      </c>
      <c r="BI18" s="13">
        <f>SUM('TP1'!BI18,'TP2'!BI18,MS!BI18,'MC + Vân hồ'!BI18,YC!BI18,PY!BI18,BY!BI18,SM!BI18,SC!BI18,TC!BI18,ML!BI18,QN!BI18,XL!BI18,'XL (BHTP1)'!BI18,'XL (BHTP2)'!BI18)</f>
        <v>0</v>
      </c>
      <c r="BJ18" s="13">
        <f>SUM('TP1'!BJ18,'TP2'!BJ18,MS!BJ18,'MC + Vân hồ'!BJ18,YC!BJ18,PY!BJ18,BY!BJ18,SM!BJ18,SC!BJ18,TC!BJ18,ML!BJ18,QN!BJ18,XL!BJ18,'XL (BHTP1)'!BJ18,'XL (BHTP2)'!BJ18)</f>
        <v>0</v>
      </c>
      <c r="BK18" s="13">
        <f>SUM('TP1'!BK18,'TP2'!BK18,MS!BK18,'MC + Vân hồ'!BK18,YC!BK18,PY!BK18,BY!BK18,SM!BK18,SC!BK18,TC!BK18,ML!BK18,QN!BK18,XL!BK18,'XL (BHTP1)'!BK18,'XL (BHTP2)'!BK18)</f>
        <v>0</v>
      </c>
      <c r="BL18" s="13">
        <f>SUM('TP1'!BL18,'TP2'!BL18,MS!BL18,'MC + Vân hồ'!BL18,YC!BL18,PY!BL18,BY!BL18,SM!BL18,SC!BL18,TC!BL18,ML!BL18,QN!BL18,XL!BL18,'XL (BHTP1)'!BL18,'XL (BHTP2)'!BL18)</f>
        <v>0</v>
      </c>
      <c r="BM18" s="13">
        <f>SUM('TP1'!BM18,'TP2'!BM18,MS!BM18,'MC + Vân hồ'!BM18,YC!BM18,PY!BM18,BY!BM18,SM!BM18,SC!BM18,TC!BM18,ML!BM18,QN!BM18,XL!BM18,'XL (BHTP1)'!BM18,'XL (BHTP2)'!BM18)</f>
        <v>0</v>
      </c>
      <c r="BN18" s="13">
        <f>SUM('TP1'!BN18,'TP2'!BN18,MS!BN18,'MC + Vân hồ'!BN18,YC!BN18,PY!BN18,BY!BN18,SM!BN18,SC!BN18,TC!BN18,ML!BN18,QN!BN18,XL!BN18,'XL (BHTP1)'!BN18,'XL (BHTP2)'!BN18)</f>
        <v>0</v>
      </c>
      <c r="BO18" s="13">
        <f>SUM('TP1'!BO18,'TP2'!BO18,MS!BO18,'MC + Vân hồ'!BO18,YC!BO18,PY!BO18,BY!BO18,SM!BO18,SC!BO18,TC!BO18,ML!BO18,QN!BO18,XL!BO18,'XL (BHTP1)'!BO18,'XL (BHTP2)'!BO18)</f>
        <v>0</v>
      </c>
      <c r="BP18" s="13">
        <f>SUM('TP1'!BP18,'TP2'!BP18,MS!BP18,'MC + Vân hồ'!BP18,YC!BP18,PY!BP18,BY!BP18,SM!BP18,SC!BP18,TC!BP18,ML!BP18,QN!BP18,XL!BP18,'XL (BHTP1)'!BP18,'XL (BHTP2)'!BP18)</f>
        <v>0</v>
      </c>
      <c r="BQ18" s="13">
        <f>SUM('TP1'!BQ18,'TP2'!BQ18,MS!BQ18,'MC + Vân hồ'!BQ18,YC!BQ18,PY!BQ18,BY!BQ18,SM!BQ18,SC!BQ18,TC!BQ18,ML!BQ18,QN!BQ18,XL!BQ18,'XL (BHTP1)'!BQ18,'XL (BHTP2)'!BQ18)</f>
        <v>0</v>
      </c>
      <c r="BR18" s="13">
        <f>SUM('TP1'!BR18,'TP2'!BR18,MS!BR18,'MC + Vân hồ'!BR18,YC!BR18,PY!BR18,BY!BR18,SM!BR18,SC!BR18,TC!BR18,ML!BR18,QN!BR18,XL!BR18,'XL (BHTP1)'!BR18,'XL (BHTP2)'!BR18)</f>
        <v>0</v>
      </c>
      <c r="BS18" s="13">
        <f>SUM('TP1'!BS18,'TP2'!BS18,MS!BS18,'MC + Vân hồ'!BS18,YC!BS18,PY!BS18,BY!BS18,SM!BS18,SC!BS18,TC!BS18,ML!BS18,QN!BS18,XL!BS18,'XL (BHTP1)'!BS18,'XL (BHTP2)'!BS18)</f>
        <v>0</v>
      </c>
      <c r="BT18" s="13">
        <f>SUM('TP1'!BT18,'TP2'!BT18,MS!BT18,'MC + Vân hồ'!BT18,YC!BT18,PY!BT18,BY!BT18,SM!BT18,SC!BT18,TC!BT18,ML!BT18,QN!BT18,XL!BT18,'XL (BHTP1)'!BT18,'XL (BHTP2)'!BT18)</f>
        <v>0</v>
      </c>
      <c r="BU18" s="13">
        <f>SUM('TP1'!BU18,'TP2'!BU18,MS!BU18,'MC + Vân hồ'!BU18,YC!BU18,PY!BU18,BY!BU18,SM!BU18,SC!BU18,TC!BU18,ML!BU18,QN!BU18,XL!BU18,'XL (BHTP1)'!BU18,'XL (BHTP2)'!BU18)</f>
        <v>0</v>
      </c>
      <c r="BV18" s="13">
        <f>SUM('TP1'!BV18,'TP2'!BV18,MS!BV18,'MC + Vân hồ'!BV18,YC!BV18,PY!BV18,BY!BV18,SM!BV18,SC!BV18,TC!BV18,ML!BV18,QN!BV18,XL!BV18,'XL (BHTP1)'!BV18,'XL (BHTP2)'!BV18)</f>
        <v>0</v>
      </c>
      <c r="BW18" s="13">
        <f>SUM('TP1'!BW18,'TP2'!BW18,MS!BW18,'MC + Vân hồ'!BW18,YC!BW18,PY!BW18,BY!BW18,SM!BW18,SC!BW18,TC!BW18,ML!BW18,QN!BW18,XL!BW18,'XL (BHTP1)'!BW18,'XL (BHTP2)'!BW18)</f>
        <v>0</v>
      </c>
      <c r="BX18" s="13">
        <f>SUM('TP1'!BX18,'TP2'!BX18,MS!BX18,'MC + Vân hồ'!BX18,YC!BX18,PY!BX18,BY!BX18,SM!BX18,SC!BX18,TC!BX18,ML!BX18,QN!BX18,XL!BX18,'XL (BHTP1)'!BX18,'XL (BHTP2)'!BX18)</f>
        <v>0</v>
      </c>
      <c r="BY18" s="13">
        <f>SUM('TP1'!BY18,'TP2'!BY18,MS!BY18,'MC + Vân hồ'!BY18,YC!BY18,PY!BY18,BY!BY18,SM!BY18,SC!BY18,TC!BY18,ML!BY18,QN!BY18,XL!BY18,'XL (BHTP1)'!BY18,'XL (BHTP2)'!BY18)</f>
        <v>0</v>
      </c>
      <c r="BZ18" s="13">
        <f>SUM('TP1'!BZ18,'TP2'!BZ18,MS!BZ18,'MC + Vân hồ'!BZ18,YC!BZ18,PY!BZ18,BY!BZ18,SM!BZ18,SC!BZ18,TC!BZ18,ML!BZ18,QN!BZ18,XL!BZ18,'XL (BHTP1)'!BZ18,'XL (BHTP2)'!BZ18)</f>
        <v>0</v>
      </c>
      <c r="CA18" s="13">
        <f>SUM('TP1'!CA18,'TP2'!CA18,MS!CA18,'MC + Vân hồ'!CA18,YC!CA18,PY!CA18,BY!CA18,SM!CA18,SC!CA18,TC!CA18,ML!CA18,QN!CA18,XL!CA18,'XL (BHTP1)'!CA18,'XL (BHTP2)'!CA18)</f>
        <v>0</v>
      </c>
      <c r="CB18" s="13">
        <f>SUM('TP1'!CB18,'TP2'!CB18,MS!CB18,'MC + Vân hồ'!CB18,YC!CB18,PY!CB18,BY!CB18,SM!CB18,SC!CB18,TC!CB18,ML!CB18,QN!CB18,XL!CB18,'XL (BHTP1)'!CB18,'XL (BHTP2)'!CB18)</f>
        <v>0</v>
      </c>
      <c r="CC18" s="13">
        <f>SUM('TP1'!CC18,'TP2'!CC18,MS!CC18,'MC + Vân hồ'!CC18,YC!CC18,PY!CC18,BY!CC18,SM!CC18,SC!CC18,TC!CC18,ML!CC18,QN!CC18,XL!CC18,'XL (BHTP1)'!CC18,'XL (BHTP2)'!CC18)</f>
        <v>0</v>
      </c>
      <c r="CD18" s="13">
        <f>SUM('TP1'!CD18,'TP2'!CD18,MS!CD18,'MC + Vân hồ'!CD18,YC!CD18,PY!CD18,BY!CD18,SM!CD18,SC!CD18,TC!CD18,ML!CD18,QN!CD18,XL!CD18,'XL (BHTP1)'!CD18,'XL (BHTP2)'!CD18)</f>
        <v>0</v>
      </c>
      <c r="CE18" s="13">
        <f>SUM('TP1'!CE18,'TP2'!CE18,MS!CE18,'MC + Vân hồ'!CE18,YC!CE18,PY!CE18,BY!CE18,SM!CE18,SC!CE18,TC!CE18,ML!CE18,QN!CE18,XL!CE18,'XL (BHTP1)'!CE18,'XL (BHTP2)'!CE18)</f>
        <v>0</v>
      </c>
      <c r="CF18" s="13">
        <f>SUM('TP1'!CF18,'TP2'!CF18,MS!CF18,'MC + Vân hồ'!CF18,YC!CF18,PY!CF18,BY!CF18,SM!CF18,SC!CF18,TC!CF18,ML!CF18,QN!CF18,XL!CF18,'XL (BHTP1)'!CF18,'XL (BHTP2)'!CF18)</f>
        <v>0</v>
      </c>
      <c r="CG18" s="13">
        <f>SUM('TP1'!CG18,'TP2'!CG18,MS!CG18,'MC + Vân hồ'!CG18,YC!CG18,PY!CG18,BY!CG18,SM!CG18,SC!CG18,TC!CG18,ML!CG18,QN!CG18,XL!CG18,'XL (BHTP1)'!CG18,'XL (BHTP2)'!CG18)</f>
        <v>0</v>
      </c>
      <c r="CH18" s="13">
        <f>SUM('TP1'!CH18,'TP2'!CH18,MS!CH18,'MC + Vân hồ'!CH18,YC!CH18,PY!CH18,BY!CH18,SM!CH18,SC!CH18,TC!CH18,ML!CH18,QN!CH18,XL!CH18,'XL (BHTP1)'!CH18,'XL (BHTP2)'!CH18)</f>
        <v>0</v>
      </c>
      <c r="CI18" s="13">
        <f>SUM('TP1'!CI18,'TP2'!CI18,MS!CI18,'MC + Vân hồ'!CI18,YC!CI18,PY!CI18,BY!CI18,SM!CI18,SC!CI18,TC!CI18,ML!CI18,QN!CI18,XL!CI18,'XL (BHTP1)'!CI18,'XL (BHTP2)'!CI18)</f>
        <v>0</v>
      </c>
      <c r="CJ18" s="13">
        <f>SUM('TP1'!CJ18,'TP2'!CJ18,MS!CJ18,'MC + Vân hồ'!CJ18,YC!CJ18,PY!CJ18,BY!CJ18,SM!CJ18,SC!CJ18,TC!CJ18,ML!CJ18,QN!CJ18,XL!CJ18,'XL (BHTP1)'!CJ18,'XL (BHTP2)'!CJ18)</f>
        <v>0</v>
      </c>
      <c r="CK18" s="73">
        <f t="shared" ref="CK18:CQ18" si="14">SUM(E18,L18,S18,Z18,AG18,AN18,AU18,BB18,BI18,BP18,BW18,CD18)</f>
        <v>0</v>
      </c>
      <c r="CL18" s="73">
        <f t="shared" si="14"/>
        <v>2</v>
      </c>
      <c r="CM18" s="73">
        <f t="shared" si="14"/>
        <v>3</v>
      </c>
      <c r="CN18" s="73">
        <f t="shared" si="14"/>
        <v>0</v>
      </c>
      <c r="CO18" s="73">
        <f t="shared" si="14"/>
        <v>0</v>
      </c>
      <c r="CP18" s="73">
        <f t="shared" si="14"/>
        <v>0</v>
      </c>
      <c r="CQ18" s="73">
        <f t="shared" si="14"/>
        <v>0</v>
      </c>
      <c r="CR18" s="56"/>
      <c r="CS18" s="56">
        <f t="shared" si="3"/>
        <v>0</v>
      </c>
    </row>
    <row r="19" outlineLevel="1">
      <c r="B19" s="12" t="s">
        <v>53</v>
      </c>
      <c r="C19" s="12" t="s">
        <v>54</v>
      </c>
      <c r="D19" s="12" t="s">
        <v>26</v>
      </c>
      <c r="E19" s="13">
        <f>SUM('TP1'!E19,'TP2'!E19,MS!E19,'MC + Vân hồ'!E19,YC!E19,PY!E19,BY!E19,SM!E19,SC!E19,TC!E19,ML!E19,QN!E19,XL!E19,'XL (BHTP1)'!E19,'XL (BHTP2)'!E19)</f>
        <v>0</v>
      </c>
      <c r="F19" s="13">
        <f>SUM('TP1'!F19,'TP2'!F19,MS!F19,'MC + Vân hồ'!F19,YC!F19,PY!F19,BY!F19,SM!F19,SC!F19,TC!F19,ML!F19,QN!F19,XL!F19,'XL (BHTP1)'!F19,'XL (BHTP2)'!F19)</f>
        <v>0</v>
      </c>
      <c r="G19" s="13">
        <f>SUM('TP1'!G19,'TP2'!G19,MS!G19,'MC + Vân hồ'!G19,YC!G19,PY!G19,BY!G19,SM!G19,SC!G19,TC!G19,ML!G19,QN!G19,XL!G19,'XL (BHTP1)'!G19,'XL (BHTP2)'!G19)</f>
        <v>1</v>
      </c>
      <c r="H19" s="13">
        <f>SUM('TP1'!H19,'TP2'!H19,MS!H19,'MC + Vân hồ'!H19,YC!H19,PY!H19,BY!H19,SM!H19,SC!H19,TC!H19,ML!H19,QN!H19,XL!H19,'XL (BHTP1)'!H19,'XL (BHTP2)'!H19)</f>
        <v>0</v>
      </c>
      <c r="I19" s="13">
        <f>SUM('TP1'!I19,'TP2'!I19,MS!I19,'MC + Vân hồ'!I19,YC!I19,PY!I19,BY!I19,SM!I19,SC!I19,TC!I19,ML!I19,QN!I19,XL!I19,'XL (BHTP1)'!I19,'XL (BHTP2)'!I19)</f>
        <v>0</v>
      </c>
      <c r="J19" s="13">
        <f>SUM('TP1'!J19,'TP2'!J19,MS!J19,'MC + Vân hồ'!J19,YC!J19,PY!J19,BY!J19,SM!J19,SC!J19,TC!J19,ML!J19,QN!J19,XL!J19,'XL (BHTP1)'!J19,'XL (BHTP2)'!J19)</f>
        <v>0</v>
      </c>
      <c r="K19" s="13">
        <f>SUM('TP1'!K19,'TP2'!K19,MS!K19,'MC + Vân hồ'!K19,YC!K19,PY!K19,BY!K19,SM!K19,SC!K19,TC!K19,ML!K19,QN!K19,XL!K19,'XL (BHTP1)'!K19,'XL (BHTP2)'!K19)</f>
        <v>0</v>
      </c>
      <c r="L19" s="13">
        <f>SUM('TP1'!L19,'TP2'!L19,MS!L19,'MC + Vân hồ'!L19,YC!L19,PY!L19,BY!L19,SM!L19,SC!L19,TC!L19,ML!L19,QN!L19,XL!L19,'XL (BHTP1)'!L19,'XL (BHTP2)'!L19)</f>
        <v>0</v>
      </c>
      <c r="M19" s="13">
        <f>SUM('TP1'!M19,'TP2'!M19,MS!M19,'MC + Vân hồ'!M19,YC!M19,PY!M19,BY!M19,SM!M19,SC!M19,TC!M19,ML!M19,QN!M19,XL!M19,'XL (BHTP1)'!M19,'XL (BHTP2)'!M19)</f>
        <v>0</v>
      </c>
      <c r="N19" s="13">
        <f>SUM('TP1'!N19,'TP2'!N19,MS!N19,'MC + Vân hồ'!N19,YC!N19,PY!N19,BY!N19,SM!N19,SC!N19,TC!N19,ML!N19,QN!N19,XL!N19,'XL (BHTP1)'!N19,'XL (BHTP2)'!N19)</f>
        <v>0</v>
      </c>
      <c r="O19" s="13">
        <f>SUM('TP1'!O19,'TP2'!O19,MS!O19,'MC + Vân hồ'!O19,YC!O19,PY!O19,BY!O19,SM!O19,SC!O19,TC!O19,ML!O19,QN!O19,XL!O19,'XL (BHTP1)'!O19,'XL (BHTP2)'!O19)</f>
        <v>0</v>
      </c>
      <c r="P19" s="13">
        <f>SUM('TP1'!P19,'TP2'!P19,MS!P19,'MC + Vân hồ'!P19,YC!P19,PY!P19,BY!P19,SM!P19,SC!P19,TC!P19,ML!P19,QN!P19,XL!P19,'XL (BHTP1)'!P19,'XL (BHTP2)'!P19)</f>
        <v>0</v>
      </c>
      <c r="Q19" s="13">
        <f>SUM('TP1'!Q19,'TP2'!Q19,MS!Q19,'MC + Vân hồ'!Q19,YC!Q19,PY!Q19,BY!Q19,SM!Q19,SC!Q19,TC!Q19,ML!Q19,QN!Q19,XL!Q19,'XL (BHTP1)'!Q19,'XL (BHTP2)'!Q19)</f>
        <v>0</v>
      </c>
      <c r="R19" s="13">
        <f>SUM('TP1'!R19,'TP2'!R19,MS!R19,'MC + Vân hồ'!R19,YC!R19,PY!R19,BY!R19,SM!R19,SC!R19,TC!R19,ML!R19,QN!R19,XL!R19,'XL (BHTP1)'!R19,'XL (BHTP2)'!R19)</f>
        <v>0</v>
      </c>
      <c r="S19" s="13">
        <f>SUM('TP1'!S19,'TP2'!S19,MS!S19,'MC + Vân hồ'!S19,YC!S19,PY!S19,BY!S19,SM!S19,SC!S19,TC!S19,ML!S19,QN!S19,XL!S19,'XL (BHTP1)'!S19,'XL (BHTP2)'!S19)</f>
        <v>0</v>
      </c>
      <c r="T19" s="13">
        <f>SUM('TP1'!T19,'TP2'!T19,MS!T19,'MC + Vân hồ'!T19,YC!T19,PY!T19,BY!T19,SM!T19,SC!T19,TC!T19,ML!T19,QN!T19,XL!T19,'XL (BHTP1)'!T19,'XL (BHTP2)'!T19)</f>
        <v>0</v>
      </c>
      <c r="U19" s="13">
        <f>SUM('TP1'!U19,'TP2'!U19,MS!U19,'MC + Vân hồ'!U19,YC!U19,PY!U19,BY!U19,SM!U19,SC!U19,TC!U19,ML!U19,QN!U19,XL!U19,'XL (BHTP1)'!U19,'XL (BHTP2)'!U19)</f>
        <v>0</v>
      </c>
      <c r="V19" s="13">
        <f>SUM('TP1'!V19,'TP2'!V19,MS!V19,'MC + Vân hồ'!V19,YC!V19,PY!V19,BY!V19,SM!V19,SC!V19,TC!V19,ML!V19,QN!V19,XL!V19,'XL (BHTP1)'!V19,'XL (BHTP2)'!V19)</f>
        <v>0</v>
      </c>
      <c r="W19" s="13">
        <f>SUM('TP1'!W19,'TP2'!W19,MS!W19,'MC + Vân hồ'!W19,YC!W19,PY!W19,BY!W19,SM!W19,SC!W19,TC!W19,ML!W19,QN!W19,XL!W19,'XL (BHTP1)'!W19,'XL (BHTP2)'!W19)</f>
        <v>0</v>
      </c>
      <c r="X19" s="13">
        <f>SUM('TP1'!X19,'TP2'!X19,MS!X19,'MC + Vân hồ'!X19,YC!X19,PY!X19,BY!X19,SM!X19,SC!X19,TC!X19,ML!X19,QN!X19,XL!X19,'XL (BHTP1)'!X19,'XL (BHTP2)'!X19)</f>
        <v>0</v>
      </c>
      <c r="Y19" s="13">
        <f>SUM('TP1'!Y19,'TP2'!Y19,MS!Y19,'MC + Vân hồ'!Y19,YC!Y19,PY!Y19,BY!Y19,SM!Y19,SC!Y19,TC!Y19,ML!Y19,QN!Y19,XL!Y19,'XL (BHTP1)'!Y19,'XL (BHTP2)'!Y19)</f>
        <v>0</v>
      </c>
      <c r="Z19" s="13">
        <f>SUM('TP1'!Z19,'TP2'!Z19,MS!Z19,'MC + Vân hồ'!Z19,YC!Z19,PY!Z19,BY!Z19,SM!Z19,SC!Z19,TC!Z19,ML!Z19,QN!Z19,XL!Z19,'XL (BHTP1)'!Z19,'XL (BHTP2)'!Z19)</f>
        <v>0</v>
      </c>
      <c r="AA19" s="13">
        <f>SUM('TP1'!AA19,'TP2'!AA19,MS!AA19,'MC + Vân hồ'!AA19,YC!AA19,PY!AA19,BY!AA19,SM!AA19,SC!AA19,TC!AA19,ML!AA19,QN!AA19,XL!AA19,'XL (BHTP1)'!AA19,'XL (BHTP2)'!AA19)</f>
        <v>0</v>
      </c>
      <c r="AB19" s="13">
        <f>SUM('TP1'!AB19,'TP2'!AB19,MS!AB19,'MC + Vân hồ'!AB19,YC!AB19,PY!AB19,BY!AB19,SM!AB19,SC!AB19,TC!AB19,ML!AB19,QN!AB19,XL!AB19,'XL (BHTP1)'!AB19,'XL (BHTP2)'!AB19)</f>
        <v>0</v>
      </c>
      <c r="AC19" s="13">
        <f>SUM('TP1'!AC19,'TP2'!AC19,MS!AC19,'MC + Vân hồ'!AC19,YC!AC19,PY!AC19,BY!AC19,SM!AC19,SC!AC19,TC!AC19,ML!AC19,QN!AC19,XL!AC19,'XL (BHTP1)'!AC19,'XL (BHTP2)'!AC19)</f>
        <v>0</v>
      </c>
      <c r="AD19" s="13">
        <f>SUM('TP1'!AD19,'TP2'!AD19,MS!AD19,'MC + Vân hồ'!AD19,YC!AD19,PY!AD19,BY!AD19,SM!AD19,SC!AD19,TC!AD19,ML!AD19,QN!AD19,XL!AD19,'XL (BHTP1)'!AD19,'XL (BHTP2)'!AD19)</f>
        <v>0</v>
      </c>
      <c r="AE19" s="13">
        <f>SUM('TP1'!AE19,'TP2'!AE19,MS!AE19,'MC + Vân hồ'!AE19,YC!AE19,PY!AE19,BY!AE19,SM!AE19,SC!AE19,TC!AE19,ML!AE19,QN!AE19,XL!AE19,'XL (BHTP1)'!AE19,'XL (BHTP2)'!AE19)</f>
        <v>0</v>
      </c>
      <c r="AF19" s="13">
        <f>SUM('TP1'!AF19,'TP2'!AF19,MS!AF19,'MC + Vân hồ'!AF19,YC!AF19,PY!AF19,BY!AF19,SM!AF19,SC!AF19,TC!AF19,ML!AF19,QN!AF19,XL!AF19,'XL (BHTP1)'!AF19,'XL (BHTP2)'!AF19)</f>
        <v>0</v>
      </c>
      <c r="AG19" s="13">
        <f>SUM('TP1'!AG19,'TP2'!AG19,MS!AG19,'MC + Vân hồ'!AG19,YC!AG19,PY!AG19,BY!AG19,SM!AG19,SC!AG19,TC!AG19,ML!AG19,QN!AG19,XL!AG19,'XL (BHTP1)'!AG19,'XL (BHTP2)'!AG19)</f>
        <v>0</v>
      </c>
      <c r="AH19" s="13">
        <f>SUM('TP1'!AH19,'TP2'!AH19,MS!AH19,'MC + Vân hồ'!AH19,YC!AH19,PY!AH19,BY!AH19,SM!AH19,SC!AH19,TC!AH19,ML!AH19,QN!AH19,XL!AH19,'XL (BHTP1)'!AH19,'XL (BHTP2)'!AH19)</f>
        <v>0</v>
      </c>
      <c r="AI19" s="13">
        <f>SUM('TP1'!AI19,'TP2'!AI19,MS!AI19,'MC + Vân hồ'!AI19,YC!AI19,PY!AI19,BY!AI19,SM!AI19,SC!AI19,TC!AI19,ML!AI19,QN!AI19,XL!AI19,'XL (BHTP1)'!AI19,'XL (BHTP2)'!AI19)</f>
        <v>0</v>
      </c>
      <c r="AJ19" s="13">
        <f>SUM('TP1'!AJ19,'TP2'!AJ19,MS!AJ19,'MC + Vân hồ'!AJ19,YC!AJ19,PY!AJ19,BY!AJ19,SM!AJ19,SC!AJ19,TC!AJ19,ML!AJ19,QN!AJ19,XL!AJ19,'XL (BHTP1)'!AJ19,'XL (BHTP2)'!AJ19)</f>
        <v>0</v>
      </c>
      <c r="AK19" s="13">
        <f>SUM('TP1'!AK19,'TP2'!AK19,MS!AK19,'MC + Vân hồ'!AK19,YC!AK19,PY!AK19,BY!AK19,SM!AK19,SC!AK19,TC!AK19,ML!AK19,QN!AK19,XL!AK19,'XL (BHTP1)'!AK19,'XL (BHTP2)'!AK19)</f>
        <v>0</v>
      </c>
      <c r="AL19" s="13">
        <f>SUM('TP1'!AL19,'TP2'!AL19,MS!AL19,'MC + Vân hồ'!AL19,YC!AL19,PY!AL19,BY!AL19,SM!AL19,SC!AL19,TC!AL19,ML!AL19,QN!AL19,XL!AL19,'XL (BHTP1)'!AL19,'XL (BHTP2)'!AL19)</f>
        <v>0</v>
      </c>
      <c r="AM19" s="13">
        <f>SUM('TP1'!AM19,'TP2'!AM19,MS!AM19,'MC + Vân hồ'!AM19,YC!AM19,PY!AM19,BY!AM19,SM!AM19,SC!AM19,TC!AM19,ML!AM19,QN!AM19,XL!AM19,'XL (BHTP1)'!AM19,'XL (BHTP2)'!AM19)</f>
        <v>0</v>
      </c>
      <c r="AN19" s="13">
        <f>SUM('TP1'!AN19,'TP2'!AN19,MS!AN19,'MC + Vân hồ'!AN19,YC!AN19,PY!AN19,BY!AN19,SM!AN19,SC!AN19,TC!AN19,ML!AN19,QN!AN19,XL!AN19,'XL (BHTP1)'!AN19,'XL (BHTP2)'!AN19)</f>
        <v>0</v>
      </c>
      <c r="AO19" s="13">
        <f>SUM('TP1'!AO19,'TP2'!AO19,MS!AO19,'MC + Vân hồ'!AO19,YC!AO19,PY!AO19,BY!AO19,SM!AO19,SC!AO19,TC!AO19,ML!AO19,QN!AO19,XL!AO19,'XL (BHTP1)'!AO19,'XL (BHTP2)'!AO19)</f>
        <v>0</v>
      </c>
      <c r="AP19" s="13">
        <f>SUM('TP1'!AP19,'TP2'!AP19,MS!AP19,'MC + Vân hồ'!AP19,YC!AP19,PY!AP19,BY!AP19,SM!AP19,SC!AP19,TC!AP19,ML!AP19,QN!AP19,XL!AP19,'XL (BHTP1)'!AP19,'XL (BHTP2)'!AP19)</f>
        <v>0</v>
      </c>
      <c r="AQ19" s="13">
        <f>SUM('TP1'!AQ19,'TP2'!AQ19,MS!AQ19,'MC + Vân hồ'!AQ19,YC!AQ19,PY!AQ19,BY!AQ19,SM!AQ19,SC!AQ19,TC!AQ19,ML!AQ19,QN!AQ19,XL!AQ19,'XL (BHTP1)'!AQ19,'XL (BHTP2)'!AQ19)</f>
        <v>0</v>
      </c>
      <c r="AR19" s="13">
        <f>SUM('TP1'!AR19,'TP2'!AR19,MS!AR19,'MC + Vân hồ'!AR19,YC!AR19,PY!AR19,BY!AR19,SM!AR19,SC!AR19,TC!AR19,ML!AR19,QN!AR19,XL!AR19,'XL (BHTP1)'!AR19,'XL (BHTP2)'!AR19)</f>
        <v>0</v>
      </c>
      <c r="AS19" s="13">
        <f>SUM('TP1'!AS19,'TP2'!AS19,MS!AS19,'MC + Vân hồ'!AS19,YC!AS19,PY!AS19,BY!AS19,SM!AS19,SC!AS19,TC!AS19,ML!AS19,QN!AS19,XL!AS19,'XL (BHTP1)'!AS19,'XL (BHTP2)'!AS19)</f>
        <v>0</v>
      </c>
      <c r="AT19" s="13">
        <f>SUM('TP1'!AT19,'TP2'!AT19,MS!AT19,'MC + Vân hồ'!AT19,YC!AT19,PY!AT19,BY!AT19,SM!AT19,SC!AT19,TC!AT19,ML!AT19,QN!AT19,XL!AT19,'XL (BHTP1)'!AT19,'XL (BHTP2)'!AT19)</f>
        <v>0</v>
      </c>
      <c r="AU19" s="13">
        <f>SUM('TP1'!AU19,'TP2'!AU19,MS!AU19,'MC + Vân hồ'!AU19,YC!AU19,PY!AU19,BY!AU19,SM!AU19,SC!AU19,TC!AU19,ML!AU19,QN!AU19,XL!AU19,'XL (BHTP1)'!AU19,'XL (BHTP2)'!AU19)</f>
        <v>0</v>
      </c>
      <c r="AV19" s="13">
        <f>SUM('TP1'!AV19,'TP2'!AV19,MS!AV19,'MC + Vân hồ'!AV19,YC!AV19,PY!AV19,BY!AV19,SM!AV19,SC!AV19,TC!AV19,ML!AV19,QN!AV19,XL!AV19,'XL (BHTP1)'!AV19,'XL (BHTP2)'!AV19)</f>
        <v>0</v>
      </c>
      <c r="AW19" s="13">
        <f>SUM('TP1'!AW19,'TP2'!AW19,MS!AW19,'MC + Vân hồ'!AW19,YC!AW19,PY!AW19,BY!AW19,SM!AW19,SC!AW19,TC!AW19,ML!AW19,QN!AW19,XL!AW19,'XL (BHTP1)'!AW19,'XL (BHTP2)'!AW19)</f>
        <v>0</v>
      </c>
      <c r="AX19" s="13">
        <f>SUM('TP1'!AX19,'TP2'!AX19,MS!AX19,'MC + Vân hồ'!AX19,YC!AX19,PY!AX19,BY!AX19,SM!AX19,SC!AX19,TC!AX19,ML!AX19,QN!AX19,XL!AX19,'XL (BHTP1)'!AX19,'XL (BHTP2)'!AX19)</f>
        <v>0</v>
      </c>
      <c r="AY19" s="13">
        <f>SUM('TP1'!AY19,'TP2'!AY19,MS!AY19,'MC + Vân hồ'!AY19,YC!AY19,PY!AY19,BY!AY19,SM!AY19,SC!AY19,TC!AY19,ML!AY19,QN!AY19,XL!AY19,'XL (BHTP1)'!AY19,'XL (BHTP2)'!AY19)</f>
        <v>0</v>
      </c>
      <c r="AZ19" s="13">
        <f>SUM('TP1'!AZ19,'TP2'!AZ19,MS!AZ19,'MC + Vân hồ'!AZ19,YC!AZ19,PY!AZ19,BY!AZ19,SM!AZ19,SC!AZ19,TC!AZ19,ML!AZ19,QN!AZ19,XL!AZ19,'XL (BHTP1)'!AZ19,'XL (BHTP2)'!AZ19)</f>
        <v>0</v>
      </c>
      <c r="BA19" s="13">
        <f>SUM('TP1'!BA19,'TP2'!BA19,MS!BA19,'MC + Vân hồ'!BA19,YC!BA19,PY!BA19,BY!BA19,SM!BA19,SC!BA19,TC!BA19,ML!BA19,QN!BA19,XL!BA19,'XL (BHTP1)'!BA19,'XL (BHTP2)'!BA19)</f>
        <v>0</v>
      </c>
      <c r="BB19" s="13">
        <f>SUM('TP1'!BB19,'TP2'!BB19,MS!BB19,'MC + Vân hồ'!BB19,YC!BB19,PY!BB19,BY!BB19,SM!BB19,SC!BB19,TC!BB19,ML!BB19,QN!BB19,XL!BB19,'XL (BHTP1)'!BB19,'XL (BHTP2)'!BB19)</f>
        <v>0</v>
      </c>
      <c r="BC19" s="13">
        <f>SUM('TP1'!BC19,'TP2'!BC19,MS!BC19,'MC + Vân hồ'!BC19,YC!BC19,PY!BC19,BY!BC19,SM!BC19,SC!BC19,TC!BC19,ML!BC19,QN!BC19,XL!BC19,'XL (BHTP1)'!BC19,'XL (BHTP2)'!BC19)</f>
        <v>0</v>
      </c>
      <c r="BD19" s="13">
        <f>SUM('TP1'!BD19,'TP2'!BD19,MS!BD19,'MC + Vân hồ'!BD19,YC!BD19,PY!BD19,BY!BD19,SM!BD19,SC!BD19,TC!BD19,ML!BD19,QN!BD19,XL!BD19,'XL (BHTP1)'!BD19,'XL (BHTP2)'!BD19)</f>
        <v>0</v>
      </c>
      <c r="BE19" s="13">
        <f>SUM('TP1'!BE19,'TP2'!BE19,MS!BE19,'MC + Vân hồ'!BE19,YC!BE19,PY!BE19,BY!BE19,SM!BE19,SC!BE19,TC!BE19,ML!BE19,QN!BE19,XL!BE19,'XL (BHTP1)'!BE19,'XL (BHTP2)'!BE19)</f>
        <v>0</v>
      </c>
      <c r="BF19" s="13">
        <f>SUM('TP1'!BF19,'TP2'!BF19,MS!BF19,'MC + Vân hồ'!BF19,YC!BF19,PY!BF19,BY!BF19,SM!BF19,SC!BF19,TC!BF19,ML!BF19,QN!BF19,XL!BF19,'XL (BHTP1)'!BF19,'XL (BHTP2)'!BF19)</f>
        <v>0</v>
      </c>
      <c r="BG19" s="13">
        <f>SUM('TP1'!BG19,'TP2'!BG19,MS!BG19,'MC + Vân hồ'!BG19,YC!BG19,PY!BG19,BY!BG19,SM!BG19,SC!BG19,TC!BG19,ML!BG19,QN!BG19,XL!BG19,'XL (BHTP1)'!BG19,'XL (BHTP2)'!BG19)</f>
        <v>0</v>
      </c>
      <c r="BH19" s="13">
        <f>SUM('TP1'!BH19,'TP2'!BH19,MS!BH19,'MC + Vân hồ'!BH19,YC!BH19,PY!BH19,BY!BH19,SM!BH19,SC!BH19,TC!BH19,ML!BH19,QN!BH19,XL!BH19,'XL (BHTP1)'!BH19,'XL (BHTP2)'!BH19)</f>
        <v>0</v>
      </c>
      <c r="BI19" s="13">
        <f>SUM('TP1'!BI19,'TP2'!BI19,MS!BI19,'MC + Vân hồ'!BI19,YC!BI19,PY!BI19,BY!BI19,SM!BI19,SC!BI19,TC!BI19,ML!BI19,QN!BI19,XL!BI19,'XL (BHTP1)'!BI19,'XL (BHTP2)'!BI19)</f>
        <v>0</v>
      </c>
      <c r="BJ19" s="13">
        <f>SUM('TP1'!BJ19,'TP2'!BJ19,MS!BJ19,'MC + Vân hồ'!BJ19,YC!BJ19,PY!BJ19,BY!BJ19,SM!BJ19,SC!BJ19,TC!BJ19,ML!BJ19,QN!BJ19,XL!BJ19,'XL (BHTP1)'!BJ19,'XL (BHTP2)'!BJ19)</f>
        <v>0</v>
      </c>
      <c r="BK19" s="13">
        <f>SUM('TP1'!BK19,'TP2'!BK19,MS!BK19,'MC + Vân hồ'!BK19,YC!BK19,PY!BK19,BY!BK19,SM!BK19,SC!BK19,TC!BK19,ML!BK19,QN!BK19,XL!BK19,'XL (BHTP1)'!BK19,'XL (BHTP2)'!BK19)</f>
        <v>0</v>
      </c>
      <c r="BL19" s="13">
        <f>SUM('TP1'!BL19,'TP2'!BL19,MS!BL19,'MC + Vân hồ'!BL19,YC!BL19,PY!BL19,BY!BL19,SM!BL19,SC!BL19,TC!BL19,ML!BL19,QN!BL19,XL!BL19,'XL (BHTP1)'!BL19,'XL (BHTP2)'!BL19)</f>
        <v>0</v>
      </c>
      <c r="BM19" s="13">
        <f>SUM('TP1'!BM19,'TP2'!BM19,MS!BM19,'MC + Vân hồ'!BM19,YC!BM19,PY!BM19,BY!BM19,SM!BM19,SC!BM19,TC!BM19,ML!BM19,QN!BM19,XL!BM19,'XL (BHTP1)'!BM19,'XL (BHTP2)'!BM19)</f>
        <v>0</v>
      </c>
      <c r="BN19" s="13">
        <f>SUM('TP1'!BN19,'TP2'!BN19,MS!BN19,'MC + Vân hồ'!BN19,YC!BN19,PY!BN19,BY!BN19,SM!BN19,SC!BN19,TC!BN19,ML!BN19,QN!BN19,XL!BN19,'XL (BHTP1)'!BN19,'XL (BHTP2)'!BN19)</f>
        <v>0</v>
      </c>
      <c r="BO19" s="13">
        <f>SUM('TP1'!BO19,'TP2'!BO19,MS!BO19,'MC + Vân hồ'!BO19,YC!BO19,PY!BO19,BY!BO19,SM!BO19,SC!BO19,TC!BO19,ML!BO19,QN!BO19,XL!BO19,'XL (BHTP1)'!BO19,'XL (BHTP2)'!BO19)</f>
        <v>0</v>
      </c>
      <c r="BP19" s="13">
        <f>SUM('TP1'!BP19,'TP2'!BP19,MS!BP19,'MC + Vân hồ'!BP19,YC!BP19,PY!BP19,BY!BP19,SM!BP19,SC!BP19,TC!BP19,ML!BP19,QN!BP19,XL!BP19,'XL (BHTP1)'!BP19,'XL (BHTP2)'!BP19)</f>
        <v>0</v>
      </c>
      <c r="BQ19" s="13">
        <f>SUM('TP1'!BQ19,'TP2'!BQ19,MS!BQ19,'MC + Vân hồ'!BQ19,YC!BQ19,PY!BQ19,BY!BQ19,SM!BQ19,SC!BQ19,TC!BQ19,ML!BQ19,QN!BQ19,XL!BQ19,'XL (BHTP1)'!BQ19,'XL (BHTP2)'!BQ19)</f>
        <v>0</v>
      </c>
      <c r="BR19" s="13">
        <f>SUM('TP1'!BR19,'TP2'!BR19,MS!BR19,'MC + Vân hồ'!BR19,YC!BR19,PY!BR19,BY!BR19,SM!BR19,SC!BR19,TC!BR19,ML!BR19,QN!BR19,XL!BR19,'XL (BHTP1)'!BR19,'XL (BHTP2)'!BR19)</f>
        <v>0</v>
      </c>
      <c r="BS19" s="13">
        <f>SUM('TP1'!BS19,'TP2'!BS19,MS!BS19,'MC + Vân hồ'!BS19,YC!BS19,PY!BS19,BY!BS19,SM!BS19,SC!BS19,TC!BS19,ML!BS19,QN!BS19,XL!BS19,'XL (BHTP1)'!BS19,'XL (BHTP2)'!BS19)</f>
        <v>0</v>
      </c>
      <c r="BT19" s="13">
        <f>SUM('TP1'!BT19,'TP2'!BT19,MS!BT19,'MC + Vân hồ'!BT19,YC!BT19,PY!BT19,BY!BT19,SM!BT19,SC!BT19,TC!BT19,ML!BT19,QN!BT19,XL!BT19,'XL (BHTP1)'!BT19,'XL (BHTP2)'!BT19)</f>
        <v>0</v>
      </c>
      <c r="BU19" s="13">
        <f>SUM('TP1'!BU19,'TP2'!BU19,MS!BU19,'MC + Vân hồ'!BU19,YC!BU19,PY!BU19,BY!BU19,SM!BU19,SC!BU19,TC!BU19,ML!BU19,QN!BU19,XL!BU19,'XL (BHTP1)'!BU19,'XL (BHTP2)'!BU19)</f>
        <v>0</v>
      </c>
      <c r="BV19" s="13">
        <f>SUM('TP1'!BV19,'TP2'!BV19,MS!BV19,'MC + Vân hồ'!BV19,YC!BV19,PY!BV19,BY!BV19,SM!BV19,SC!BV19,TC!BV19,ML!BV19,QN!BV19,XL!BV19,'XL (BHTP1)'!BV19,'XL (BHTP2)'!BV19)</f>
        <v>0</v>
      </c>
      <c r="BW19" s="13">
        <f>SUM('TP1'!BW19,'TP2'!BW19,MS!BW19,'MC + Vân hồ'!BW19,YC!BW19,PY!BW19,BY!BW19,SM!BW19,SC!BW19,TC!BW19,ML!BW19,QN!BW19,XL!BW19,'XL (BHTP1)'!BW19,'XL (BHTP2)'!BW19)</f>
        <v>0</v>
      </c>
      <c r="BX19" s="13">
        <f>SUM('TP1'!BX19,'TP2'!BX19,MS!BX19,'MC + Vân hồ'!BX19,YC!BX19,PY!BX19,BY!BX19,SM!BX19,SC!BX19,TC!BX19,ML!BX19,QN!BX19,XL!BX19,'XL (BHTP1)'!BX19,'XL (BHTP2)'!BX19)</f>
        <v>0</v>
      </c>
      <c r="BY19" s="13">
        <f>SUM('TP1'!BY19,'TP2'!BY19,MS!BY19,'MC + Vân hồ'!BY19,YC!BY19,PY!BY19,BY!BY19,SM!BY19,SC!BY19,TC!BY19,ML!BY19,QN!BY19,XL!BY19,'XL (BHTP1)'!BY19,'XL (BHTP2)'!BY19)</f>
        <v>0</v>
      </c>
      <c r="BZ19" s="13">
        <f>SUM('TP1'!BZ19,'TP2'!BZ19,MS!BZ19,'MC + Vân hồ'!BZ19,YC!BZ19,PY!BZ19,BY!BZ19,SM!BZ19,SC!BZ19,TC!BZ19,ML!BZ19,QN!BZ19,XL!BZ19,'XL (BHTP1)'!BZ19,'XL (BHTP2)'!BZ19)</f>
        <v>0</v>
      </c>
      <c r="CA19" s="13">
        <f>SUM('TP1'!CA19,'TP2'!CA19,MS!CA19,'MC + Vân hồ'!CA19,YC!CA19,PY!CA19,BY!CA19,SM!CA19,SC!CA19,TC!CA19,ML!CA19,QN!CA19,XL!CA19,'XL (BHTP1)'!CA19,'XL (BHTP2)'!CA19)</f>
        <v>0</v>
      </c>
      <c r="CB19" s="13">
        <f>SUM('TP1'!CB19,'TP2'!CB19,MS!CB19,'MC + Vân hồ'!CB19,YC!CB19,PY!CB19,BY!CB19,SM!CB19,SC!CB19,TC!CB19,ML!CB19,QN!CB19,XL!CB19,'XL (BHTP1)'!CB19,'XL (BHTP2)'!CB19)</f>
        <v>0</v>
      </c>
      <c r="CC19" s="13">
        <f>SUM('TP1'!CC19,'TP2'!CC19,MS!CC19,'MC + Vân hồ'!CC19,YC!CC19,PY!CC19,BY!CC19,SM!CC19,SC!CC19,TC!CC19,ML!CC19,QN!CC19,XL!CC19,'XL (BHTP1)'!CC19,'XL (BHTP2)'!CC19)</f>
        <v>0</v>
      </c>
      <c r="CD19" s="13">
        <f>SUM('TP1'!CD19,'TP2'!CD19,MS!CD19,'MC + Vân hồ'!CD19,YC!CD19,PY!CD19,BY!CD19,SM!CD19,SC!CD19,TC!CD19,ML!CD19,QN!CD19,XL!CD19,'XL (BHTP1)'!CD19,'XL (BHTP2)'!CD19)</f>
        <v>0</v>
      </c>
      <c r="CE19" s="13">
        <f>SUM('TP1'!CE19,'TP2'!CE19,MS!CE19,'MC + Vân hồ'!CE19,YC!CE19,PY!CE19,BY!CE19,SM!CE19,SC!CE19,TC!CE19,ML!CE19,QN!CE19,XL!CE19,'XL (BHTP1)'!CE19,'XL (BHTP2)'!CE19)</f>
        <v>0</v>
      </c>
      <c r="CF19" s="13">
        <f>SUM('TP1'!CF19,'TP2'!CF19,MS!CF19,'MC + Vân hồ'!CF19,YC!CF19,PY!CF19,BY!CF19,SM!CF19,SC!CF19,TC!CF19,ML!CF19,QN!CF19,XL!CF19,'XL (BHTP1)'!CF19,'XL (BHTP2)'!CF19)</f>
        <v>0</v>
      </c>
      <c r="CG19" s="13">
        <f>SUM('TP1'!CG19,'TP2'!CG19,MS!CG19,'MC + Vân hồ'!CG19,YC!CG19,PY!CG19,BY!CG19,SM!CG19,SC!CG19,TC!CG19,ML!CG19,QN!CG19,XL!CG19,'XL (BHTP1)'!CG19,'XL (BHTP2)'!CG19)</f>
        <v>0</v>
      </c>
      <c r="CH19" s="13">
        <f>SUM('TP1'!CH19,'TP2'!CH19,MS!CH19,'MC + Vân hồ'!CH19,YC!CH19,PY!CH19,BY!CH19,SM!CH19,SC!CH19,TC!CH19,ML!CH19,QN!CH19,XL!CH19,'XL (BHTP1)'!CH19,'XL (BHTP2)'!CH19)</f>
        <v>0</v>
      </c>
      <c r="CI19" s="13">
        <f>SUM('TP1'!CI19,'TP2'!CI19,MS!CI19,'MC + Vân hồ'!CI19,YC!CI19,PY!CI19,BY!CI19,SM!CI19,SC!CI19,TC!CI19,ML!CI19,QN!CI19,XL!CI19,'XL (BHTP1)'!CI19,'XL (BHTP2)'!CI19)</f>
        <v>0</v>
      </c>
      <c r="CJ19" s="13">
        <f>SUM('TP1'!CJ19,'TP2'!CJ19,MS!CJ19,'MC + Vân hồ'!CJ19,YC!CJ19,PY!CJ19,BY!CJ19,SM!CJ19,SC!CJ19,TC!CJ19,ML!CJ19,QN!CJ19,XL!CJ19,'XL (BHTP1)'!CJ19,'XL (BHTP2)'!CJ19)</f>
        <v>0</v>
      </c>
      <c r="CK19" s="73">
        <f t="shared" ref="CK19:CQ19" si="15">SUM(E19,L19,S19,Z19,AG19,AN19,AU19,BB19,BI19,BP19,BW19,CD19)</f>
        <v>0</v>
      </c>
      <c r="CL19" s="73">
        <f t="shared" si="15"/>
        <v>0</v>
      </c>
      <c r="CM19" s="73">
        <f t="shared" si="15"/>
        <v>1</v>
      </c>
      <c r="CN19" s="73">
        <f t="shared" si="15"/>
        <v>0</v>
      </c>
      <c r="CO19" s="73">
        <f t="shared" si="15"/>
        <v>0</v>
      </c>
      <c r="CP19" s="73">
        <f t="shared" si="15"/>
        <v>0</v>
      </c>
      <c r="CQ19" s="73">
        <f t="shared" si="15"/>
        <v>0</v>
      </c>
      <c r="CR19" s="56"/>
      <c r="CS19" s="56">
        <f t="shared" si="3"/>
        <v>0</v>
      </c>
    </row>
    <row r="20" outlineLevel="1">
      <c r="B20" s="12" t="s">
        <v>57</v>
      </c>
      <c r="C20" s="23" t="s">
        <v>58</v>
      </c>
      <c r="D20" s="12" t="s">
        <v>26</v>
      </c>
      <c r="E20" s="13">
        <f>SUM('TP1'!E20,'TP2'!E20,MS!E20,'MC + Vân hồ'!E20,YC!E20,PY!E20,BY!E20,SM!E20,SC!E20,TC!E20,ML!E20,QN!E20,XL!E20,'XL (BHTP1)'!E20,'XL (BHTP2)'!E20)</f>
        <v>0</v>
      </c>
      <c r="F20" s="13">
        <f>SUM('TP1'!F20,'TP2'!F20,MS!F20,'MC + Vân hồ'!F20,YC!F20,PY!F20,BY!F20,SM!F20,SC!F20,TC!F20,ML!F20,QN!F20,XL!F20,'XL (BHTP1)'!F20,'XL (BHTP2)'!F20)</f>
        <v>0</v>
      </c>
      <c r="G20" s="13">
        <f>SUM('TP1'!G20,'TP2'!G20,MS!G20,'MC + Vân hồ'!G20,YC!G20,PY!G20,BY!G20,SM!G20,SC!G20,TC!G20,ML!G20,QN!G20,XL!G20,'XL (BHTP1)'!G20,'XL (BHTP2)'!G20)</f>
        <v>0</v>
      </c>
      <c r="H20" s="13">
        <f>SUM('TP1'!H20,'TP2'!H20,MS!H20,'MC + Vân hồ'!H20,YC!H20,PY!H20,BY!H20,SM!H20,SC!H20,TC!H20,ML!H20,QN!H20,XL!H20,'XL (BHTP1)'!H20,'XL (BHTP2)'!H20)</f>
        <v>0</v>
      </c>
      <c r="I20" s="13">
        <f>SUM('TP1'!I20,'TP2'!I20,MS!I20,'MC + Vân hồ'!I20,YC!I20,PY!I20,BY!I20,SM!I20,SC!I20,TC!I20,ML!I20,QN!I20,XL!I20,'XL (BHTP1)'!I20,'XL (BHTP2)'!I20)</f>
        <v>0</v>
      </c>
      <c r="J20" s="13">
        <f>SUM('TP1'!J20,'TP2'!J20,MS!J20,'MC + Vân hồ'!J20,YC!J20,PY!J20,BY!J20,SM!J20,SC!J20,TC!J20,ML!J20,QN!J20,XL!J20,'XL (BHTP1)'!J20,'XL (BHTP2)'!J20)</f>
        <v>0</v>
      </c>
      <c r="K20" s="13">
        <f>SUM('TP1'!K20,'TP2'!K20,MS!K20,'MC + Vân hồ'!K20,YC!K20,PY!K20,BY!K20,SM!K20,SC!K20,TC!K20,ML!K20,QN!K20,XL!K20,'XL (BHTP1)'!K20,'XL (BHTP2)'!K20)</f>
        <v>0</v>
      </c>
      <c r="L20" s="13">
        <f>SUM('TP1'!L20,'TP2'!L20,MS!L20,'MC + Vân hồ'!L20,YC!L20,PY!L20,BY!L20,SM!L20,SC!L20,TC!L20,ML!L20,QN!L20,XL!L20,'XL (BHTP1)'!L20,'XL (BHTP2)'!L20)</f>
        <v>0</v>
      </c>
      <c r="M20" s="13">
        <f>SUM('TP1'!M20,'TP2'!M20,MS!M20,'MC + Vân hồ'!M20,YC!M20,PY!M20,BY!M20,SM!M20,SC!M20,TC!M20,ML!M20,QN!M20,XL!M20,'XL (BHTP1)'!M20,'XL (BHTP2)'!M20)</f>
        <v>0</v>
      </c>
      <c r="N20" s="13">
        <f>SUM('TP1'!N20,'TP2'!N20,MS!N20,'MC + Vân hồ'!N20,YC!N20,PY!N20,BY!N20,SM!N20,SC!N20,TC!N20,ML!N20,QN!N20,XL!N20,'XL (BHTP1)'!N20,'XL (BHTP2)'!N20)</f>
        <v>0</v>
      </c>
      <c r="O20" s="13">
        <f>SUM('TP1'!O20,'TP2'!O20,MS!O20,'MC + Vân hồ'!O20,YC!O20,PY!O20,BY!O20,SM!O20,SC!O20,TC!O20,ML!O20,QN!O20,XL!O20,'XL (BHTP1)'!O20,'XL (BHTP2)'!O20)</f>
        <v>0</v>
      </c>
      <c r="P20" s="13">
        <f>SUM('TP1'!P20,'TP2'!P20,MS!P20,'MC + Vân hồ'!P20,YC!P20,PY!P20,BY!P20,SM!P20,SC!P20,TC!P20,ML!P20,QN!P20,XL!P20,'XL (BHTP1)'!P20,'XL (BHTP2)'!P20)</f>
        <v>0</v>
      </c>
      <c r="Q20" s="13">
        <f>SUM('TP1'!Q20,'TP2'!Q20,MS!Q20,'MC + Vân hồ'!Q20,YC!Q20,PY!Q20,BY!Q20,SM!Q20,SC!Q20,TC!Q20,ML!Q20,QN!Q20,XL!Q20,'XL (BHTP1)'!Q20,'XL (BHTP2)'!Q20)</f>
        <v>0</v>
      </c>
      <c r="R20" s="13">
        <f>SUM('TP1'!R20,'TP2'!R20,MS!R20,'MC + Vân hồ'!R20,YC!R20,PY!R20,BY!R20,SM!R20,SC!R20,TC!R20,ML!R20,QN!R20,XL!R20,'XL (BHTP1)'!R20,'XL (BHTP2)'!R20)</f>
        <v>0</v>
      </c>
      <c r="S20" s="13">
        <f>SUM('TP1'!S20,'TP2'!S20,MS!S20,'MC + Vân hồ'!S20,YC!S20,PY!S20,BY!S20,SM!S20,SC!S20,TC!S20,ML!S20,QN!S20,XL!S20,'XL (BHTP1)'!S20,'XL (BHTP2)'!S20)</f>
        <v>0</v>
      </c>
      <c r="T20" s="13">
        <f>SUM('TP1'!T20,'TP2'!T20,MS!T20,'MC + Vân hồ'!T20,YC!T20,PY!T20,BY!T20,SM!T20,SC!T20,TC!T20,ML!T20,QN!T20,XL!T20,'XL (BHTP1)'!T20,'XL (BHTP2)'!T20)</f>
        <v>0</v>
      </c>
      <c r="U20" s="13">
        <f>SUM('TP1'!U20,'TP2'!U20,MS!U20,'MC + Vân hồ'!U20,YC!U20,PY!U20,BY!U20,SM!U20,SC!U20,TC!U20,ML!U20,QN!U20,XL!U20,'XL (BHTP1)'!U20,'XL (BHTP2)'!U20)</f>
        <v>0</v>
      </c>
      <c r="V20" s="13">
        <f>SUM('TP1'!V20,'TP2'!V20,MS!V20,'MC + Vân hồ'!V20,YC!V20,PY!V20,BY!V20,SM!V20,SC!V20,TC!V20,ML!V20,QN!V20,XL!V20,'XL (BHTP1)'!V20,'XL (BHTP2)'!V20)</f>
        <v>0</v>
      </c>
      <c r="W20" s="13">
        <f>SUM('TP1'!W20,'TP2'!W20,MS!W20,'MC + Vân hồ'!W20,YC!W20,PY!W20,BY!W20,SM!W20,SC!W20,TC!W20,ML!W20,QN!W20,XL!W20,'XL (BHTP1)'!W20,'XL (BHTP2)'!W20)</f>
        <v>0</v>
      </c>
      <c r="X20" s="13">
        <f>SUM('TP1'!X20,'TP2'!X20,MS!X20,'MC + Vân hồ'!X20,YC!X20,PY!X20,BY!X20,SM!X20,SC!X20,TC!X20,ML!X20,QN!X20,XL!X20,'XL (BHTP1)'!X20,'XL (BHTP2)'!X20)</f>
        <v>0</v>
      </c>
      <c r="Y20" s="13">
        <f>SUM('TP1'!Y20,'TP2'!Y20,MS!Y20,'MC + Vân hồ'!Y20,YC!Y20,PY!Y20,BY!Y20,SM!Y20,SC!Y20,TC!Y20,ML!Y20,QN!Y20,XL!Y20,'XL (BHTP1)'!Y20,'XL (BHTP2)'!Y20)</f>
        <v>0</v>
      </c>
      <c r="Z20" s="13">
        <f>SUM('TP1'!Z20,'TP2'!Z20,MS!Z20,'MC + Vân hồ'!Z20,YC!Z20,PY!Z20,BY!Z20,SM!Z20,SC!Z20,TC!Z20,ML!Z20,QN!Z20,XL!Z20,'XL (BHTP1)'!Z20,'XL (BHTP2)'!Z20)</f>
        <v>0</v>
      </c>
      <c r="AA20" s="13">
        <f>SUM('TP1'!AA20,'TP2'!AA20,MS!AA20,'MC + Vân hồ'!AA20,YC!AA20,PY!AA20,BY!AA20,SM!AA20,SC!AA20,TC!AA20,ML!AA20,QN!AA20,XL!AA20,'XL (BHTP1)'!AA20,'XL (BHTP2)'!AA20)</f>
        <v>0</v>
      </c>
      <c r="AB20" s="13">
        <f>SUM('TP1'!AB20,'TP2'!AB20,MS!AB20,'MC + Vân hồ'!AB20,YC!AB20,PY!AB20,BY!AB20,SM!AB20,SC!AB20,TC!AB20,ML!AB20,QN!AB20,XL!AB20,'XL (BHTP1)'!AB20,'XL (BHTP2)'!AB20)</f>
        <v>0</v>
      </c>
      <c r="AC20" s="13">
        <f>SUM('TP1'!AC20,'TP2'!AC20,MS!AC20,'MC + Vân hồ'!AC20,YC!AC20,PY!AC20,BY!AC20,SM!AC20,SC!AC20,TC!AC20,ML!AC20,QN!AC20,XL!AC20,'XL (BHTP1)'!AC20,'XL (BHTP2)'!AC20)</f>
        <v>0</v>
      </c>
      <c r="AD20" s="13">
        <f>SUM('TP1'!AD20,'TP2'!AD20,MS!AD20,'MC + Vân hồ'!AD20,YC!AD20,PY!AD20,BY!AD20,SM!AD20,SC!AD20,TC!AD20,ML!AD20,QN!AD20,XL!AD20,'XL (BHTP1)'!AD20,'XL (BHTP2)'!AD20)</f>
        <v>0</v>
      </c>
      <c r="AE20" s="13">
        <f>SUM('TP1'!AE20,'TP2'!AE20,MS!AE20,'MC + Vân hồ'!AE20,YC!AE20,PY!AE20,BY!AE20,SM!AE20,SC!AE20,TC!AE20,ML!AE20,QN!AE20,XL!AE20,'XL (BHTP1)'!AE20,'XL (BHTP2)'!AE20)</f>
        <v>0</v>
      </c>
      <c r="AF20" s="13">
        <f>SUM('TP1'!AF20,'TP2'!AF20,MS!AF20,'MC + Vân hồ'!AF20,YC!AF20,PY!AF20,BY!AF20,SM!AF20,SC!AF20,TC!AF20,ML!AF20,QN!AF20,XL!AF20,'XL (BHTP1)'!AF20,'XL (BHTP2)'!AF20)</f>
        <v>0</v>
      </c>
      <c r="AG20" s="13">
        <f>SUM('TP1'!AG20,'TP2'!AG20,MS!AG20,'MC + Vân hồ'!AG20,YC!AG20,PY!AG20,BY!AG20,SM!AG20,SC!AG20,TC!AG20,ML!AG20,QN!AG20,XL!AG20,'XL (BHTP1)'!AG20,'XL (BHTP2)'!AG20)</f>
        <v>0</v>
      </c>
      <c r="AH20" s="13">
        <f>SUM('TP1'!AH20,'TP2'!AH20,MS!AH20,'MC + Vân hồ'!AH20,YC!AH20,PY!AH20,BY!AH20,SM!AH20,SC!AH20,TC!AH20,ML!AH20,QN!AH20,XL!AH20,'XL (BHTP1)'!AH20,'XL (BHTP2)'!AH20)</f>
        <v>0</v>
      </c>
      <c r="AI20" s="13">
        <f>SUM('TP1'!AI20,'TP2'!AI20,MS!AI20,'MC + Vân hồ'!AI20,YC!AI20,PY!AI20,BY!AI20,SM!AI20,SC!AI20,TC!AI20,ML!AI20,QN!AI20,XL!AI20,'XL (BHTP1)'!AI20,'XL (BHTP2)'!AI20)</f>
        <v>0</v>
      </c>
      <c r="AJ20" s="13">
        <f>SUM('TP1'!AJ20,'TP2'!AJ20,MS!AJ20,'MC + Vân hồ'!AJ20,YC!AJ20,PY!AJ20,BY!AJ20,SM!AJ20,SC!AJ20,TC!AJ20,ML!AJ20,QN!AJ20,XL!AJ20,'XL (BHTP1)'!AJ20,'XL (BHTP2)'!AJ20)</f>
        <v>0</v>
      </c>
      <c r="AK20" s="13">
        <f>SUM('TP1'!AK20,'TP2'!AK20,MS!AK20,'MC + Vân hồ'!AK20,YC!AK20,PY!AK20,BY!AK20,SM!AK20,SC!AK20,TC!AK20,ML!AK20,QN!AK20,XL!AK20,'XL (BHTP1)'!AK20,'XL (BHTP2)'!AK20)</f>
        <v>0</v>
      </c>
      <c r="AL20" s="13">
        <f>SUM('TP1'!AL20,'TP2'!AL20,MS!AL20,'MC + Vân hồ'!AL20,YC!AL20,PY!AL20,BY!AL20,SM!AL20,SC!AL20,TC!AL20,ML!AL20,QN!AL20,XL!AL20,'XL (BHTP1)'!AL20,'XL (BHTP2)'!AL20)</f>
        <v>0</v>
      </c>
      <c r="AM20" s="13">
        <f>SUM('TP1'!AM20,'TP2'!AM20,MS!AM20,'MC + Vân hồ'!AM20,YC!AM20,PY!AM20,BY!AM20,SM!AM20,SC!AM20,TC!AM20,ML!AM20,QN!AM20,XL!AM20,'XL (BHTP1)'!AM20,'XL (BHTP2)'!AM20)</f>
        <v>0</v>
      </c>
      <c r="AN20" s="13">
        <f>SUM('TP1'!AN20,'TP2'!AN20,MS!AN20,'MC + Vân hồ'!AN20,YC!AN20,PY!AN20,BY!AN20,SM!AN20,SC!AN20,TC!AN20,ML!AN20,QN!AN20,XL!AN20,'XL (BHTP1)'!AN20,'XL (BHTP2)'!AN20)</f>
        <v>0</v>
      </c>
      <c r="AO20" s="13">
        <f>SUM('TP1'!AO20,'TP2'!AO20,MS!AO20,'MC + Vân hồ'!AO20,YC!AO20,PY!AO20,BY!AO20,SM!AO20,SC!AO20,TC!AO20,ML!AO20,QN!AO20,XL!AO20,'XL (BHTP1)'!AO20,'XL (BHTP2)'!AO20)</f>
        <v>0</v>
      </c>
      <c r="AP20" s="13">
        <f>SUM('TP1'!AP20,'TP2'!AP20,MS!AP20,'MC + Vân hồ'!AP20,YC!AP20,PY!AP20,BY!AP20,SM!AP20,SC!AP20,TC!AP20,ML!AP20,QN!AP20,XL!AP20,'XL (BHTP1)'!AP20,'XL (BHTP2)'!AP20)</f>
        <v>0</v>
      </c>
      <c r="AQ20" s="13">
        <f>SUM('TP1'!AQ20,'TP2'!AQ20,MS!AQ20,'MC + Vân hồ'!AQ20,YC!AQ20,PY!AQ20,BY!AQ20,SM!AQ20,SC!AQ20,TC!AQ20,ML!AQ20,QN!AQ20,XL!AQ20,'XL (BHTP1)'!AQ20,'XL (BHTP2)'!AQ20)</f>
        <v>0</v>
      </c>
      <c r="AR20" s="13">
        <f>SUM('TP1'!AR20,'TP2'!AR20,MS!AR20,'MC + Vân hồ'!AR20,YC!AR20,PY!AR20,BY!AR20,SM!AR20,SC!AR20,TC!AR20,ML!AR20,QN!AR20,XL!AR20,'XL (BHTP1)'!AR20,'XL (BHTP2)'!AR20)</f>
        <v>0</v>
      </c>
      <c r="AS20" s="13">
        <f>SUM('TP1'!AS20,'TP2'!AS20,MS!AS20,'MC + Vân hồ'!AS20,YC!AS20,PY!AS20,BY!AS20,SM!AS20,SC!AS20,TC!AS20,ML!AS20,QN!AS20,XL!AS20,'XL (BHTP1)'!AS20,'XL (BHTP2)'!AS20)</f>
        <v>0</v>
      </c>
      <c r="AT20" s="13">
        <f>SUM('TP1'!AT20,'TP2'!AT20,MS!AT20,'MC + Vân hồ'!AT20,YC!AT20,PY!AT20,BY!AT20,SM!AT20,SC!AT20,TC!AT20,ML!AT20,QN!AT20,XL!AT20,'XL (BHTP1)'!AT20,'XL (BHTP2)'!AT20)</f>
        <v>0</v>
      </c>
      <c r="AU20" s="13">
        <f>SUM('TP1'!AU20,'TP2'!AU20,MS!AU20,'MC + Vân hồ'!AU20,YC!AU20,PY!AU20,BY!AU20,SM!AU20,SC!AU20,TC!AU20,ML!AU20,QN!AU20,XL!AU20,'XL (BHTP1)'!AU20,'XL (BHTP2)'!AU20)</f>
        <v>0</v>
      </c>
      <c r="AV20" s="13">
        <f>SUM('TP1'!AV20,'TP2'!AV20,MS!AV20,'MC + Vân hồ'!AV20,YC!AV20,PY!AV20,BY!AV20,SM!AV20,SC!AV20,TC!AV20,ML!AV20,QN!AV20,XL!AV20,'XL (BHTP1)'!AV20,'XL (BHTP2)'!AV20)</f>
        <v>0</v>
      </c>
      <c r="AW20" s="13">
        <f>SUM('TP1'!AW20,'TP2'!AW20,MS!AW20,'MC + Vân hồ'!AW20,YC!AW20,PY!AW20,BY!AW20,SM!AW20,SC!AW20,TC!AW20,ML!AW20,QN!AW20,XL!AW20,'XL (BHTP1)'!AW20,'XL (BHTP2)'!AW20)</f>
        <v>0</v>
      </c>
      <c r="AX20" s="13">
        <f>SUM('TP1'!AX20,'TP2'!AX20,MS!AX20,'MC + Vân hồ'!AX20,YC!AX20,PY!AX20,BY!AX20,SM!AX20,SC!AX20,TC!AX20,ML!AX20,QN!AX20,XL!AX20,'XL (BHTP1)'!AX20,'XL (BHTP2)'!AX20)</f>
        <v>0</v>
      </c>
      <c r="AY20" s="13">
        <f>SUM('TP1'!AY20,'TP2'!AY20,MS!AY20,'MC + Vân hồ'!AY20,YC!AY20,PY!AY20,BY!AY20,SM!AY20,SC!AY20,TC!AY20,ML!AY20,QN!AY20,XL!AY20,'XL (BHTP1)'!AY20,'XL (BHTP2)'!AY20)</f>
        <v>0</v>
      </c>
      <c r="AZ20" s="13">
        <f>SUM('TP1'!AZ20,'TP2'!AZ20,MS!AZ20,'MC + Vân hồ'!AZ20,YC!AZ20,PY!AZ20,BY!AZ20,SM!AZ20,SC!AZ20,TC!AZ20,ML!AZ20,QN!AZ20,XL!AZ20,'XL (BHTP1)'!AZ20,'XL (BHTP2)'!AZ20)</f>
        <v>0</v>
      </c>
      <c r="BA20" s="13">
        <f>SUM('TP1'!BA20,'TP2'!BA20,MS!BA20,'MC + Vân hồ'!BA20,YC!BA20,PY!BA20,BY!BA20,SM!BA20,SC!BA20,TC!BA20,ML!BA20,QN!BA20,XL!BA20,'XL (BHTP1)'!BA20,'XL (BHTP2)'!BA20)</f>
        <v>0</v>
      </c>
      <c r="BB20" s="13">
        <f>SUM('TP1'!BB20,'TP2'!BB20,MS!BB20,'MC + Vân hồ'!BB20,YC!BB20,PY!BB20,BY!BB20,SM!BB20,SC!BB20,TC!BB20,ML!BB20,QN!BB20,XL!BB20,'XL (BHTP1)'!BB20,'XL (BHTP2)'!BB20)</f>
        <v>0</v>
      </c>
      <c r="BC20" s="13">
        <f>SUM('TP1'!BC20,'TP2'!BC20,MS!BC20,'MC + Vân hồ'!BC20,YC!BC20,PY!BC20,BY!BC20,SM!BC20,SC!BC20,TC!BC20,ML!BC20,QN!BC20,XL!BC20,'XL (BHTP1)'!BC20,'XL (BHTP2)'!BC20)</f>
        <v>0</v>
      </c>
      <c r="BD20" s="13">
        <f>SUM('TP1'!BD20,'TP2'!BD20,MS!BD20,'MC + Vân hồ'!BD20,YC!BD20,PY!BD20,BY!BD20,SM!BD20,SC!BD20,TC!BD20,ML!BD20,QN!BD20,XL!BD20,'XL (BHTP1)'!BD20,'XL (BHTP2)'!BD20)</f>
        <v>0</v>
      </c>
      <c r="BE20" s="13">
        <f>SUM('TP1'!BE20,'TP2'!BE20,MS!BE20,'MC + Vân hồ'!BE20,YC!BE20,PY!BE20,BY!BE20,SM!BE20,SC!BE20,TC!BE20,ML!BE20,QN!BE20,XL!BE20,'XL (BHTP1)'!BE20,'XL (BHTP2)'!BE20)</f>
        <v>0</v>
      </c>
      <c r="BF20" s="13">
        <f>SUM('TP1'!BF20,'TP2'!BF20,MS!BF20,'MC + Vân hồ'!BF20,YC!BF20,PY!BF20,BY!BF20,SM!BF20,SC!BF20,TC!BF20,ML!BF20,QN!BF20,XL!BF20,'XL (BHTP1)'!BF20,'XL (BHTP2)'!BF20)</f>
        <v>0</v>
      </c>
      <c r="BG20" s="13">
        <f>SUM('TP1'!BG20,'TP2'!BG20,MS!BG20,'MC + Vân hồ'!BG20,YC!BG20,PY!BG20,BY!BG20,SM!BG20,SC!BG20,TC!BG20,ML!BG20,QN!BG20,XL!BG20,'XL (BHTP1)'!BG20,'XL (BHTP2)'!BG20)</f>
        <v>0</v>
      </c>
      <c r="BH20" s="13">
        <f>SUM('TP1'!BH20,'TP2'!BH20,MS!BH20,'MC + Vân hồ'!BH20,YC!BH20,PY!BH20,BY!BH20,SM!BH20,SC!BH20,TC!BH20,ML!BH20,QN!BH20,XL!BH20,'XL (BHTP1)'!BH20,'XL (BHTP2)'!BH20)</f>
        <v>0</v>
      </c>
      <c r="BI20" s="13">
        <f>SUM('TP1'!BI20,'TP2'!BI20,MS!BI20,'MC + Vân hồ'!BI20,YC!BI20,PY!BI20,BY!BI20,SM!BI20,SC!BI20,TC!BI20,ML!BI20,QN!BI20,XL!BI20,'XL (BHTP1)'!BI20,'XL (BHTP2)'!BI20)</f>
        <v>0</v>
      </c>
      <c r="BJ20" s="13">
        <f>SUM('TP1'!BJ20,'TP2'!BJ20,MS!BJ20,'MC + Vân hồ'!BJ20,YC!BJ20,PY!BJ20,BY!BJ20,SM!BJ20,SC!BJ20,TC!BJ20,ML!BJ20,QN!BJ20,XL!BJ20,'XL (BHTP1)'!BJ20,'XL (BHTP2)'!BJ20)</f>
        <v>0</v>
      </c>
      <c r="BK20" s="13">
        <f>SUM('TP1'!BK20,'TP2'!BK20,MS!BK20,'MC + Vân hồ'!BK20,YC!BK20,PY!BK20,BY!BK20,SM!BK20,SC!BK20,TC!BK20,ML!BK20,QN!BK20,XL!BK20,'XL (BHTP1)'!BK20,'XL (BHTP2)'!BK20)</f>
        <v>0</v>
      </c>
      <c r="BL20" s="13">
        <f>SUM('TP1'!BL20,'TP2'!BL20,MS!BL20,'MC + Vân hồ'!BL20,YC!BL20,PY!BL20,BY!BL20,SM!BL20,SC!BL20,TC!BL20,ML!BL20,QN!BL20,XL!BL20,'XL (BHTP1)'!BL20,'XL (BHTP2)'!BL20)</f>
        <v>0</v>
      </c>
      <c r="BM20" s="13">
        <f>SUM('TP1'!BM20,'TP2'!BM20,MS!BM20,'MC + Vân hồ'!BM20,YC!BM20,PY!BM20,BY!BM20,SM!BM20,SC!BM20,TC!BM20,ML!BM20,QN!BM20,XL!BM20,'XL (BHTP1)'!BM20,'XL (BHTP2)'!BM20)</f>
        <v>0</v>
      </c>
      <c r="BN20" s="13">
        <f>SUM('TP1'!BN20,'TP2'!BN20,MS!BN20,'MC + Vân hồ'!BN20,YC!BN20,PY!BN20,BY!BN20,SM!BN20,SC!BN20,TC!BN20,ML!BN20,QN!BN20,XL!BN20,'XL (BHTP1)'!BN20,'XL (BHTP2)'!BN20)</f>
        <v>0</v>
      </c>
      <c r="BO20" s="13">
        <f>SUM('TP1'!BO20,'TP2'!BO20,MS!BO20,'MC + Vân hồ'!BO20,YC!BO20,PY!BO20,BY!BO20,SM!BO20,SC!BO20,TC!BO20,ML!BO20,QN!BO20,XL!BO20,'XL (BHTP1)'!BO20,'XL (BHTP2)'!BO20)</f>
        <v>0</v>
      </c>
      <c r="BP20" s="13">
        <f>SUM('TP1'!BP20,'TP2'!BP20,MS!BP20,'MC + Vân hồ'!BP20,YC!BP20,PY!BP20,BY!BP20,SM!BP20,SC!BP20,TC!BP20,ML!BP20,QN!BP20,XL!BP20,'XL (BHTP1)'!BP20,'XL (BHTP2)'!BP20)</f>
        <v>0</v>
      </c>
      <c r="BQ20" s="13">
        <f>SUM('TP1'!BQ20,'TP2'!BQ20,MS!BQ20,'MC + Vân hồ'!BQ20,YC!BQ20,PY!BQ20,BY!BQ20,SM!BQ20,SC!BQ20,TC!BQ20,ML!BQ20,QN!BQ20,XL!BQ20,'XL (BHTP1)'!BQ20,'XL (BHTP2)'!BQ20)</f>
        <v>0</v>
      </c>
      <c r="BR20" s="13">
        <f>SUM('TP1'!BR20,'TP2'!BR20,MS!BR20,'MC + Vân hồ'!BR20,YC!BR20,PY!BR20,BY!BR20,SM!BR20,SC!BR20,TC!BR20,ML!BR20,QN!BR20,XL!BR20,'XL (BHTP1)'!BR20,'XL (BHTP2)'!BR20)</f>
        <v>0</v>
      </c>
      <c r="BS20" s="13">
        <f>SUM('TP1'!BS20,'TP2'!BS20,MS!BS20,'MC + Vân hồ'!BS20,YC!BS20,PY!BS20,BY!BS20,SM!BS20,SC!BS20,TC!BS20,ML!BS20,QN!BS20,XL!BS20,'XL (BHTP1)'!BS20,'XL (BHTP2)'!BS20)</f>
        <v>0</v>
      </c>
      <c r="BT20" s="13">
        <f>SUM('TP1'!BT20,'TP2'!BT20,MS!BT20,'MC + Vân hồ'!BT20,YC!BT20,PY!BT20,BY!BT20,SM!BT20,SC!BT20,TC!BT20,ML!BT20,QN!BT20,XL!BT20,'XL (BHTP1)'!BT20,'XL (BHTP2)'!BT20)</f>
        <v>0</v>
      </c>
      <c r="BU20" s="13">
        <f>SUM('TP1'!BU20,'TP2'!BU20,MS!BU20,'MC + Vân hồ'!BU20,YC!BU20,PY!BU20,BY!BU20,SM!BU20,SC!BU20,TC!BU20,ML!BU20,QN!BU20,XL!BU20,'XL (BHTP1)'!BU20,'XL (BHTP2)'!BU20)</f>
        <v>0</v>
      </c>
      <c r="BV20" s="13">
        <f>SUM('TP1'!BV20,'TP2'!BV20,MS!BV20,'MC + Vân hồ'!BV20,YC!BV20,PY!BV20,BY!BV20,SM!BV20,SC!BV20,TC!BV20,ML!BV20,QN!BV20,XL!BV20,'XL (BHTP1)'!BV20,'XL (BHTP2)'!BV20)</f>
        <v>0</v>
      </c>
      <c r="BW20" s="13">
        <f>SUM('TP1'!BW20,'TP2'!BW20,MS!BW20,'MC + Vân hồ'!BW20,YC!BW20,PY!BW20,BY!BW20,SM!BW20,SC!BW20,TC!BW20,ML!BW20,QN!BW20,XL!BW20,'XL (BHTP1)'!BW20,'XL (BHTP2)'!BW20)</f>
        <v>0</v>
      </c>
      <c r="BX20" s="13">
        <f>SUM('TP1'!BX20,'TP2'!BX20,MS!BX20,'MC + Vân hồ'!BX20,YC!BX20,PY!BX20,BY!BX20,SM!BX20,SC!BX20,TC!BX20,ML!BX20,QN!BX20,XL!BX20,'XL (BHTP1)'!BX20,'XL (BHTP2)'!BX20)</f>
        <v>0</v>
      </c>
      <c r="BY20" s="13">
        <f>SUM('TP1'!BY20,'TP2'!BY20,MS!BY20,'MC + Vân hồ'!BY20,YC!BY20,PY!BY20,BY!BY20,SM!BY20,SC!BY20,TC!BY20,ML!BY20,QN!BY20,XL!BY20,'XL (BHTP1)'!BY20,'XL (BHTP2)'!BY20)</f>
        <v>0</v>
      </c>
      <c r="BZ20" s="13">
        <f>SUM('TP1'!BZ20,'TP2'!BZ20,MS!BZ20,'MC + Vân hồ'!BZ20,YC!BZ20,PY!BZ20,BY!BZ20,SM!BZ20,SC!BZ20,TC!BZ20,ML!BZ20,QN!BZ20,XL!BZ20,'XL (BHTP1)'!BZ20,'XL (BHTP2)'!BZ20)</f>
        <v>0</v>
      </c>
      <c r="CA20" s="13">
        <f>SUM('TP1'!CA20,'TP2'!CA20,MS!CA20,'MC + Vân hồ'!CA20,YC!CA20,PY!CA20,BY!CA20,SM!CA20,SC!CA20,TC!CA20,ML!CA20,QN!CA20,XL!CA20,'XL (BHTP1)'!CA20,'XL (BHTP2)'!CA20)</f>
        <v>0</v>
      </c>
      <c r="CB20" s="13">
        <f>SUM('TP1'!CB20,'TP2'!CB20,MS!CB20,'MC + Vân hồ'!CB20,YC!CB20,PY!CB20,BY!CB20,SM!CB20,SC!CB20,TC!CB20,ML!CB20,QN!CB20,XL!CB20,'XL (BHTP1)'!CB20,'XL (BHTP2)'!CB20)</f>
        <v>0</v>
      </c>
      <c r="CC20" s="13">
        <f>SUM('TP1'!CC20,'TP2'!CC20,MS!CC20,'MC + Vân hồ'!CC20,YC!CC20,PY!CC20,BY!CC20,SM!CC20,SC!CC20,TC!CC20,ML!CC20,QN!CC20,XL!CC20,'XL (BHTP1)'!CC20,'XL (BHTP2)'!CC20)</f>
        <v>0</v>
      </c>
      <c r="CD20" s="13">
        <f>SUM('TP1'!CD20,'TP2'!CD20,MS!CD20,'MC + Vân hồ'!CD20,YC!CD20,PY!CD20,BY!CD20,SM!CD20,SC!CD20,TC!CD20,ML!CD20,QN!CD20,XL!CD20,'XL (BHTP1)'!CD20,'XL (BHTP2)'!CD20)</f>
        <v>0</v>
      </c>
      <c r="CE20" s="13">
        <f>SUM('TP1'!CE20,'TP2'!CE20,MS!CE20,'MC + Vân hồ'!CE20,YC!CE20,PY!CE20,BY!CE20,SM!CE20,SC!CE20,TC!CE20,ML!CE20,QN!CE20,XL!CE20,'XL (BHTP1)'!CE20,'XL (BHTP2)'!CE20)</f>
        <v>0</v>
      </c>
      <c r="CF20" s="13">
        <f>SUM('TP1'!CF20,'TP2'!CF20,MS!CF20,'MC + Vân hồ'!CF20,YC!CF20,PY!CF20,BY!CF20,SM!CF20,SC!CF20,TC!CF20,ML!CF20,QN!CF20,XL!CF20,'XL (BHTP1)'!CF20,'XL (BHTP2)'!CF20)</f>
        <v>0</v>
      </c>
      <c r="CG20" s="13">
        <f>SUM('TP1'!CG20,'TP2'!CG20,MS!CG20,'MC + Vân hồ'!CG20,YC!CG20,PY!CG20,BY!CG20,SM!CG20,SC!CG20,TC!CG20,ML!CG20,QN!CG20,XL!CG20,'XL (BHTP1)'!CG20,'XL (BHTP2)'!CG20)</f>
        <v>0</v>
      </c>
      <c r="CH20" s="13">
        <f>SUM('TP1'!CH20,'TP2'!CH20,MS!CH20,'MC + Vân hồ'!CH20,YC!CH20,PY!CH20,BY!CH20,SM!CH20,SC!CH20,TC!CH20,ML!CH20,QN!CH20,XL!CH20,'XL (BHTP1)'!CH20,'XL (BHTP2)'!CH20)</f>
        <v>0</v>
      </c>
      <c r="CI20" s="13">
        <f>SUM('TP1'!CI20,'TP2'!CI20,MS!CI20,'MC + Vân hồ'!CI20,YC!CI20,PY!CI20,BY!CI20,SM!CI20,SC!CI20,TC!CI20,ML!CI20,QN!CI20,XL!CI20,'XL (BHTP1)'!CI20,'XL (BHTP2)'!CI20)</f>
        <v>0</v>
      </c>
      <c r="CJ20" s="13">
        <f>SUM('TP1'!CJ20,'TP2'!CJ20,MS!CJ20,'MC + Vân hồ'!CJ20,YC!CJ20,PY!CJ20,BY!CJ20,SM!CJ20,SC!CJ20,TC!CJ20,ML!CJ20,QN!CJ20,XL!CJ20,'XL (BHTP1)'!CJ20,'XL (BHTP2)'!CJ20)</f>
        <v>0</v>
      </c>
      <c r="CK20" s="73">
        <f t="shared" ref="CK20:CQ20" si="16">SUM(E20,L20,S20,Z20,AG20,AN20,AU20,BB20,BI20,BP20,BW20,CD20)</f>
        <v>0</v>
      </c>
      <c r="CL20" s="73">
        <f t="shared" si="16"/>
        <v>0</v>
      </c>
      <c r="CM20" s="73">
        <f t="shared" si="16"/>
        <v>0</v>
      </c>
      <c r="CN20" s="73">
        <f t="shared" si="16"/>
        <v>0</v>
      </c>
      <c r="CO20" s="73">
        <f t="shared" si="16"/>
        <v>0</v>
      </c>
      <c r="CP20" s="73">
        <f t="shared" si="16"/>
        <v>0</v>
      </c>
      <c r="CQ20" s="73">
        <f t="shared" si="16"/>
        <v>0</v>
      </c>
      <c r="CR20" s="56"/>
      <c r="CS20" s="56">
        <f t="shared" si="3"/>
        <v>0</v>
      </c>
    </row>
    <row r="21" ht="15.75" customHeight="1" outlineLevel="1">
      <c r="B21" s="12" t="s">
        <v>60</v>
      </c>
      <c r="C21" s="12" t="s">
        <v>61</v>
      </c>
      <c r="D21" s="12" t="s">
        <v>26</v>
      </c>
      <c r="E21" s="13">
        <f>SUM('TP1'!E21,'TP2'!E21,MS!E21,'MC + Vân hồ'!E21,YC!E21,PY!E21,BY!E21,SM!E21,SC!E21,TC!E21,ML!E21,QN!E21,XL!E21,'XL (BHTP1)'!E21,'XL (BHTP2)'!E21)</f>
        <v>0</v>
      </c>
      <c r="F21" s="13">
        <f>SUM('TP1'!F21,'TP2'!F21,MS!F21,'MC + Vân hồ'!F21,YC!F21,PY!F21,BY!F21,SM!F21,SC!F21,TC!F21,ML!F21,QN!F21,XL!F21,'XL (BHTP1)'!F21,'XL (BHTP2)'!F21)</f>
        <v>0</v>
      </c>
      <c r="G21" s="13">
        <f>SUM('TP1'!G21,'TP2'!G21,MS!G21,'MC + Vân hồ'!G21,YC!G21,PY!G21,BY!G21,SM!G21,SC!G21,TC!G21,ML!G21,QN!G21,XL!G21,'XL (BHTP1)'!G21,'XL (BHTP2)'!G21)</f>
        <v>0</v>
      </c>
      <c r="H21" s="13">
        <f>SUM('TP1'!H21,'TP2'!H21,MS!H21,'MC + Vân hồ'!H21,YC!H21,PY!H21,BY!H21,SM!H21,SC!H21,TC!H21,ML!H21,QN!H21,XL!H21,'XL (BHTP1)'!H21,'XL (BHTP2)'!H21)</f>
        <v>0</v>
      </c>
      <c r="I21" s="13">
        <f>SUM('TP1'!I21,'TP2'!I21,MS!I21,'MC + Vân hồ'!I21,YC!I21,PY!I21,BY!I21,SM!I21,SC!I21,TC!I21,ML!I21,QN!I21,XL!I21,'XL (BHTP1)'!I21,'XL (BHTP2)'!I21)</f>
        <v>0</v>
      </c>
      <c r="J21" s="13">
        <f>SUM('TP1'!J21,'TP2'!J21,MS!J21,'MC + Vân hồ'!J21,YC!J21,PY!J21,BY!J21,SM!J21,SC!J21,TC!J21,ML!J21,QN!J21,XL!J21,'XL (BHTP1)'!J21,'XL (BHTP2)'!J21)</f>
        <v>0</v>
      </c>
      <c r="K21" s="13">
        <f>SUM('TP1'!K21,'TP2'!K21,MS!K21,'MC + Vân hồ'!K21,YC!K21,PY!K21,BY!K21,SM!K21,SC!K21,TC!K21,ML!K21,QN!K21,XL!K21,'XL (BHTP1)'!K21,'XL (BHTP2)'!K21)</f>
        <v>0</v>
      </c>
      <c r="L21" s="13">
        <f>SUM('TP1'!L21,'TP2'!L21,MS!L21,'MC + Vân hồ'!L21,YC!L21,PY!L21,BY!L21,SM!L21,SC!L21,TC!L21,ML!L21,QN!L21,XL!L21,'XL (BHTP1)'!L21,'XL (BHTP2)'!L21)</f>
        <v>0</v>
      </c>
      <c r="M21" s="13">
        <f>SUM('TP1'!M21,'TP2'!M21,MS!M21,'MC + Vân hồ'!M21,YC!M21,PY!M21,BY!M21,SM!M21,SC!M21,TC!M21,ML!M21,QN!M21,XL!M21,'XL (BHTP1)'!M21,'XL (BHTP2)'!M21)</f>
        <v>1</v>
      </c>
      <c r="N21" s="13">
        <f>SUM('TP1'!N21,'TP2'!N21,MS!N21,'MC + Vân hồ'!N21,YC!N21,PY!N21,BY!N21,SM!N21,SC!N21,TC!N21,ML!N21,QN!N21,XL!N21,'XL (BHTP1)'!N21,'XL (BHTP2)'!N21)</f>
        <v>0</v>
      </c>
      <c r="O21" s="13">
        <f>SUM('TP1'!O21,'TP2'!O21,MS!O21,'MC + Vân hồ'!O21,YC!O21,PY!O21,BY!O21,SM!O21,SC!O21,TC!O21,ML!O21,QN!O21,XL!O21,'XL (BHTP1)'!O21,'XL (BHTP2)'!O21)</f>
        <v>0</v>
      </c>
      <c r="P21" s="13">
        <f>SUM('TP1'!P21,'TP2'!P21,MS!P21,'MC + Vân hồ'!P21,YC!P21,PY!P21,BY!P21,SM!P21,SC!P21,TC!P21,ML!P21,QN!P21,XL!P21,'XL (BHTP1)'!P21,'XL (BHTP2)'!P21)</f>
        <v>0</v>
      </c>
      <c r="Q21" s="13">
        <f>SUM('TP1'!Q21,'TP2'!Q21,MS!Q21,'MC + Vân hồ'!Q21,YC!Q21,PY!Q21,BY!Q21,SM!Q21,SC!Q21,TC!Q21,ML!Q21,QN!Q21,XL!Q21,'XL (BHTP1)'!Q21,'XL (BHTP2)'!Q21)</f>
        <v>0</v>
      </c>
      <c r="R21" s="13">
        <f>SUM('TP1'!R21,'TP2'!R21,MS!R21,'MC + Vân hồ'!R21,YC!R21,PY!R21,BY!R21,SM!R21,SC!R21,TC!R21,ML!R21,QN!R21,XL!R21,'XL (BHTP1)'!R21,'XL (BHTP2)'!R21)</f>
        <v>0</v>
      </c>
      <c r="S21" s="13">
        <f>SUM('TP1'!S21,'TP2'!S21,MS!S21,'MC + Vân hồ'!S21,YC!S21,PY!S21,BY!S21,SM!S21,SC!S21,TC!S21,ML!S21,QN!S21,XL!S21,'XL (BHTP1)'!S21,'XL (BHTP2)'!S21)</f>
        <v>0</v>
      </c>
      <c r="T21" s="13">
        <f>SUM('TP1'!T21,'TP2'!T21,MS!T21,'MC + Vân hồ'!T21,YC!T21,PY!T21,BY!T21,SM!T21,SC!T21,TC!T21,ML!T21,QN!T21,XL!T21,'XL (BHTP1)'!T21,'XL (BHTP2)'!T21)</f>
        <v>0</v>
      </c>
      <c r="U21" s="13">
        <f>SUM('TP1'!U21,'TP2'!U21,MS!U21,'MC + Vân hồ'!U21,YC!U21,PY!U21,BY!U21,SM!U21,SC!U21,TC!U21,ML!U21,QN!U21,XL!U21,'XL (BHTP1)'!U21,'XL (BHTP2)'!U21)</f>
        <v>0</v>
      </c>
      <c r="V21" s="13">
        <f>SUM('TP1'!V21,'TP2'!V21,MS!V21,'MC + Vân hồ'!V21,YC!V21,PY!V21,BY!V21,SM!V21,SC!V21,TC!V21,ML!V21,QN!V21,XL!V21,'XL (BHTP1)'!V21,'XL (BHTP2)'!V21)</f>
        <v>0</v>
      </c>
      <c r="W21" s="13">
        <f>SUM('TP1'!W21,'TP2'!W21,MS!W21,'MC + Vân hồ'!W21,YC!W21,PY!W21,BY!W21,SM!W21,SC!W21,TC!W21,ML!W21,QN!W21,XL!W21,'XL (BHTP1)'!W21,'XL (BHTP2)'!W21)</f>
        <v>0</v>
      </c>
      <c r="X21" s="13">
        <f>SUM('TP1'!X21,'TP2'!X21,MS!X21,'MC + Vân hồ'!X21,YC!X21,PY!X21,BY!X21,SM!X21,SC!X21,TC!X21,ML!X21,QN!X21,XL!X21,'XL (BHTP1)'!X21,'XL (BHTP2)'!X21)</f>
        <v>0</v>
      </c>
      <c r="Y21" s="13">
        <f>SUM('TP1'!Y21,'TP2'!Y21,MS!Y21,'MC + Vân hồ'!Y21,YC!Y21,PY!Y21,BY!Y21,SM!Y21,SC!Y21,TC!Y21,ML!Y21,QN!Y21,XL!Y21,'XL (BHTP1)'!Y21,'XL (BHTP2)'!Y21)</f>
        <v>0</v>
      </c>
      <c r="Z21" s="13">
        <f>SUM('TP1'!Z21,'TP2'!Z21,MS!Z21,'MC + Vân hồ'!Z21,YC!Z21,PY!Z21,BY!Z21,SM!Z21,SC!Z21,TC!Z21,ML!Z21,QN!Z21,XL!Z21,'XL (BHTP1)'!Z21,'XL (BHTP2)'!Z21)</f>
        <v>0</v>
      </c>
      <c r="AA21" s="13">
        <f>SUM('TP1'!AA21,'TP2'!AA21,MS!AA21,'MC + Vân hồ'!AA21,YC!AA21,PY!AA21,BY!AA21,SM!AA21,SC!AA21,TC!AA21,ML!AA21,QN!AA21,XL!AA21,'XL (BHTP1)'!AA21,'XL (BHTP2)'!AA21)</f>
        <v>0</v>
      </c>
      <c r="AB21" s="13">
        <f>SUM('TP1'!AB21,'TP2'!AB21,MS!AB21,'MC + Vân hồ'!AB21,YC!AB21,PY!AB21,BY!AB21,SM!AB21,SC!AB21,TC!AB21,ML!AB21,QN!AB21,XL!AB21,'XL (BHTP1)'!AB21,'XL (BHTP2)'!AB21)</f>
        <v>0</v>
      </c>
      <c r="AC21" s="13">
        <f>SUM('TP1'!AC21,'TP2'!AC21,MS!AC21,'MC + Vân hồ'!AC21,YC!AC21,PY!AC21,BY!AC21,SM!AC21,SC!AC21,TC!AC21,ML!AC21,QN!AC21,XL!AC21,'XL (BHTP1)'!AC21,'XL (BHTP2)'!AC21)</f>
        <v>0</v>
      </c>
      <c r="AD21" s="13">
        <f>SUM('TP1'!AD21,'TP2'!AD21,MS!AD21,'MC + Vân hồ'!AD21,YC!AD21,PY!AD21,BY!AD21,SM!AD21,SC!AD21,TC!AD21,ML!AD21,QN!AD21,XL!AD21,'XL (BHTP1)'!AD21,'XL (BHTP2)'!AD21)</f>
        <v>0</v>
      </c>
      <c r="AE21" s="13">
        <f>SUM('TP1'!AE21,'TP2'!AE21,MS!AE21,'MC + Vân hồ'!AE21,YC!AE21,PY!AE21,BY!AE21,SM!AE21,SC!AE21,TC!AE21,ML!AE21,QN!AE21,XL!AE21,'XL (BHTP1)'!AE21,'XL (BHTP2)'!AE21)</f>
        <v>0</v>
      </c>
      <c r="AF21" s="13">
        <f>SUM('TP1'!AF21,'TP2'!AF21,MS!AF21,'MC + Vân hồ'!AF21,YC!AF21,PY!AF21,BY!AF21,SM!AF21,SC!AF21,TC!AF21,ML!AF21,QN!AF21,XL!AF21,'XL (BHTP1)'!AF21,'XL (BHTP2)'!AF21)</f>
        <v>0</v>
      </c>
      <c r="AG21" s="13">
        <f>SUM('TP1'!AG21,'TP2'!AG21,MS!AG21,'MC + Vân hồ'!AG21,YC!AG21,PY!AG21,BY!AG21,SM!AG21,SC!AG21,TC!AG21,ML!AG21,QN!AG21,XL!AG21,'XL (BHTP1)'!AG21,'XL (BHTP2)'!AG21)</f>
        <v>0</v>
      </c>
      <c r="AH21" s="13">
        <f>SUM('TP1'!AH21,'TP2'!AH21,MS!AH21,'MC + Vân hồ'!AH21,YC!AH21,PY!AH21,BY!AH21,SM!AH21,SC!AH21,TC!AH21,ML!AH21,QN!AH21,XL!AH21,'XL (BHTP1)'!AH21,'XL (BHTP2)'!AH21)</f>
        <v>0</v>
      </c>
      <c r="AI21" s="13">
        <f>SUM('TP1'!AI21,'TP2'!AI21,MS!AI21,'MC + Vân hồ'!AI21,YC!AI21,PY!AI21,BY!AI21,SM!AI21,SC!AI21,TC!AI21,ML!AI21,QN!AI21,XL!AI21,'XL (BHTP1)'!AI21,'XL (BHTP2)'!AI21)</f>
        <v>0</v>
      </c>
      <c r="AJ21" s="13">
        <f>SUM('TP1'!AJ21,'TP2'!AJ21,MS!AJ21,'MC + Vân hồ'!AJ21,YC!AJ21,PY!AJ21,BY!AJ21,SM!AJ21,SC!AJ21,TC!AJ21,ML!AJ21,QN!AJ21,XL!AJ21,'XL (BHTP1)'!AJ21,'XL (BHTP2)'!AJ21)</f>
        <v>0</v>
      </c>
      <c r="AK21" s="13">
        <f>SUM('TP1'!AK21,'TP2'!AK21,MS!AK21,'MC + Vân hồ'!AK21,YC!AK21,PY!AK21,BY!AK21,SM!AK21,SC!AK21,TC!AK21,ML!AK21,QN!AK21,XL!AK21,'XL (BHTP1)'!AK21,'XL (BHTP2)'!AK21)</f>
        <v>0</v>
      </c>
      <c r="AL21" s="13">
        <f>SUM('TP1'!AL21,'TP2'!AL21,MS!AL21,'MC + Vân hồ'!AL21,YC!AL21,PY!AL21,BY!AL21,SM!AL21,SC!AL21,TC!AL21,ML!AL21,QN!AL21,XL!AL21,'XL (BHTP1)'!AL21,'XL (BHTP2)'!AL21)</f>
        <v>0</v>
      </c>
      <c r="AM21" s="13">
        <f>SUM('TP1'!AM21,'TP2'!AM21,MS!AM21,'MC + Vân hồ'!AM21,YC!AM21,PY!AM21,BY!AM21,SM!AM21,SC!AM21,TC!AM21,ML!AM21,QN!AM21,XL!AM21,'XL (BHTP1)'!AM21,'XL (BHTP2)'!AM21)</f>
        <v>0</v>
      </c>
      <c r="AN21" s="13">
        <f>SUM('TP1'!AN21,'TP2'!AN21,MS!AN21,'MC + Vân hồ'!AN21,YC!AN21,PY!AN21,BY!AN21,SM!AN21,SC!AN21,TC!AN21,ML!AN21,QN!AN21,XL!AN21,'XL (BHTP1)'!AN21,'XL (BHTP2)'!AN21)</f>
        <v>0</v>
      </c>
      <c r="AO21" s="13">
        <f>SUM('TP1'!AO21,'TP2'!AO21,MS!AO21,'MC + Vân hồ'!AO21,YC!AO21,PY!AO21,BY!AO21,SM!AO21,SC!AO21,TC!AO21,ML!AO21,QN!AO21,XL!AO21,'XL (BHTP1)'!AO21,'XL (BHTP2)'!AO21)</f>
        <v>0</v>
      </c>
      <c r="AP21" s="13">
        <f>SUM('TP1'!AP21,'TP2'!AP21,MS!AP21,'MC + Vân hồ'!AP21,YC!AP21,PY!AP21,BY!AP21,SM!AP21,SC!AP21,TC!AP21,ML!AP21,QN!AP21,XL!AP21,'XL (BHTP1)'!AP21,'XL (BHTP2)'!AP21)</f>
        <v>0</v>
      </c>
      <c r="AQ21" s="13">
        <f>SUM('TP1'!AQ21,'TP2'!AQ21,MS!AQ21,'MC + Vân hồ'!AQ21,YC!AQ21,PY!AQ21,BY!AQ21,SM!AQ21,SC!AQ21,TC!AQ21,ML!AQ21,QN!AQ21,XL!AQ21,'XL (BHTP1)'!AQ21,'XL (BHTP2)'!AQ21)</f>
        <v>0</v>
      </c>
      <c r="AR21" s="13">
        <f>SUM('TP1'!AR21,'TP2'!AR21,MS!AR21,'MC + Vân hồ'!AR21,YC!AR21,PY!AR21,BY!AR21,SM!AR21,SC!AR21,TC!AR21,ML!AR21,QN!AR21,XL!AR21,'XL (BHTP1)'!AR21,'XL (BHTP2)'!AR21)</f>
        <v>0</v>
      </c>
      <c r="AS21" s="13">
        <f>SUM('TP1'!AS21,'TP2'!AS21,MS!AS21,'MC + Vân hồ'!AS21,YC!AS21,PY!AS21,BY!AS21,SM!AS21,SC!AS21,TC!AS21,ML!AS21,QN!AS21,XL!AS21,'XL (BHTP1)'!AS21,'XL (BHTP2)'!AS21)</f>
        <v>0</v>
      </c>
      <c r="AT21" s="13">
        <f>SUM('TP1'!AT21,'TP2'!AT21,MS!AT21,'MC + Vân hồ'!AT21,YC!AT21,PY!AT21,BY!AT21,SM!AT21,SC!AT21,TC!AT21,ML!AT21,QN!AT21,XL!AT21,'XL (BHTP1)'!AT21,'XL (BHTP2)'!AT21)</f>
        <v>0</v>
      </c>
      <c r="AU21" s="13">
        <f>SUM('TP1'!AU21,'TP2'!AU21,MS!AU21,'MC + Vân hồ'!AU21,YC!AU21,PY!AU21,BY!AU21,SM!AU21,SC!AU21,TC!AU21,ML!AU21,QN!AU21,XL!AU21,'XL (BHTP1)'!AU21,'XL (BHTP2)'!AU21)</f>
        <v>0</v>
      </c>
      <c r="AV21" s="13">
        <f>SUM('TP1'!AV21,'TP2'!AV21,MS!AV21,'MC + Vân hồ'!AV21,YC!AV21,PY!AV21,BY!AV21,SM!AV21,SC!AV21,TC!AV21,ML!AV21,QN!AV21,XL!AV21,'XL (BHTP1)'!AV21,'XL (BHTP2)'!AV21)</f>
        <v>0</v>
      </c>
      <c r="AW21" s="13">
        <f>SUM('TP1'!AW21,'TP2'!AW21,MS!AW21,'MC + Vân hồ'!AW21,YC!AW21,PY!AW21,BY!AW21,SM!AW21,SC!AW21,TC!AW21,ML!AW21,QN!AW21,XL!AW21,'XL (BHTP1)'!AW21,'XL (BHTP2)'!AW21)</f>
        <v>0</v>
      </c>
      <c r="AX21" s="13">
        <f>SUM('TP1'!AX21,'TP2'!AX21,MS!AX21,'MC + Vân hồ'!AX21,YC!AX21,PY!AX21,BY!AX21,SM!AX21,SC!AX21,TC!AX21,ML!AX21,QN!AX21,XL!AX21,'XL (BHTP1)'!AX21,'XL (BHTP2)'!AX21)</f>
        <v>0</v>
      </c>
      <c r="AY21" s="13">
        <f>SUM('TP1'!AY21,'TP2'!AY21,MS!AY21,'MC + Vân hồ'!AY21,YC!AY21,PY!AY21,BY!AY21,SM!AY21,SC!AY21,TC!AY21,ML!AY21,QN!AY21,XL!AY21,'XL (BHTP1)'!AY21,'XL (BHTP2)'!AY21)</f>
        <v>0</v>
      </c>
      <c r="AZ21" s="13">
        <f>SUM('TP1'!AZ21,'TP2'!AZ21,MS!AZ21,'MC + Vân hồ'!AZ21,YC!AZ21,PY!AZ21,BY!AZ21,SM!AZ21,SC!AZ21,TC!AZ21,ML!AZ21,QN!AZ21,XL!AZ21,'XL (BHTP1)'!AZ21,'XL (BHTP2)'!AZ21)</f>
        <v>0</v>
      </c>
      <c r="BA21" s="13">
        <f>SUM('TP1'!BA21,'TP2'!BA21,MS!BA21,'MC + Vân hồ'!BA21,YC!BA21,PY!BA21,BY!BA21,SM!BA21,SC!BA21,TC!BA21,ML!BA21,QN!BA21,XL!BA21,'XL (BHTP1)'!BA21,'XL (BHTP2)'!BA21)</f>
        <v>0</v>
      </c>
      <c r="BB21" s="13">
        <f>SUM('TP1'!BB21,'TP2'!BB21,MS!BB21,'MC + Vân hồ'!BB21,YC!BB21,PY!BB21,BY!BB21,SM!BB21,SC!BB21,TC!BB21,ML!BB21,QN!BB21,XL!BB21,'XL (BHTP1)'!BB21,'XL (BHTP2)'!BB21)</f>
        <v>0</v>
      </c>
      <c r="BC21" s="13">
        <f>SUM('TP1'!BC21,'TP2'!BC21,MS!BC21,'MC + Vân hồ'!BC21,YC!BC21,PY!BC21,BY!BC21,SM!BC21,SC!BC21,TC!BC21,ML!BC21,QN!BC21,XL!BC21,'XL (BHTP1)'!BC21,'XL (BHTP2)'!BC21)</f>
        <v>0</v>
      </c>
      <c r="BD21" s="13">
        <f>SUM('TP1'!BD21,'TP2'!BD21,MS!BD21,'MC + Vân hồ'!BD21,YC!BD21,PY!BD21,BY!BD21,SM!BD21,SC!BD21,TC!BD21,ML!BD21,QN!BD21,XL!BD21,'XL (BHTP1)'!BD21,'XL (BHTP2)'!BD21)</f>
        <v>0</v>
      </c>
      <c r="BE21" s="13">
        <f>SUM('TP1'!BE21,'TP2'!BE21,MS!BE21,'MC + Vân hồ'!BE21,YC!BE21,PY!BE21,BY!BE21,SM!BE21,SC!BE21,TC!BE21,ML!BE21,QN!BE21,XL!BE21,'XL (BHTP1)'!BE21,'XL (BHTP2)'!BE21)</f>
        <v>0</v>
      </c>
      <c r="BF21" s="13">
        <f>SUM('TP1'!BF21,'TP2'!BF21,MS!BF21,'MC + Vân hồ'!BF21,YC!BF21,PY!BF21,BY!BF21,SM!BF21,SC!BF21,TC!BF21,ML!BF21,QN!BF21,XL!BF21,'XL (BHTP1)'!BF21,'XL (BHTP2)'!BF21)</f>
        <v>0</v>
      </c>
      <c r="BG21" s="13">
        <f>SUM('TP1'!BG21,'TP2'!BG21,MS!BG21,'MC + Vân hồ'!BG21,YC!BG21,PY!BG21,BY!BG21,SM!BG21,SC!BG21,TC!BG21,ML!BG21,QN!BG21,XL!BG21,'XL (BHTP1)'!BG21,'XL (BHTP2)'!BG21)</f>
        <v>0</v>
      </c>
      <c r="BH21" s="13">
        <f>SUM('TP1'!BH21,'TP2'!BH21,MS!BH21,'MC + Vân hồ'!BH21,YC!BH21,PY!BH21,BY!BH21,SM!BH21,SC!BH21,TC!BH21,ML!BH21,QN!BH21,XL!BH21,'XL (BHTP1)'!BH21,'XL (BHTP2)'!BH21)</f>
        <v>0</v>
      </c>
      <c r="BI21" s="13">
        <f>SUM('TP1'!BI21,'TP2'!BI21,MS!BI21,'MC + Vân hồ'!BI21,YC!BI21,PY!BI21,BY!BI21,SM!BI21,SC!BI21,TC!BI21,ML!BI21,QN!BI21,XL!BI21,'XL (BHTP1)'!BI21,'XL (BHTP2)'!BI21)</f>
        <v>0</v>
      </c>
      <c r="BJ21" s="13">
        <f>SUM('TP1'!BJ21,'TP2'!BJ21,MS!BJ21,'MC + Vân hồ'!BJ21,YC!BJ21,PY!BJ21,BY!BJ21,SM!BJ21,SC!BJ21,TC!BJ21,ML!BJ21,QN!BJ21,XL!BJ21,'XL (BHTP1)'!BJ21,'XL (BHTP2)'!BJ21)</f>
        <v>0</v>
      </c>
      <c r="BK21" s="13">
        <f>SUM('TP1'!BK21,'TP2'!BK21,MS!BK21,'MC + Vân hồ'!BK21,YC!BK21,PY!BK21,BY!BK21,SM!BK21,SC!BK21,TC!BK21,ML!BK21,QN!BK21,XL!BK21,'XL (BHTP1)'!BK21,'XL (BHTP2)'!BK21)</f>
        <v>0</v>
      </c>
      <c r="BL21" s="13">
        <f>SUM('TP1'!BL21,'TP2'!BL21,MS!BL21,'MC + Vân hồ'!BL21,YC!BL21,PY!BL21,BY!BL21,SM!BL21,SC!BL21,TC!BL21,ML!BL21,QN!BL21,XL!BL21,'XL (BHTP1)'!BL21,'XL (BHTP2)'!BL21)</f>
        <v>0</v>
      </c>
      <c r="BM21" s="13">
        <f>SUM('TP1'!BM21,'TP2'!BM21,MS!BM21,'MC + Vân hồ'!BM21,YC!BM21,PY!BM21,BY!BM21,SM!BM21,SC!BM21,TC!BM21,ML!BM21,QN!BM21,XL!BM21,'XL (BHTP1)'!BM21,'XL (BHTP2)'!BM21)</f>
        <v>0</v>
      </c>
      <c r="BN21" s="13">
        <f>SUM('TP1'!BN21,'TP2'!BN21,MS!BN21,'MC + Vân hồ'!BN21,YC!BN21,PY!BN21,BY!BN21,SM!BN21,SC!BN21,TC!BN21,ML!BN21,QN!BN21,XL!BN21,'XL (BHTP1)'!BN21,'XL (BHTP2)'!BN21)</f>
        <v>0</v>
      </c>
      <c r="BO21" s="13">
        <f>SUM('TP1'!BO21,'TP2'!BO21,MS!BO21,'MC + Vân hồ'!BO21,YC!BO21,PY!BO21,BY!BO21,SM!BO21,SC!BO21,TC!BO21,ML!BO21,QN!BO21,XL!BO21,'XL (BHTP1)'!BO21,'XL (BHTP2)'!BO21)</f>
        <v>0</v>
      </c>
      <c r="BP21" s="13">
        <f>SUM('TP1'!BP21,'TP2'!BP21,MS!BP21,'MC + Vân hồ'!BP21,YC!BP21,PY!BP21,BY!BP21,SM!BP21,SC!BP21,TC!BP21,ML!BP21,QN!BP21,XL!BP21,'XL (BHTP1)'!BP21,'XL (BHTP2)'!BP21)</f>
        <v>0</v>
      </c>
      <c r="BQ21" s="13">
        <f>SUM('TP1'!BQ21,'TP2'!BQ21,MS!BQ21,'MC + Vân hồ'!BQ21,YC!BQ21,PY!BQ21,BY!BQ21,SM!BQ21,SC!BQ21,TC!BQ21,ML!BQ21,QN!BQ21,XL!BQ21,'XL (BHTP1)'!BQ21,'XL (BHTP2)'!BQ21)</f>
        <v>0</v>
      </c>
      <c r="BR21" s="13">
        <f>SUM('TP1'!BR21,'TP2'!BR21,MS!BR21,'MC + Vân hồ'!BR21,YC!BR21,PY!BR21,BY!BR21,SM!BR21,SC!BR21,TC!BR21,ML!BR21,QN!BR21,XL!BR21,'XL (BHTP1)'!BR21,'XL (BHTP2)'!BR21)</f>
        <v>0</v>
      </c>
      <c r="BS21" s="13">
        <f>SUM('TP1'!BS21,'TP2'!BS21,MS!BS21,'MC + Vân hồ'!BS21,YC!BS21,PY!BS21,BY!BS21,SM!BS21,SC!BS21,TC!BS21,ML!BS21,QN!BS21,XL!BS21,'XL (BHTP1)'!BS21,'XL (BHTP2)'!BS21)</f>
        <v>0</v>
      </c>
      <c r="BT21" s="13">
        <f>SUM('TP1'!BT21,'TP2'!BT21,MS!BT21,'MC + Vân hồ'!BT21,YC!BT21,PY!BT21,BY!BT21,SM!BT21,SC!BT21,TC!BT21,ML!BT21,QN!BT21,XL!BT21,'XL (BHTP1)'!BT21,'XL (BHTP2)'!BT21)</f>
        <v>0</v>
      </c>
      <c r="BU21" s="13">
        <f>SUM('TP1'!BU21,'TP2'!BU21,MS!BU21,'MC + Vân hồ'!BU21,YC!BU21,PY!BU21,BY!BU21,SM!BU21,SC!BU21,TC!BU21,ML!BU21,QN!BU21,XL!BU21,'XL (BHTP1)'!BU21,'XL (BHTP2)'!BU21)</f>
        <v>0</v>
      </c>
      <c r="BV21" s="13">
        <f>SUM('TP1'!BV21,'TP2'!BV21,MS!BV21,'MC + Vân hồ'!BV21,YC!BV21,PY!BV21,BY!BV21,SM!BV21,SC!BV21,TC!BV21,ML!BV21,QN!BV21,XL!BV21,'XL (BHTP1)'!BV21,'XL (BHTP2)'!BV21)</f>
        <v>0</v>
      </c>
      <c r="BW21" s="13">
        <f>SUM('TP1'!BW21,'TP2'!BW21,MS!BW21,'MC + Vân hồ'!BW21,YC!BW21,PY!BW21,BY!BW21,SM!BW21,SC!BW21,TC!BW21,ML!BW21,QN!BW21,XL!BW21,'XL (BHTP1)'!BW21,'XL (BHTP2)'!BW21)</f>
        <v>0</v>
      </c>
      <c r="BX21" s="13">
        <f>SUM('TP1'!BX21,'TP2'!BX21,MS!BX21,'MC + Vân hồ'!BX21,YC!BX21,PY!BX21,BY!BX21,SM!BX21,SC!BX21,TC!BX21,ML!BX21,QN!BX21,XL!BX21,'XL (BHTP1)'!BX21,'XL (BHTP2)'!BX21)</f>
        <v>0</v>
      </c>
      <c r="BY21" s="13">
        <f>SUM('TP1'!BY21,'TP2'!BY21,MS!BY21,'MC + Vân hồ'!BY21,YC!BY21,PY!BY21,BY!BY21,SM!BY21,SC!BY21,TC!BY21,ML!BY21,QN!BY21,XL!BY21,'XL (BHTP1)'!BY21,'XL (BHTP2)'!BY21)</f>
        <v>0</v>
      </c>
      <c r="BZ21" s="13">
        <f>SUM('TP1'!BZ21,'TP2'!BZ21,MS!BZ21,'MC + Vân hồ'!BZ21,YC!BZ21,PY!BZ21,BY!BZ21,SM!BZ21,SC!BZ21,TC!BZ21,ML!BZ21,QN!BZ21,XL!BZ21,'XL (BHTP1)'!BZ21,'XL (BHTP2)'!BZ21)</f>
        <v>0</v>
      </c>
      <c r="CA21" s="13">
        <f>SUM('TP1'!CA21,'TP2'!CA21,MS!CA21,'MC + Vân hồ'!CA21,YC!CA21,PY!CA21,BY!CA21,SM!CA21,SC!CA21,TC!CA21,ML!CA21,QN!CA21,XL!CA21,'XL (BHTP1)'!CA21,'XL (BHTP2)'!CA21)</f>
        <v>0</v>
      </c>
      <c r="CB21" s="13">
        <f>SUM('TP1'!CB21,'TP2'!CB21,MS!CB21,'MC + Vân hồ'!CB21,YC!CB21,PY!CB21,BY!CB21,SM!CB21,SC!CB21,TC!CB21,ML!CB21,QN!CB21,XL!CB21,'XL (BHTP1)'!CB21,'XL (BHTP2)'!CB21)</f>
        <v>0</v>
      </c>
      <c r="CC21" s="13">
        <f>SUM('TP1'!CC21,'TP2'!CC21,MS!CC21,'MC + Vân hồ'!CC21,YC!CC21,PY!CC21,BY!CC21,SM!CC21,SC!CC21,TC!CC21,ML!CC21,QN!CC21,XL!CC21,'XL (BHTP1)'!CC21,'XL (BHTP2)'!CC21)</f>
        <v>0</v>
      </c>
      <c r="CD21" s="13">
        <f>SUM('TP1'!CD21,'TP2'!CD21,MS!CD21,'MC + Vân hồ'!CD21,YC!CD21,PY!CD21,BY!CD21,SM!CD21,SC!CD21,TC!CD21,ML!CD21,QN!CD21,XL!CD21,'XL (BHTP1)'!CD21,'XL (BHTP2)'!CD21)</f>
        <v>0</v>
      </c>
      <c r="CE21" s="13">
        <f>SUM('TP1'!CE21,'TP2'!CE21,MS!CE21,'MC + Vân hồ'!CE21,YC!CE21,PY!CE21,BY!CE21,SM!CE21,SC!CE21,TC!CE21,ML!CE21,QN!CE21,XL!CE21,'XL (BHTP1)'!CE21,'XL (BHTP2)'!CE21)</f>
        <v>0</v>
      </c>
      <c r="CF21" s="13">
        <f>SUM('TP1'!CF21,'TP2'!CF21,MS!CF21,'MC + Vân hồ'!CF21,YC!CF21,PY!CF21,BY!CF21,SM!CF21,SC!CF21,TC!CF21,ML!CF21,QN!CF21,XL!CF21,'XL (BHTP1)'!CF21,'XL (BHTP2)'!CF21)</f>
        <v>0</v>
      </c>
      <c r="CG21" s="13">
        <f>SUM('TP1'!CG21,'TP2'!CG21,MS!CG21,'MC + Vân hồ'!CG21,YC!CG21,PY!CG21,BY!CG21,SM!CG21,SC!CG21,TC!CG21,ML!CG21,QN!CG21,XL!CG21,'XL (BHTP1)'!CG21,'XL (BHTP2)'!CG21)</f>
        <v>0</v>
      </c>
      <c r="CH21" s="13">
        <f>SUM('TP1'!CH21,'TP2'!CH21,MS!CH21,'MC + Vân hồ'!CH21,YC!CH21,PY!CH21,BY!CH21,SM!CH21,SC!CH21,TC!CH21,ML!CH21,QN!CH21,XL!CH21,'XL (BHTP1)'!CH21,'XL (BHTP2)'!CH21)</f>
        <v>0</v>
      </c>
      <c r="CI21" s="13">
        <f>SUM('TP1'!CI21,'TP2'!CI21,MS!CI21,'MC + Vân hồ'!CI21,YC!CI21,PY!CI21,BY!CI21,SM!CI21,SC!CI21,TC!CI21,ML!CI21,QN!CI21,XL!CI21,'XL (BHTP1)'!CI21,'XL (BHTP2)'!CI21)</f>
        <v>0</v>
      </c>
      <c r="CJ21" s="13">
        <f>SUM('TP1'!CJ21,'TP2'!CJ21,MS!CJ21,'MC + Vân hồ'!CJ21,YC!CJ21,PY!CJ21,BY!CJ21,SM!CJ21,SC!CJ21,TC!CJ21,ML!CJ21,QN!CJ21,XL!CJ21,'XL (BHTP1)'!CJ21,'XL (BHTP2)'!CJ21)</f>
        <v>0</v>
      </c>
      <c r="CK21" s="73">
        <f t="shared" ref="CK21:CQ21" si="17">SUM(E21,L21,S21,Z21,AG21,AN21,AU21,BB21,BI21,BP21,BW21,CD21)</f>
        <v>0</v>
      </c>
      <c r="CL21" s="73">
        <f t="shared" si="17"/>
        <v>1</v>
      </c>
      <c r="CM21" s="73">
        <f t="shared" si="17"/>
        <v>0</v>
      </c>
      <c r="CN21" s="73">
        <f t="shared" si="17"/>
        <v>0</v>
      </c>
      <c r="CO21" s="73">
        <f t="shared" si="17"/>
        <v>0</v>
      </c>
      <c r="CP21" s="73">
        <f t="shared" si="17"/>
        <v>0</v>
      </c>
      <c r="CQ21" s="73">
        <f t="shared" si="17"/>
        <v>0</v>
      </c>
      <c r="CR21" s="56"/>
      <c r="CS21" s="56">
        <f t="shared" si="3"/>
        <v>0</v>
      </c>
    </row>
    <row r="22" ht="15.75" customHeight="1" outlineLevel="1">
      <c r="B22" s="12" t="s">
        <v>62</v>
      </c>
      <c r="C22" s="23" t="s">
        <v>63</v>
      </c>
      <c r="D22" s="12" t="s">
        <v>48</v>
      </c>
      <c r="E22" s="13">
        <f>SUM('TP1'!E22,'TP2'!E22,MS!E22,'MC + Vân hồ'!E22,YC!E22,PY!E22,BY!E22,SM!E22,SC!E22,TC!E22,ML!E22,QN!E22,XL!E22,'XL (BHTP1)'!E22,'XL (BHTP2)'!E22)</f>
        <v>0</v>
      </c>
      <c r="F22" s="13">
        <f>SUM('TP1'!F22,'TP2'!F22,MS!F22,'MC + Vân hồ'!F22,YC!F22,PY!F22,BY!F22,SM!F22,SC!F22,TC!F22,ML!F22,QN!F22,XL!F22,'XL (BHTP1)'!F22,'XL (BHTP2)'!F22)</f>
        <v>0</v>
      </c>
      <c r="G22" s="13">
        <f>SUM('TP1'!G22,'TP2'!G22,MS!G22,'MC + Vân hồ'!G22,YC!G22,PY!G22,BY!G22,SM!G22,SC!G22,TC!G22,ML!G22,QN!G22,XL!G22,'XL (BHTP1)'!G22,'XL (BHTP2)'!G22)</f>
        <v>0</v>
      </c>
      <c r="H22" s="13">
        <f>SUM('TP1'!H22,'TP2'!H22,MS!H22,'MC + Vân hồ'!H22,YC!H22,PY!H22,BY!H22,SM!H22,SC!H22,TC!H22,ML!H22,QN!H22,XL!H22,'XL (BHTP1)'!H22,'XL (BHTP2)'!H22)</f>
        <v>0</v>
      </c>
      <c r="I22" s="13">
        <f>SUM('TP1'!I22,'TP2'!I22,MS!I22,'MC + Vân hồ'!I22,YC!I22,PY!I22,BY!I22,SM!I22,SC!I22,TC!I22,ML!I22,QN!I22,XL!I22,'XL (BHTP1)'!I22,'XL (BHTP2)'!I22)</f>
        <v>0</v>
      </c>
      <c r="J22" s="13">
        <f>SUM('TP1'!J22,'TP2'!J22,MS!J22,'MC + Vân hồ'!J22,YC!J22,PY!J22,BY!J22,SM!J22,SC!J22,TC!J22,ML!J22,QN!J22,XL!J22,'XL (BHTP1)'!J22,'XL (BHTP2)'!J22)</f>
        <v>0</v>
      </c>
      <c r="K22" s="13">
        <f>SUM('TP1'!K22,'TP2'!K22,MS!K22,'MC + Vân hồ'!K22,YC!K22,PY!K22,BY!K22,SM!K22,SC!K22,TC!K22,ML!K22,QN!K22,XL!K22,'XL (BHTP1)'!K22,'XL (BHTP2)'!K22)</f>
        <v>0</v>
      </c>
      <c r="L22" s="13">
        <f>SUM('TP1'!L22,'TP2'!L22,MS!L22,'MC + Vân hồ'!L22,YC!L22,PY!L22,BY!L22,SM!L22,SC!L22,TC!L22,ML!L22,QN!L22,XL!L22,'XL (BHTP1)'!L22,'XL (BHTP2)'!L22)</f>
        <v>0</v>
      </c>
      <c r="M22" s="13">
        <f>SUM('TP1'!M22,'TP2'!M22,MS!M22,'MC + Vân hồ'!M22,YC!M22,PY!M22,BY!M22,SM!M22,SC!M22,TC!M22,ML!M22,QN!M22,XL!M22,'XL (BHTP1)'!M22,'XL (BHTP2)'!M22)</f>
        <v>0</v>
      </c>
      <c r="N22" s="13">
        <f>SUM('TP1'!N22,'TP2'!N22,MS!N22,'MC + Vân hồ'!N22,YC!N22,PY!N22,BY!N22,SM!N22,SC!N22,TC!N22,ML!N22,QN!N22,XL!N22,'XL (BHTP1)'!N22,'XL (BHTP2)'!N22)</f>
        <v>0</v>
      </c>
      <c r="O22" s="13">
        <f>SUM('TP1'!O22,'TP2'!O22,MS!O22,'MC + Vân hồ'!O22,YC!O22,PY!O22,BY!O22,SM!O22,SC!O22,TC!O22,ML!O22,QN!O22,XL!O22,'XL (BHTP1)'!O22,'XL (BHTP2)'!O22)</f>
        <v>0</v>
      </c>
      <c r="P22" s="13">
        <f>SUM('TP1'!P22,'TP2'!P22,MS!P22,'MC + Vân hồ'!P22,YC!P22,PY!P22,BY!P22,SM!P22,SC!P22,TC!P22,ML!P22,QN!P22,XL!P22,'XL (BHTP1)'!P22,'XL (BHTP2)'!P22)</f>
        <v>0</v>
      </c>
      <c r="Q22" s="13">
        <f>SUM('TP1'!Q22,'TP2'!Q22,MS!Q22,'MC + Vân hồ'!Q22,YC!Q22,PY!Q22,BY!Q22,SM!Q22,SC!Q22,TC!Q22,ML!Q22,QN!Q22,XL!Q22,'XL (BHTP1)'!Q22,'XL (BHTP2)'!Q22)</f>
        <v>0</v>
      </c>
      <c r="R22" s="13">
        <f>SUM('TP1'!R22,'TP2'!R22,MS!R22,'MC + Vân hồ'!R22,YC!R22,PY!R22,BY!R22,SM!R22,SC!R22,TC!R22,ML!R22,QN!R22,XL!R22,'XL (BHTP1)'!R22,'XL (BHTP2)'!R22)</f>
        <v>0</v>
      </c>
      <c r="S22" s="13">
        <f>SUM('TP1'!S22,'TP2'!S22,MS!S22,'MC + Vân hồ'!S22,YC!S22,PY!S22,BY!S22,SM!S22,SC!S22,TC!S22,ML!S22,QN!S22,XL!S22,'XL (BHTP1)'!S22,'XL (BHTP2)'!S22)</f>
        <v>0</v>
      </c>
      <c r="T22" s="13">
        <f>SUM('TP1'!T22,'TP2'!T22,MS!T22,'MC + Vân hồ'!T22,YC!T22,PY!T22,BY!T22,SM!T22,SC!T22,TC!T22,ML!T22,QN!T22,XL!T22,'XL (BHTP1)'!T22,'XL (BHTP2)'!T22)</f>
        <v>0</v>
      </c>
      <c r="U22" s="13">
        <f>SUM('TP1'!U22,'TP2'!U22,MS!U22,'MC + Vân hồ'!U22,YC!U22,PY!U22,BY!U22,SM!U22,SC!U22,TC!U22,ML!U22,QN!U22,XL!U22,'XL (BHTP1)'!U22,'XL (BHTP2)'!U22)</f>
        <v>0</v>
      </c>
      <c r="V22" s="13">
        <f>SUM('TP1'!V22,'TP2'!V22,MS!V22,'MC + Vân hồ'!V22,YC!V22,PY!V22,BY!V22,SM!V22,SC!V22,TC!V22,ML!V22,QN!V22,XL!V22,'XL (BHTP1)'!V22,'XL (BHTP2)'!V22)</f>
        <v>0</v>
      </c>
      <c r="W22" s="13">
        <f>SUM('TP1'!W22,'TP2'!W22,MS!W22,'MC + Vân hồ'!W22,YC!W22,PY!W22,BY!W22,SM!W22,SC!W22,TC!W22,ML!W22,QN!W22,XL!W22,'XL (BHTP1)'!W22,'XL (BHTP2)'!W22)</f>
        <v>0</v>
      </c>
      <c r="X22" s="13">
        <f>SUM('TP1'!X22,'TP2'!X22,MS!X22,'MC + Vân hồ'!X22,YC!X22,PY!X22,BY!X22,SM!X22,SC!X22,TC!X22,ML!X22,QN!X22,XL!X22,'XL (BHTP1)'!X22,'XL (BHTP2)'!X22)</f>
        <v>0</v>
      </c>
      <c r="Y22" s="13">
        <f>SUM('TP1'!Y22,'TP2'!Y22,MS!Y22,'MC + Vân hồ'!Y22,YC!Y22,PY!Y22,BY!Y22,SM!Y22,SC!Y22,TC!Y22,ML!Y22,QN!Y22,XL!Y22,'XL (BHTP1)'!Y22,'XL (BHTP2)'!Y22)</f>
        <v>0</v>
      </c>
      <c r="Z22" s="13">
        <f>SUM('TP1'!Z22,'TP2'!Z22,MS!Z22,'MC + Vân hồ'!Z22,YC!Z22,PY!Z22,BY!Z22,SM!Z22,SC!Z22,TC!Z22,ML!Z22,QN!Z22,XL!Z22,'XL (BHTP1)'!Z22,'XL (BHTP2)'!Z22)</f>
        <v>0</v>
      </c>
      <c r="AA22" s="13">
        <f>SUM('TP1'!AA22,'TP2'!AA22,MS!AA22,'MC + Vân hồ'!AA22,YC!AA22,PY!AA22,BY!AA22,SM!AA22,SC!AA22,TC!AA22,ML!AA22,QN!AA22,XL!AA22,'XL (BHTP1)'!AA22,'XL (BHTP2)'!AA22)</f>
        <v>0</v>
      </c>
      <c r="AB22" s="13">
        <f>SUM('TP1'!AB22,'TP2'!AB22,MS!AB22,'MC + Vân hồ'!AB22,YC!AB22,PY!AB22,BY!AB22,SM!AB22,SC!AB22,TC!AB22,ML!AB22,QN!AB22,XL!AB22,'XL (BHTP1)'!AB22,'XL (BHTP2)'!AB22)</f>
        <v>0</v>
      </c>
      <c r="AC22" s="13">
        <f>SUM('TP1'!AC22,'TP2'!AC22,MS!AC22,'MC + Vân hồ'!AC22,YC!AC22,PY!AC22,BY!AC22,SM!AC22,SC!AC22,TC!AC22,ML!AC22,QN!AC22,XL!AC22,'XL (BHTP1)'!AC22,'XL (BHTP2)'!AC22)</f>
        <v>0</v>
      </c>
      <c r="AD22" s="13">
        <f>SUM('TP1'!AD22,'TP2'!AD22,MS!AD22,'MC + Vân hồ'!AD22,YC!AD22,PY!AD22,BY!AD22,SM!AD22,SC!AD22,TC!AD22,ML!AD22,QN!AD22,XL!AD22,'XL (BHTP1)'!AD22,'XL (BHTP2)'!AD22)</f>
        <v>0</v>
      </c>
      <c r="AE22" s="13">
        <f>SUM('TP1'!AE22,'TP2'!AE22,MS!AE22,'MC + Vân hồ'!AE22,YC!AE22,PY!AE22,BY!AE22,SM!AE22,SC!AE22,TC!AE22,ML!AE22,QN!AE22,XL!AE22,'XL (BHTP1)'!AE22,'XL (BHTP2)'!AE22)</f>
        <v>0</v>
      </c>
      <c r="AF22" s="13">
        <f>SUM('TP1'!AF22,'TP2'!AF22,MS!AF22,'MC + Vân hồ'!AF22,YC!AF22,PY!AF22,BY!AF22,SM!AF22,SC!AF22,TC!AF22,ML!AF22,QN!AF22,XL!AF22,'XL (BHTP1)'!AF22,'XL (BHTP2)'!AF22)</f>
        <v>0</v>
      </c>
      <c r="AG22" s="13">
        <f>SUM('TP1'!AG22,'TP2'!AG22,MS!AG22,'MC + Vân hồ'!AG22,YC!AG22,PY!AG22,BY!AG22,SM!AG22,SC!AG22,TC!AG22,ML!AG22,QN!AG22,XL!AG22,'XL (BHTP1)'!AG22,'XL (BHTP2)'!AG22)</f>
        <v>0</v>
      </c>
      <c r="AH22" s="13">
        <f>SUM('TP1'!AH22,'TP2'!AH22,MS!AH22,'MC + Vân hồ'!AH22,YC!AH22,PY!AH22,BY!AH22,SM!AH22,SC!AH22,TC!AH22,ML!AH22,QN!AH22,XL!AH22,'XL (BHTP1)'!AH22,'XL (BHTP2)'!AH22)</f>
        <v>0</v>
      </c>
      <c r="AI22" s="13">
        <f>SUM('TP1'!AI22,'TP2'!AI22,MS!AI22,'MC + Vân hồ'!AI22,YC!AI22,PY!AI22,BY!AI22,SM!AI22,SC!AI22,TC!AI22,ML!AI22,QN!AI22,XL!AI22,'XL (BHTP1)'!AI22,'XL (BHTP2)'!AI22)</f>
        <v>0</v>
      </c>
      <c r="AJ22" s="13">
        <f>SUM('TP1'!AJ22,'TP2'!AJ22,MS!AJ22,'MC + Vân hồ'!AJ22,YC!AJ22,PY!AJ22,BY!AJ22,SM!AJ22,SC!AJ22,TC!AJ22,ML!AJ22,QN!AJ22,XL!AJ22,'XL (BHTP1)'!AJ22,'XL (BHTP2)'!AJ22)</f>
        <v>0</v>
      </c>
      <c r="AK22" s="13">
        <f>SUM('TP1'!AK22,'TP2'!AK22,MS!AK22,'MC + Vân hồ'!AK22,YC!AK22,PY!AK22,BY!AK22,SM!AK22,SC!AK22,TC!AK22,ML!AK22,QN!AK22,XL!AK22,'XL (BHTP1)'!AK22,'XL (BHTP2)'!AK22)</f>
        <v>0</v>
      </c>
      <c r="AL22" s="13">
        <f>SUM('TP1'!AL22,'TP2'!AL22,MS!AL22,'MC + Vân hồ'!AL22,YC!AL22,PY!AL22,BY!AL22,SM!AL22,SC!AL22,TC!AL22,ML!AL22,QN!AL22,XL!AL22,'XL (BHTP1)'!AL22,'XL (BHTP2)'!AL22)</f>
        <v>0</v>
      </c>
      <c r="AM22" s="13">
        <f>SUM('TP1'!AM22,'TP2'!AM22,MS!AM22,'MC + Vân hồ'!AM22,YC!AM22,PY!AM22,BY!AM22,SM!AM22,SC!AM22,TC!AM22,ML!AM22,QN!AM22,XL!AM22,'XL (BHTP1)'!AM22,'XL (BHTP2)'!AM22)</f>
        <v>0</v>
      </c>
      <c r="AN22" s="13">
        <f>SUM('TP1'!AN22,'TP2'!AN22,MS!AN22,'MC + Vân hồ'!AN22,YC!AN22,PY!AN22,BY!AN22,SM!AN22,SC!AN22,TC!AN22,ML!AN22,QN!AN22,XL!AN22,'XL (BHTP1)'!AN22,'XL (BHTP2)'!AN22)</f>
        <v>0</v>
      </c>
      <c r="AO22" s="13">
        <f>SUM('TP1'!AO22,'TP2'!AO22,MS!AO22,'MC + Vân hồ'!AO22,YC!AO22,PY!AO22,BY!AO22,SM!AO22,SC!AO22,TC!AO22,ML!AO22,QN!AO22,XL!AO22,'XL (BHTP1)'!AO22,'XL (BHTP2)'!AO22)</f>
        <v>0</v>
      </c>
      <c r="AP22" s="13">
        <f>SUM('TP1'!AP22,'TP2'!AP22,MS!AP22,'MC + Vân hồ'!AP22,YC!AP22,PY!AP22,BY!AP22,SM!AP22,SC!AP22,TC!AP22,ML!AP22,QN!AP22,XL!AP22,'XL (BHTP1)'!AP22,'XL (BHTP2)'!AP22)</f>
        <v>0</v>
      </c>
      <c r="AQ22" s="13">
        <f>SUM('TP1'!AQ22,'TP2'!AQ22,MS!AQ22,'MC + Vân hồ'!AQ22,YC!AQ22,PY!AQ22,BY!AQ22,SM!AQ22,SC!AQ22,TC!AQ22,ML!AQ22,QN!AQ22,XL!AQ22,'XL (BHTP1)'!AQ22,'XL (BHTP2)'!AQ22)</f>
        <v>0</v>
      </c>
      <c r="AR22" s="13">
        <f>SUM('TP1'!AR22,'TP2'!AR22,MS!AR22,'MC + Vân hồ'!AR22,YC!AR22,PY!AR22,BY!AR22,SM!AR22,SC!AR22,TC!AR22,ML!AR22,QN!AR22,XL!AR22,'XL (BHTP1)'!AR22,'XL (BHTP2)'!AR22)</f>
        <v>0</v>
      </c>
      <c r="AS22" s="13">
        <f>SUM('TP1'!AS22,'TP2'!AS22,MS!AS22,'MC + Vân hồ'!AS22,YC!AS22,PY!AS22,BY!AS22,SM!AS22,SC!AS22,TC!AS22,ML!AS22,QN!AS22,XL!AS22,'XL (BHTP1)'!AS22,'XL (BHTP2)'!AS22)</f>
        <v>0</v>
      </c>
      <c r="AT22" s="13">
        <f>SUM('TP1'!AT22,'TP2'!AT22,MS!AT22,'MC + Vân hồ'!AT22,YC!AT22,PY!AT22,BY!AT22,SM!AT22,SC!AT22,TC!AT22,ML!AT22,QN!AT22,XL!AT22,'XL (BHTP1)'!AT22,'XL (BHTP2)'!AT22)</f>
        <v>0</v>
      </c>
      <c r="AU22" s="13">
        <f>SUM('TP1'!AU22,'TP2'!AU22,MS!AU22,'MC + Vân hồ'!AU22,YC!AU22,PY!AU22,BY!AU22,SM!AU22,SC!AU22,TC!AU22,ML!AU22,QN!AU22,XL!AU22,'XL (BHTP1)'!AU22,'XL (BHTP2)'!AU22)</f>
        <v>0</v>
      </c>
      <c r="AV22" s="13">
        <f>SUM('TP1'!AV22,'TP2'!AV22,MS!AV22,'MC + Vân hồ'!AV22,YC!AV22,PY!AV22,BY!AV22,SM!AV22,SC!AV22,TC!AV22,ML!AV22,QN!AV22,XL!AV22,'XL (BHTP1)'!AV22,'XL (BHTP2)'!AV22)</f>
        <v>0</v>
      </c>
      <c r="AW22" s="13">
        <f>SUM('TP1'!AW22,'TP2'!AW22,MS!AW22,'MC + Vân hồ'!AW22,YC!AW22,PY!AW22,BY!AW22,SM!AW22,SC!AW22,TC!AW22,ML!AW22,QN!AW22,XL!AW22,'XL (BHTP1)'!AW22,'XL (BHTP2)'!AW22)</f>
        <v>0</v>
      </c>
      <c r="AX22" s="13">
        <f>SUM('TP1'!AX22,'TP2'!AX22,MS!AX22,'MC + Vân hồ'!AX22,YC!AX22,PY!AX22,BY!AX22,SM!AX22,SC!AX22,TC!AX22,ML!AX22,QN!AX22,XL!AX22,'XL (BHTP1)'!AX22,'XL (BHTP2)'!AX22)</f>
        <v>0</v>
      </c>
      <c r="AY22" s="13">
        <f>SUM('TP1'!AY22,'TP2'!AY22,MS!AY22,'MC + Vân hồ'!AY22,YC!AY22,PY!AY22,BY!AY22,SM!AY22,SC!AY22,TC!AY22,ML!AY22,QN!AY22,XL!AY22,'XL (BHTP1)'!AY22,'XL (BHTP2)'!AY22)</f>
        <v>0</v>
      </c>
      <c r="AZ22" s="13">
        <f>SUM('TP1'!AZ22,'TP2'!AZ22,MS!AZ22,'MC + Vân hồ'!AZ22,YC!AZ22,PY!AZ22,BY!AZ22,SM!AZ22,SC!AZ22,TC!AZ22,ML!AZ22,QN!AZ22,XL!AZ22,'XL (BHTP1)'!AZ22,'XL (BHTP2)'!AZ22)</f>
        <v>0</v>
      </c>
      <c r="BA22" s="13">
        <f>SUM('TP1'!BA22,'TP2'!BA22,MS!BA22,'MC + Vân hồ'!BA22,YC!BA22,PY!BA22,BY!BA22,SM!BA22,SC!BA22,TC!BA22,ML!BA22,QN!BA22,XL!BA22,'XL (BHTP1)'!BA22,'XL (BHTP2)'!BA22)</f>
        <v>0</v>
      </c>
      <c r="BB22" s="13">
        <f>SUM('TP1'!BB22,'TP2'!BB22,MS!BB22,'MC + Vân hồ'!BB22,YC!BB22,PY!BB22,BY!BB22,SM!BB22,SC!BB22,TC!BB22,ML!BB22,QN!BB22,XL!BB22,'XL (BHTP1)'!BB22,'XL (BHTP2)'!BB22)</f>
        <v>0</v>
      </c>
      <c r="BC22" s="13">
        <f>SUM('TP1'!BC22,'TP2'!BC22,MS!BC22,'MC + Vân hồ'!BC22,YC!BC22,PY!BC22,BY!BC22,SM!BC22,SC!BC22,TC!BC22,ML!BC22,QN!BC22,XL!BC22,'XL (BHTP1)'!BC22,'XL (BHTP2)'!BC22)</f>
        <v>0</v>
      </c>
      <c r="BD22" s="13">
        <f>SUM('TP1'!BD22,'TP2'!BD22,MS!BD22,'MC + Vân hồ'!BD22,YC!BD22,PY!BD22,BY!BD22,SM!BD22,SC!BD22,TC!BD22,ML!BD22,QN!BD22,XL!BD22,'XL (BHTP1)'!BD22,'XL (BHTP2)'!BD22)</f>
        <v>0</v>
      </c>
      <c r="BE22" s="13">
        <f>SUM('TP1'!BE22,'TP2'!BE22,MS!BE22,'MC + Vân hồ'!BE22,YC!BE22,PY!BE22,BY!BE22,SM!BE22,SC!BE22,TC!BE22,ML!BE22,QN!BE22,XL!BE22,'XL (BHTP1)'!BE22,'XL (BHTP2)'!BE22)</f>
        <v>0</v>
      </c>
      <c r="BF22" s="13">
        <f>SUM('TP1'!BF22,'TP2'!BF22,MS!BF22,'MC + Vân hồ'!BF22,YC!BF22,PY!BF22,BY!BF22,SM!BF22,SC!BF22,TC!BF22,ML!BF22,QN!BF22,XL!BF22,'XL (BHTP1)'!BF22,'XL (BHTP2)'!BF22)</f>
        <v>0</v>
      </c>
      <c r="BG22" s="13">
        <f>SUM('TP1'!BG22,'TP2'!BG22,MS!BG22,'MC + Vân hồ'!BG22,YC!BG22,PY!BG22,BY!BG22,SM!BG22,SC!BG22,TC!BG22,ML!BG22,QN!BG22,XL!BG22,'XL (BHTP1)'!BG22,'XL (BHTP2)'!BG22)</f>
        <v>0</v>
      </c>
      <c r="BH22" s="13">
        <f>SUM('TP1'!BH22,'TP2'!BH22,MS!BH22,'MC + Vân hồ'!BH22,YC!BH22,PY!BH22,BY!BH22,SM!BH22,SC!BH22,TC!BH22,ML!BH22,QN!BH22,XL!BH22,'XL (BHTP1)'!BH22,'XL (BHTP2)'!BH22)</f>
        <v>0</v>
      </c>
      <c r="BI22" s="13">
        <f>SUM('TP1'!BI22,'TP2'!BI22,MS!BI22,'MC + Vân hồ'!BI22,YC!BI22,PY!BI22,BY!BI22,SM!BI22,SC!BI22,TC!BI22,ML!BI22,QN!BI22,XL!BI22,'XL (BHTP1)'!BI22,'XL (BHTP2)'!BI22)</f>
        <v>0</v>
      </c>
      <c r="BJ22" s="13">
        <f>SUM('TP1'!BJ22,'TP2'!BJ22,MS!BJ22,'MC + Vân hồ'!BJ22,YC!BJ22,PY!BJ22,BY!BJ22,SM!BJ22,SC!BJ22,TC!BJ22,ML!BJ22,QN!BJ22,XL!BJ22,'XL (BHTP1)'!BJ22,'XL (BHTP2)'!BJ22)</f>
        <v>0</v>
      </c>
      <c r="BK22" s="13">
        <f>SUM('TP1'!BK22,'TP2'!BK22,MS!BK22,'MC + Vân hồ'!BK22,YC!BK22,PY!BK22,BY!BK22,SM!BK22,SC!BK22,TC!BK22,ML!BK22,QN!BK22,XL!BK22,'XL (BHTP1)'!BK22,'XL (BHTP2)'!BK22)</f>
        <v>0</v>
      </c>
      <c r="BL22" s="13">
        <f>SUM('TP1'!BL22,'TP2'!BL22,MS!BL22,'MC + Vân hồ'!BL22,YC!BL22,PY!BL22,BY!BL22,SM!BL22,SC!BL22,TC!BL22,ML!BL22,QN!BL22,XL!BL22,'XL (BHTP1)'!BL22,'XL (BHTP2)'!BL22)</f>
        <v>0</v>
      </c>
      <c r="BM22" s="13">
        <f>SUM('TP1'!BM22,'TP2'!BM22,MS!BM22,'MC + Vân hồ'!BM22,YC!BM22,PY!BM22,BY!BM22,SM!BM22,SC!BM22,TC!BM22,ML!BM22,QN!BM22,XL!BM22,'XL (BHTP1)'!BM22,'XL (BHTP2)'!BM22)</f>
        <v>0</v>
      </c>
      <c r="BN22" s="13">
        <f>SUM('TP1'!BN22,'TP2'!BN22,MS!BN22,'MC + Vân hồ'!BN22,YC!BN22,PY!BN22,BY!BN22,SM!BN22,SC!BN22,TC!BN22,ML!BN22,QN!BN22,XL!BN22,'XL (BHTP1)'!BN22,'XL (BHTP2)'!BN22)</f>
        <v>0</v>
      </c>
      <c r="BO22" s="13">
        <f>SUM('TP1'!BO22,'TP2'!BO22,MS!BO22,'MC + Vân hồ'!BO22,YC!BO22,PY!BO22,BY!BO22,SM!BO22,SC!BO22,TC!BO22,ML!BO22,QN!BO22,XL!BO22,'XL (BHTP1)'!BO22,'XL (BHTP2)'!BO22)</f>
        <v>0</v>
      </c>
      <c r="BP22" s="13">
        <f>SUM('TP1'!BP22,'TP2'!BP22,MS!BP22,'MC + Vân hồ'!BP22,YC!BP22,PY!BP22,BY!BP22,SM!BP22,SC!BP22,TC!BP22,ML!BP22,QN!BP22,XL!BP22,'XL (BHTP1)'!BP22,'XL (BHTP2)'!BP22)</f>
        <v>0</v>
      </c>
      <c r="BQ22" s="13">
        <f>SUM('TP1'!BQ22,'TP2'!BQ22,MS!BQ22,'MC + Vân hồ'!BQ22,YC!BQ22,PY!BQ22,BY!BQ22,SM!BQ22,SC!BQ22,TC!BQ22,ML!BQ22,QN!BQ22,XL!BQ22,'XL (BHTP1)'!BQ22,'XL (BHTP2)'!BQ22)</f>
        <v>0</v>
      </c>
      <c r="BR22" s="13">
        <f>SUM('TP1'!BR22,'TP2'!BR22,MS!BR22,'MC + Vân hồ'!BR22,YC!BR22,PY!BR22,BY!BR22,SM!BR22,SC!BR22,TC!BR22,ML!BR22,QN!BR22,XL!BR22,'XL (BHTP1)'!BR22,'XL (BHTP2)'!BR22)</f>
        <v>0</v>
      </c>
      <c r="BS22" s="13">
        <f>SUM('TP1'!BS22,'TP2'!BS22,MS!BS22,'MC + Vân hồ'!BS22,YC!BS22,PY!BS22,BY!BS22,SM!BS22,SC!BS22,TC!BS22,ML!BS22,QN!BS22,XL!BS22,'XL (BHTP1)'!BS22,'XL (BHTP2)'!BS22)</f>
        <v>0</v>
      </c>
      <c r="BT22" s="13">
        <f>SUM('TP1'!BT22,'TP2'!BT22,MS!BT22,'MC + Vân hồ'!BT22,YC!BT22,PY!BT22,BY!BT22,SM!BT22,SC!BT22,TC!BT22,ML!BT22,QN!BT22,XL!BT22,'XL (BHTP1)'!BT22,'XL (BHTP2)'!BT22)</f>
        <v>0</v>
      </c>
      <c r="BU22" s="13">
        <f>SUM('TP1'!BU22,'TP2'!BU22,MS!BU22,'MC + Vân hồ'!BU22,YC!BU22,PY!BU22,BY!BU22,SM!BU22,SC!BU22,TC!BU22,ML!BU22,QN!BU22,XL!BU22,'XL (BHTP1)'!BU22,'XL (BHTP2)'!BU22)</f>
        <v>0</v>
      </c>
      <c r="BV22" s="13">
        <f>SUM('TP1'!BV22,'TP2'!BV22,MS!BV22,'MC + Vân hồ'!BV22,YC!BV22,PY!BV22,BY!BV22,SM!BV22,SC!BV22,TC!BV22,ML!BV22,QN!BV22,XL!BV22,'XL (BHTP1)'!BV22,'XL (BHTP2)'!BV22)</f>
        <v>0</v>
      </c>
      <c r="BW22" s="13">
        <f>SUM('TP1'!BW22,'TP2'!BW22,MS!BW22,'MC + Vân hồ'!BW22,YC!BW22,PY!BW22,BY!BW22,SM!BW22,SC!BW22,TC!BW22,ML!BW22,QN!BW22,XL!BW22,'XL (BHTP1)'!BW22,'XL (BHTP2)'!BW22)</f>
        <v>0</v>
      </c>
      <c r="BX22" s="13">
        <f>SUM('TP1'!BX22,'TP2'!BX22,MS!BX22,'MC + Vân hồ'!BX22,YC!BX22,PY!BX22,BY!BX22,SM!BX22,SC!BX22,TC!BX22,ML!BX22,QN!BX22,XL!BX22,'XL (BHTP1)'!BX22,'XL (BHTP2)'!BX22)</f>
        <v>0</v>
      </c>
      <c r="BY22" s="13">
        <f>SUM('TP1'!BY22,'TP2'!BY22,MS!BY22,'MC + Vân hồ'!BY22,YC!BY22,PY!BY22,BY!BY22,SM!BY22,SC!BY22,TC!BY22,ML!BY22,QN!BY22,XL!BY22,'XL (BHTP1)'!BY22,'XL (BHTP2)'!BY22)</f>
        <v>0</v>
      </c>
      <c r="BZ22" s="13">
        <f>SUM('TP1'!BZ22,'TP2'!BZ22,MS!BZ22,'MC + Vân hồ'!BZ22,YC!BZ22,PY!BZ22,BY!BZ22,SM!BZ22,SC!BZ22,TC!BZ22,ML!BZ22,QN!BZ22,XL!BZ22,'XL (BHTP1)'!BZ22,'XL (BHTP2)'!BZ22)</f>
        <v>0</v>
      </c>
      <c r="CA22" s="13">
        <f>SUM('TP1'!CA22,'TP2'!CA22,MS!CA22,'MC + Vân hồ'!CA22,YC!CA22,PY!CA22,BY!CA22,SM!CA22,SC!CA22,TC!CA22,ML!CA22,QN!CA22,XL!CA22,'XL (BHTP1)'!CA22,'XL (BHTP2)'!CA22)</f>
        <v>0</v>
      </c>
      <c r="CB22" s="13">
        <f>SUM('TP1'!CB22,'TP2'!CB22,MS!CB22,'MC + Vân hồ'!CB22,YC!CB22,PY!CB22,BY!CB22,SM!CB22,SC!CB22,TC!CB22,ML!CB22,QN!CB22,XL!CB22,'XL (BHTP1)'!CB22,'XL (BHTP2)'!CB22)</f>
        <v>0</v>
      </c>
      <c r="CC22" s="13">
        <f>SUM('TP1'!CC22,'TP2'!CC22,MS!CC22,'MC + Vân hồ'!CC22,YC!CC22,PY!CC22,BY!CC22,SM!CC22,SC!CC22,TC!CC22,ML!CC22,QN!CC22,XL!CC22,'XL (BHTP1)'!CC22,'XL (BHTP2)'!CC22)</f>
        <v>0</v>
      </c>
      <c r="CD22" s="13">
        <f>SUM('TP1'!CD22,'TP2'!CD22,MS!CD22,'MC + Vân hồ'!CD22,YC!CD22,PY!CD22,BY!CD22,SM!CD22,SC!CD22,TC!CD22,ML!CD22,QN!CD22,XL!CD22,'XL (BHTP1)'!CD22,'XL (BHTP2)'!CD22)</f>
        <v>0</v>
      </c>
      <c r="CE22" s="13">
        <f>SUM('TP1'!CE22,'TP2'!CE22,MS!CE22,'MC + Vân hồ'!CE22,YC!CE22,PY!CE22,BY!CE22,SM!CE22,SC!CE22,TC!CE22,ML!CE22,QN!CE22,XL!CE22,'XL (BHTP1)'!CE22,'XL (BHTP2)'!CE22)</f>
        <v>0</v>
      </c>
      <c r="CF22" s="13">
        <f>SUM('TP1'!CF22,'TP2'!CF22,MS!CF22,'MC + Vân hồ'!CF22,YC!CF22,PY!CF22,BY!CF22,SM!CF22,SC!CF22,TC!CF22,ML!CF22,QN!CF22,XL!CF22,'XL (BHTP1)'!CF22,'XL (BHTP2)'!CF22)</f>
        <v>0</v>
      </c>
      <c r="CG22" s="13">
        <f>SUM('TP1'!CG22,'TP2'!CG22,MS!CG22,'MC + Vân hồ'!CG22,YC!CG22,PY!CG22,BY!CG22,SM!CG22,SC!CG22,TC!CG22,ML!CG22,QN!CG22,XL!CG22,'XL (BHTP1)'!CG22,'XL (BHTP2)'!CG22)</f>
        <v>0</v>
      </c>
      <c r="CH22" s="13">
        <f>SUM('TP1'!CH22,'TP2'!CH22,MS!CH22,'MC + Vân hồ'!CH22,YC!CH22,PY!CH22,BY!CH22,SM!CH22,SC!CH22,TC!CH22,ML!CH22,QN!CH22,XL!CH22,'XL (BHTP1)'!CH22,'XL (BHTP2)'!CH22)</f>
        <v>0</v>
      </c>
      <c r="CI22" s="13">
        <f>SUM('TP1'!CI22,'TP2'!CI22,MS!CI22,'MC + Vân hồ'!CI22,YC!CI22,PY!CI22,BY!CI22,SM!CI22,SC!CI22,TC!CI22,ML!CI22,QN!CI22,XL!CI22,'XL (BHTP1)'!CI22,'XL (BHTP2)'!CI22)</f>
        <v>0</v>
      </c>
      <c r="CJ22" s="13">
        <f>SUM('TP1'!CJ22,'TP2'!CJ22,MS!CJ22,'MC + Vân hồ'!CJ22,YC!CJ22,PY!CJ22,BY!CJ22,SM!CJ22,SC!CJ22,TC!CJ22,ML!CJ22,QN!CJ22,XL!CJ22,'XL (BHTP1)'!CJ22,'XL (BHTP2)'!CJ22)</f>
        <v>0</v>
      </c>
      <c r="CK22" s="73">
        <f t="shared" ref="CK22:CQ22" si="18">SUM(E22,L22,S22,Z22,AG22,AN22,AU22,BB22,BI22,BP22,BW22,CD22)</f>
        <v>0</v>
      </c>
      <c r="CL22" s="73">
        <f t="shared" si="18"/>
        <v>0</v>
      </c>
      <c r="CM22" s="73">
        <f t="shared" si="18"/>
        <v>0</v>
      </c>
      <c r="CN22" s="73">
        <f t="shared" si="18"/>
        <v>0</v>
      </c>
      <c r="CO22" s="73">
        <f t="shared" si="18"/>
        <v>0</v>
      </c>
      <c r="CP22" s="73">
        <f t="shared" si="18"/>
        <v>0</v>
      </c>
      <c r="CQ22" s="73">
        <f t="shared" si="18"/>
        <v>0</v>
      </c>
      <c r="CR22" s="56"/>
      <c r="CS22" s="56">
        <f t="shared" si="3"/>
        <v>0</v>
      </c>
    </row>
    <row r="23" ht="15.75" customHeight="1" outlineLevel="1">
      <c r="B23" s="12" t="s">
        <v>64</v>
      </c>
      <c r="C23" s="12" t="s">
        <v>65</v>
      </c>
      <c r="D23" s="12" t="s">
        <v>26</v>
      </c>
      <c r="E23" s="13">
        <f>SUM('TP1'!E23,'TP2'!E23,MS!E23,'MC + Vân hồ'!E23,YC!E23,PY!E23,BY!E23,SM!E23,SC!E23,TC!E23,ML!E23,QN!E23,XL!E23,'XL (BHTP1)'!E23,'XL (BHTP2)'!E23)</f>
        <v>0</v>
      </c>
      <c r="F23" s="13">
        <f>SUM('TP1'!F23,'TP2'!F23,MS!F23,'MC + Vân hồ'!F23,YC!F23,PY!F23,BY!F23,SM!F23,SC!F23,TC!F23,ML!F23,QN!F23,XL!F23,'XL (BHTP1)'!F23,'XL (BHTP2)'!F23)</f>
        <v>0</v>
      </c>
      <c r="G23" s="13">
        <f>SUM('TP1'!G23,'TP2'!G23,MS!G23,'MC + Vân hồ'!G23,YC!G23,PY!G23,BY!G23,SM!G23,SC!G23,TC!G23,ML!G23,QN!G23,XL!G23,'XL (BHTP1)'!G23,'XL (BHTP2)'!G23)</f>
        <v>0</v>
      </c>
      <c r="H23" s="13">
        <f>SUM('TP1'!H23,'TP2'!H23,MS!H23,'MC + Vân hồ'!H23,YC!H23,PY!H23,BY!H23,SM!H23,SC!H23,TC!H23,ML!H23,QN!H23,XL!H23,'XL (BHTP1)'!H23,'XL (BHTP2)'!H23)</f>
        <v>0</v>
      </c>
      <c r="I23" s="13">
        <f>SUM('TP1'!I23,'TP2'!I23,MS!I23,'MC + Vân hồ'!I23,YC!I23,PY!I23,BY!I23,SM!I23,SC!I23,TC!I23,ML!I23,QN!I23,XL!I23,'XL (BHTP1)'!I23,'XL (BHTP2)'!I23)</f>
        <v>0</v>
      </c>
      <c r="J23" s="13">
        <f>SUM('TP1'!J23,'TP2'!J23,MS!J23,'MC + Vân hồ'!J23,YC!J23,PY!J23,BY!J23,SM!J23,SC!J23,TC!J23,ML!J23,QN!J23,XL!J23,'XL (BHTP1)'!J23,'XL (BHTP2)'!J23)</f>
        <v>0</v>
      </c>
      <c r="K23" s="13">
        <f>SUM('TP1'!K23,'TP2'!K23,MS!K23,'MC + Vân hồ'!K23,YC!K23,PY!K23,BY!K23,SM!K23,SC!K23,TC!K23,ML!K23,QN!K23,XL!K23,'XL (BHTP1)'!K23,'XL (BHTP2)'!K23)</f>
        <v>0</v>
      </c>
      <c r="L23" s="13">
        <f>SUM('TP1'!L23,'TP2'!L23,MS!L23,'MC + Vân hồ'!L23,YC!L23,PY!L23,BY!L23,SM!L23,SC!L23,TC!L23,ML!L23,QN!L23,XL!L23,'XL (BHTP1)'!L23,'XL (BHTP2)'!L23)</f>
        <v>0</v>
      </c>
      <c r="M23" s="13">
        <f>SUM('TP1'!M23,'TP2'!M23,MS!M23,'MC + Vân hồ'!M23,YC!M23,PY!M23,BY!M23,SM!M23,SC!M23,TC!M23,ML!M23,QN!M23,XL!M23,'XL (BHTP1)'!M23,'XL (BHTP2)'!M23)</f>
        <v>0</v>
      </c>
      <c r="N23" s="13">
        <f>SUM('TP1'!N23,'TP2'!N23,MS!N23,'MC + Vân hồ'!N23,YC!N23,PY!N23,BY!N23,SM!N23,SC!N23,TC!N23,ML!N23,QN!N23,XL!N23,'XL (BHTP1)'!N23,'XL (BHTP2)'!N23)</f>
        <v>0</v>
      </c>
      <c r="O23" s="13">
        <f>SUM('TP1'!O23,'TP2'!O23,MS!O23,'MC + Vân hồ'!O23,YC!O23,PY!O23,BY!O23,SM!O23,SC!O23,TC!O23,ML!O23,QN!O23,XL!O23,'XL (BHTP1)'!O23,'XL (BHTP2)'!O23)</f>
        <v>0</v>
      </c>
      <c r="P23" s="13">
        <f>SUM('TP1'!P23,'TP2'!P23,MS!P23,'MC + Vân hồ'!P23,YC!P23,PY!P23,BY!P23,SM!P23,SC!P23,TC!P23,ML!P23,QN!P23,XL!P23,'XL (BHTP1)'!P23,'XL (BHTP2)'!P23)</f>
        <v>0</v>
      </c>
      <c r="Q23" s="13">
        <f>SUM('TP1'!Q23,'TP2'!Q23,MS!Q23,'MC + Vân hồ'!Q23,YC!Q23,PY!Q23,BY!Q23,SM!Q23,SC!Q23,TC!Q23,ML!Q23,QN!Q23,XL!Q23,'XL (BHTP1)'!Q23,'XL (BHTP2)'!Q23)</f>
        <v>0</v>
      </c>
      <c r="R23" s="13">
        <f>SUM('TP1'!R23,'TP2'!R23,MS!R23,'MC + Vân hồ'!R23,YC!R23,PY!R23,BY!R23,SM!R23,SC!R23,TC!R23,ML!R23,QN!R23,XL!R23,'XL (BHTP1)'!R23,'XL (BHTP2)'!R23)</f>
        <v>0</v>
      </c>
      <c r="S23" s="13">
        <f>SUM('TP1'!S23,'TP2'!S23,MS!S23,'MC + Vân hồ'!S23,YC!S23,PY!S23,BY!S23,SM!S23,SC!S23,TC!S23,ML!S23,QN!S23,XL!S23,'XL (BHTP1)'!S23,'XL (BHTP2)'!S23)</f>
        <v>0</v>
      </c>
      <c r="T23" s="13">
        <f>SUM('TP1'!T23,'TP2'!T23,MS!T23,'MC + Vân hồ'!T23,YC!T23,PY!T23,BY!T23,SM!T23,SC!T23,TC!T23,ML!T23,QN!T23,XL!T23,'XL (BHTP1)'!T23,'XL (BHTP2)'!T23)</f>
        <v>0</v>
      </c>
      <c r="U23" s="13">
        <f>SUM('TP1'!U23,'TP2'!U23,MS!U23,'MC + Vân hồ'!U23,YC!U23,PY!U23,BY!U23,SM!U23,SC!U23,TC!U23,ML!U23,QN!U23,XL!U23,'XL (BHTP1)'!U23,'XL (BHTP2)'!U23)</f>
        <v>0</v>
      </c>
      <c r="V23" s="13">
        <f>SUM('TP1'!V23,'TP2'!V23,MS!V23,'MC + Vân hồ'!V23,YC!V23,PY!V23,BY!V23,SM!V23,SC!V23,TC!V23,ML!V23,QN!V23,XL!V23,'XL (BHTP1)'!V23,'XL (BHTP2)'!V23)</f>
        <v>0</v>
      </c>
      <c r="W23" s="13">
        <f>SUM('TP1'!W23,'TP2'!W23,MS!W23,'MC + Vân hồ'!W23,YC!W23,PY!W23,BY!W23,SM!W23,SC!W23,TC!W23,ML!W23,QN!W23,XL!W23,'XL (BHTP1)'!W23,'XL (BHTP2)'!W23)</f>
        <v>0</v>
      </c>
      <c r="X23" s="13">
        <f>SUM('TP1'!X23,'TP2'!X23,MS!X23,'MC + Vân hồ'!X23,YC!X23,PY!X23,BY!X23,SM!X23,SC!X23,TC!X23,ML!X23,QN!X23,XL!X23,'XL (BHTP1)'!X23,'XL (BHTP2)'!X23)</f>
        <v>0</v>
      </c>
      <c r="Y23" s="13">
        <f>SUM('TP1'!Y23,'TP2'!Y23,MS!Y23,'MC + Vân hồ'!Y23,YC!Y23,PY!Y23,BY!Y23,SM!Y23,SC!Y23,TC!Y23,ML!Y23,QN!Y23,XL!Y23,'XL (BHTP1)'!Y23,'XL (BHTP2)'!Y23)</f>
        <v>0</v>
      </c>
      <c r="Z23" s="13">
        <f>SUM('TP1'!Z23,'TP2'!Z23,MS!Z23,'MC + Vân hồ'!Z23,YC!Z23,PY!Z23,BY!Z23,SM!Z23,SC!Z23,TC!Z23,ML!Z23,QN!Z23,XL!Z23,'XL (BHTP1)'!Z23,'XL (BHTP2)'!Z23)</f>
        <v>0</v>
      </c>
      <c r="AA23" s="13">
        <f>SUM('TP1'!AA23,'TP2'!AA23,MS!AA23,'MC + Vân hồ'!AA23,YC!AA23,PY!AA23,BY!AA23,SM!AA23,SC!AA23,TC!AA23,ML!AA23,QN!AA23,XL!AA23,'XL (BHTP1)'!AA23,'XL (BHTP2)'!AA23)</f>
        <v>0</v>
      </c>
      <c r="AB23" s="13">
        <f>SUM('TP1'!AB23,'TP2'!AB23,MS!AB23,'MC + Vân hồ'!AB23,YC!AB23,PY!AB23,BY!AB23,SM!AB23,SC!AB23,TC!AB23,ML!AB23,QN!AB23,XL!AB23,'XL (BHTP1)'!AB23,'XL (BHTP2)'!AB23)</f>
        <v>0</v>
      </c>
      <c r="AC23" s="13">
        <f>SUM('TP1'!AC23,'TP2'!AC23,MS!AC23,'MC + Vân hồ'!AC23,YC!AC23,PY!AC23,BY!AC23,SM!AC23,SC!AC23,TC!AC23,ML!AC23,QN!AC23,XL!AC23,'XL (BHTP1)'!AC23,'XL (BHTP2)'!AC23)</f>
        <v>0</v>
      </c>
      <c r="AD23" s="13">
        <f>SUM('TP1'!AD23,'TP2'!AD23,MS!AD23,'MC + Vân hồ'!AD23,YC!AD23,PY!AD23,BY!AD23,SM!AD23,SC!AD23,TC!AD23,ML!AD23,QN!AD23,XL!AD23,'XL (BHTP1)'!AD23,'XL (BHTP2)'!AD23)</f>
        <v>0</v>
      </c>
      <c r="AE23" s="13">
        <f>SUM('TP1'!AE23,'TP2'!AE23,MS!AE23,'MC + Vân hồ'!AE23,YC!AE23,PY!AE23,BY!AE23,SM!AE23,SC!AE23,TC!AE23,ML!AE23,QN!AE23,XL!AE23,'XL (BHTP1)'!AE23,'XL (BHTP2)'!AE23)</f>
        <v>0</v>
      </c>
      <c r="AF23" s="13">
        <f>SUM('TP1'!AF23,'TP2'!AF23,MS!AF23,'MC + Vân hồ'!AF23,YC!AF23,PY!AF23,BY!AF23,SM!AF23,SC!AF23,TC!AF23,ML!AF23,QN!AF23,XL!AF23,'XL (BHTP1)'!AF23,'XL (BHTP2)'!AF23)</f>
        <v>0</v>
      </c>
      <c r="AG23" s="13">
        <f>SUM('TP1'!AG23,'TP2'!AG23,MS!AG23,'MC + Vân hồ'!AG23,YC!AG23,PY!AG23,BY!AG23,SM!AG23,SC!AG23,TC!AG23,ML!AG23,QN!AG23,XL!AG23,'XL (BHTP1)'!AG23,'XL (BHTP2)'!AG23)</f>
        <v>0</v>
      </c>
      <c r="AH23" s="13">
        <f>SUM('TP1'!AH23,'TP2'!AH23,MS!AH23,'MC + Vân hồ'!AH23,YC!AH23,PY!AH23,BY!AH23,SM!AH23,SC!AH23,TC!AH23,ML!AH23,QN!AH23,XL!AH23,'XL (BHTP1)'!AH23,'XL (BHTP2)'!AH23)</f>
        <v>2</v>
      </c>
      <c r="AI23" s="13">
        <f>SUM('TP1'!AI23,'TP2'!AI23,MS!AI23,'MC + Vân hồ'!AI23,YC!AI23,PY!AI23,BY!AI23,SM!AI23,SC!AI23,TC!AI23,ML!AI23,QN!AI23,XL!AI23,'XL (BHTP1)'!AI23,'XL (BHTP2)'!AI23)</f>
        <v>0</v>
      </c>
      <c r="AJ23" s="13">
        <f>SUM('TP1'!AJ23,'TP2'!AJ23,MS!AJ23,'MC + Vân hồ'!AJ23,YC!AJ23,PY!AJ23,BY!AJ23,SM!AJ23,SC!AJ23,TC!AJ23,ML!AJ23,QN!AJ23,XL!AJ23,'XL (BHTP1)'!AJ23,'XL (BHTP2)'!AJ23)</f>
        <v>0</v>
      </c>
      <c r="AK23" s="13">
        <f>SUM('TP1'!AK23,'TP2'!AK23,MS!AK23,'MC + Vân hồ'!AK23,YC!AK23,PY!AK23,BY!AK23,SM!AK23,SC!AK23,TC!AK23,ML!AK23,QN!AK23,XL!AK23,'XL (BHTP1)'!AK23,'XL (BHTP2)'!AK23)</f>
        <v>0</v>
      </c>
      <c r="AL23" s="13">
        <f>SUM('TP1'!AL23,'TP2'!AL23,MS!AL23,'MC + Vân hồ'!AL23,YC!AL23,PY!AL23,BY!AL23,SM!AL23,SC!AL23,TC!AL23,ML!AL23,QN!AL23,XL!AL23,'XL (BHTP1)'!AL23,'XL (BHTP2)'!AL23)</f>
        <v>0</v>
      </c>
      <c r="AM23" s="13">
        <f>SUM('TP1'!AM23,'TP2'!AM23,MS!AM23,'MC + Vân hồ'!AM23,YC!AM23,PY!AM23,BY!AM23,SM!AM23,SC!AM23,TC!AM23,ML!AM23,QN!AM23,XL!AM23,'XL (BHTP1)'!AM23,'XL (BHTP2)'!AM23)</f>
        <v>0</v>
      </c>
      <c r="AN23" s="13">
        <f>SUM('TP1'!AN23,'TP2'!AN23,MS!AN23,'MC + Vân hồ'!AN23,YC!AN23,PY!AN23,BY!AN23,SM!AN23,SC!AN23,TC!AN23,ML!AN23,QN!AN23,XL!AN23,'XL (BHTP1)'!AN23,'XL (BHTP2)'!AN23)</f>
        <v>0</v>
      </c>
      <c r="AO23" s="13">
        <f>SUM('TP1'!AO23,'TP2'!AO23,MS!AO23,'MC + Vân hồ'!AO23,YC!AO23,PY!AO23,BY!AO23,SM!AO23,SC!AO23,TC!AO23,ML!AO23,QN!AO23,XL!AO23,'XL (BHTP1)'!AO23,'XL (BHTP2)'!AO23)</f>
        <v>0</v>
      </c>
      <c r="AP23" s="13">
        <f>SUM('TP1'!AP23,'TP2'!AP23,MS!AP23,'MC + Vân hồ'!AP23,YC!AP23,PY!AP23,BY!AP23,SM!AP23,SC!AP23,TC!AP23,ML!AP23,QN!AP23,XL!AP23,'XL (BHTP1)'!AP23,'XL (BHTP2)'!AP23)</f>
        <v>0</v>
      </c>
      <c r="AQ23" s="13">
        <f>SUM('TP1'!AQ23,'TP2'!AQ23,MS!AQ23,'MC + Vân hồ'!AQ23,YC!AQ23,PY!AQ23,BY!AQ23,SM!AQ23,SC!AQ23,TC!AQ23,ML!AQ23,QN!AQ23,XL!AQ23,'XL (BHTP1)'!AQ23,'XL (BHTP2)'!AQ23)</f>
        <v>0</v>
      </c>
      <c r="AR23" s="13">
        <f>SUM('TP1'!AR23,'TP2'!AR23,MS!AR23,'MC + Vân hồ'!AR23,YC!AR23,PY!AR23,BY!AR23,SM!AR23,SC!AR23,TC!AR23,ML!AR23,QN!AR23,XL!AR23,'XL (BHTP1)'!AR23,'XL (BHTP2)'!AR23)</f>
        <v>0</v>
      </c>
      <c r="AS23" s="13">
        <f>SUM('TP1'!AS23,'TP2'!AS23,MS!AS23,'MC + Vân hồ'!AS23,YC!AS23,PY!AS23,BY!AS23,SM!AS23,SC!AS23,TC!AS23,ML!AS23,QN!AS23,XL!AS23,'XL (BHTP1)'!AS23,'XL (BHTP2)'!AS23)</f>
        <v>0</v>
      </c>
      <c r="AT23" s="13">
        <f>SUM('TP1'!AT23,'TP2'!AT23,MS!AT23,'MC + Vân hồ'!AT23,YC!AT23,PY!AT23,BY!AT23,SM!AT23,SC!AT23,TC!AT23,ML!AT23,QN!AT23,XL!AT23,'XL (BHTP1)'!AT23,'XL (BHTP2)'!AT23)</f>
        <v>0</v>
      </c>
      <c r="AU23" s="13">
        <f>SUM('TP1'!AU23,'TP2'!AU23,MS!AU23,'MC + Vân hồ'!AU23,YC!AU23,PY!AU23,BY!AU23,SM!AU23,SC!AU23,TC!AU23,ML!AU23,QN!AU23,XL!AU23,'XL (BHTP1)'!AU23,'XL (BHTP2)'!AU23)</f>
        <v>0</v>
      </c>
      <c r="AV23" s="13">
        <f>SUM('TP1'!AV23,'TP2'!AV23,MS!AV23,'MC + Vân hồ'!AV23,YC!AV23,PY!AV23,BY!AV23,SM!AV23,SC!AV23,TC!AV23,ML!AV23,QN!AV23,XL!AV23,'XL (BHTP1)'!AV23,'XL (BHTP2)'!AV23)</f>
        <v>0</v>
      </c>
      <c r="AW23" s="13">
        <f>SUM('TP1'!AW23,'TP2'!AW23,MS!AW23,'MC + Vân hồ'!AW23,YC!AW23,PY!AW23,BY!AW23,SM!AW23,SC!AW23,TC!AW23,ML!AW23,QN!AW23,XL!AW23,'XL (BHTP1)'!AW23,'XL (BHTP2)'!AW23)</f>
        <v>0</v>
      </c>
      <c r="AX23" s="13">
        <f>SUM('TP1'!AX23,'TP2'!AX23,MS!AX23,'MC + Vân hồ'!AX23,YC!AX23,PY!AX23,BY!AX23,SM!AX23,SC!AX23,TC!AX23,ML!AX23,QN!AX23,XL!AX23,'XL (BHTP1)'!AX23,'XL (BHTP2)'!AX23)</f>
        <v>0</v>
      </c>
      <c r="AY23" s="13">
        <f>SUM('TP1'!AY23,'TP2'!AY23,MS!AY23,'MC + Vân hồ'!AY23,YC!AY23,PY!AY23,BY!AY23,SM!AY23,SC!AY23,TC!AY23,ML!AY23,QN!AY23,XL!AY23,'XL (BHTP1)'!AY23,'XL (BHTP2)'!AY23)</f>
        <v>0</v>
      </c>
      <c r="AZ23" s="13">
        <f>SUM('TP1'!AZ23,'TP2'!AZ23,MS!AZ23,'MC + Vân hồ'!AZ23,YC!AZ23,PY!AZ23,BY!AZ23,SM!AZ23,SC!AZ23,TC!AZ23,ML!AZ23,QN!AZ23,XL!AZ23,'XL (BHTP1)'!AZ23,'XL (BHTP2)'!AZ23)</f>
        <v>0</v>
      </c>
      <c r="BA23" s="13">
        <f>SUM('TP1'!BA23,'TP2'!BA23,MS!BA23,'MC + Vân hồ'!BA23,YC!BA23,PY!BA23,BY!BA23,SM!BA23,SC!BA23,TC!BA23,ML!BA23,QN!BA23,XL!BA23,'XL (BHTP1)'!BA23,'XL (BHTP2)'!BA23)</f>
        <v>0</v>
      </c>
      <c r="BB23" s="13">
        <f>SUM('TP1'!BB23,'TP2'!BB23,MS!BB23,'MC + Vân hồ'!BB23,YC!BB23,PY!BB23,BY!BB23,SM!BB23,SC!BB23,TC!BB23,ML!BB23,QN!BB23,XL!BB23,'XL (BHTP1)'!BB23,'XL (BHTP2)'!BB23)</f>
        <v>0</v>
      </c>
      <c r="BC23" s="13">
        <f>SUM('TP1'!BC23,'TP2'!BC23,MS!BC23,'MC + Vân hồ'!BC23,YC!BC23,PY!BC23,BY!BC23,SM!BC23,SC!BC23,TC!BC23,ML!BC23,QN!BC23,XL!BC23,'XL (BHTP1)'!BC23,'XL (BHTP2)'!BC23)</f>
        <v>0</v>
      </c>
      <c r="BD23" s="13">
        <f>SUM('TP1'!BD23,'TP2'!BD23,MS!BD23,'MC + Vân hồ'!BD23,YC!BD23,PY!BD23,BY!BD23,SM!BD23,SC!BD23,TC!BD23,ML!BD23,QN!BD23,XL!BD23,'XL (BHTP1)'!BD23,'XL (BHTP2)'!BD23)</f>
        <v>0</v>
      </c>
      <c r="BE23" s="13">
        <f>SUM('TP1'!BE23,'TP2'!BE23,MS!BE23,'MC + Vân hồ'!BE23,YC!BE23,PY!BE23,BY!BE23,SM!BE23,SC!BE23,TC!BE23,ML!BE23,QN!BE23,XL!BE23,'XL (BHTP1)'!BE23,'XL (BHTP2)'!BE23)</f>
        <v>0</v>
      </c>
      <c r="BF23" s="13">
        <f>SUM('TP1'!BF23,'TP2'!BF23,MS!BF23,'MC + Vân hồ'!BF23,YC!BF23,PY!BF23,BY!BF23,SM!BF23,SC!BF23,TC!BF23,ML!BF23,QN!BF23,XL!BF23,'XL (BHTP1)'!BF23,'XL (BHTP2)'!BF23)</f>
        <v>0</v>
      </c>
      <c r="BG23" s="13">
        <f>SUM('TP1'!BG23,'TP2'!BG23,MS!BG23,'MC + Vân hồ'!BG23,YC!BG23,PY!BG23,BY!BG23,SM!BG23,SC!BG23,TC!BG23,ML!BG23,QN!BG23,XL!BG23,'XL (BHTP1)'!BG23,'XL (BHTP2)'!BG23)</f>
        <v>0</v>
      </c>
      <c r="BH23" s="13">
        <f>SUM('TP1'!BH23,'TP2'!BH23,MS!BH23,'MC + Vân hồ'!BH23,YC!BH23,PY!BH23,BY!BH23,SM!BH23,SC!BH23,TC!BH23,ML!BH23,QN!BH23,XL!BH23,'XL (BHTP1)'!BH23,'XL (BHTP2)'!BH23)</f>
        <v>0</v>
      </c>
      <c r="BI23" s="13">
        <f>SUM('TP1'!BI23,'TP2'!BI23,MS!BI23,'MC + Vân hồ'!BI23,YC!BI23,PY!BI23,BY!BI23,SM!BI23,SC!BI23,TC!BI23,ML!BI23,QN!BI23,XL!BI23,'XL (BHTP1)'!BI23,'XL (BHTP2)'!BI23)</f>
        <v>0</v>
      </c>
      <c r="BJ23" s="13">
        <f>SUM('TP1'!BJ23,'TP2'!BJ23,MS!BJ23,'MC + Vân hồ'!BJ23,YC!BJ23,PY!BJ23,BY!BJ23,SM!BJ23,SC!BJ23,TC!BJ23,ML!BJ23,QN!BJ23,XL!BJ23,'XL (BHTP1)'!BJ23,'XL (BHTP2)'!BJ23)</f>
        <v>0</v>
      </c>
      <c r="BK23" s="13">
        <f>SUM('TP1'!BK23,'TP2'!BK23,MS!BK23,'MC + Vân hồ'!BK23,YC!BK23,PY!BK23,BY!BK23,SM!BK23,SC!BK23,TC!BK23,ML!BK23,QN!BK23,XL!BK23,'XL (BHTP1)'!BK23,'XL (BHTP2)'!BK23)</f>
        <v>0</v>
      </c>
      <c r="BL23" s="13">
        <f>SUM('TP1'!BL23,'TP2'!BL23,MS!BL23,'MC + Vân hồ'!BL23,YC!BL23,PY!BL23,BY!BL23,SM!BL23,SC!BL23,TC!BL23,ML!BL23,QN!BL23,XL!BL23,'XL (BHTP1)'!BL23,'XL (BHTP2)'!BL23)</f>
        <v>0</v>
      </c>
      <c r="BM23" s="13">
        <f>SUM('TP1'!BM23,'TP2'!BM23,MS!BM23,'MC + Vân hồ'!BM23,YC!BM23,PY!BM23,BY!BM23,SM!BM23,SC!BM23,TC!BM23,ML!BM23,QN!BM23,XL!BM23,'XL (BHTP1)'!BM23,'XL (BHTP2)'!BM23)</f>
        <v>0</v>
      </c>
      <c r="BN23" s="13">
        <f>SUM('TP1'!BN23,'TP2'!BN23,MS!BN23,'MC + Vân hồ'!BN23,YC!BN23,PY!BN23,BY!BN23,SM!BN23,SC!BN23,TC!BN23,ML!BN23,QN!BN23,XL!BN23,'XL (BHTP1)'!BN23,'XL (BHTP2)'!BN23)</f>
        <v>0</v>
      </c>
      <c r="BO23" s="13">
        <f>SUM('TP1'!BO23,'TP2'!BO23,MS!BO23,'MC + Vân hồ'!BO23,YC!BO23,PY!BO23,BY!BO23,SM!BO23,SC!BO23,TC!BO23,ML!BO23,QN!BO23,XL!BO23,'XL (BHTP1)'!BO23,'XL (BHTP2)'!BO23)</f>
        <v>0</v>
      </c>
      <c r="BP23" s="13">
        <f>SUM('TP1'!BP23,'TP2'!BP23,MS!BP23,'MC + Vân hồ'!BP23,YC!BP23,PY!BP23,BY!BP23,SM!BP23,SC!BP23,TC!BP23,ML!BP23,QN!BP23,XL!BP23,'XL (BHTP1)'!BP23,'XL (BHTP2)'!BP23)</f>
        <v>0</v>
      </c>
      <c r="BQ23" s="13">
        <f>SUM('TP1'!BQ23,'TP2'!BQ23,MS!BQ23,'MC + Vân hồ'!BQ23,YC!BQ23,PY!BQ23,BY!BQ23,SM!BQ23,SC!BQ23,TC!BQ23,ML!BQ23,QN!BQ23,XL!BQ23,'XL (BHTP1)'!BQ23,'XL (BHTP2)'!BQ23)</f>
        <v>0</v>
      </c>
      <c r="BR23" s="13">
        <f>SUM('TP1'!BR23,'TP2'!BR23,MS!BR23,'MC + Vân hồ'!BR23,YC!BR23,PY!BR23,BY!BR23,SM!BR23,SC!BR23,TC!BR23,ML!BR23,QN!BR23,XL!BR23,'XL (BHTP1)'!BR23,'XL (BHTP2)'!BR23)</f>
        <v>0</v>
      </c>
      <c r="BS23" s="13">
        <f>SUM('TP1'!BS23,'TP2'!BS23,MS!BS23,'MC + Vân hồ'!BS23,YC!BS23,PY!BS23,BY!BS23,SM!BS23,SC!BS23,TC!BS23,ML!BS23,QN!BS23,XL!BS23,'XL (BHTP1)'!BS23,'XL (BHTP2)'!BS23)</f>
        <v>0</v>
      </c>
      <c r="BT23" s="13">
        <f>SUM('TP1'!BT23,'TP2'!BT23,MS!BT23,'MC + Vân hồ'!BT23,YC!BT23,PY!BT23,BY!BT23,SM!BT23,SC!BT23,TC!BT23,ML!BT23,QN!BT23,XL!BT23,'XL (BHTP1)'!BT23,'XL (BHTP2)'!BT23)</f>
        <v>0</v>
      </c>
      <c r="BU23" s="13">
        <f>SUM('TP1'!BU23,'TP2'!BU23,MS!BU23,'MC + Vân hồ'!BU23,YC!BU23,PY!BU23,BY!BU23,SM!BU23,SC!BU23,TC!BU23,ML!BU23,QN!BU23,XL!BU23,'XL (BHTP1)'!BU23,'XL (BHTP2)'!BU23)</f>
        <v>0</v>
      </c>
      <c r="BV23" s="13">
        <f>SUM('TP1'!BV23,'TP2'!BV23,MS!BV23,'MC + Vân hồ'!BV23,YC!BV23,PY!BV23,BY!BV23,SM!BV23,SC!BV23,TC!BV23,ML!BV23,QN!BV23,XL!BV23,'XL (BHTP1)'!BV23,'XL (BHTP2)'!BV23)</f>
        <v>0</v>
      </c>
      <c r="BW23" s="13">
        <f>SUM('TP1'!BW23,'TP2'!BW23,MS!BW23,'MC + Vân hồ'!BW23,YC!BW23,PY!BW23,BY!BW23,SM!BW23,SC!BW23,TC!BW23,ML!BW23,QN!BW23,XL!BW23,'XL (BHTP1)'!BW23,'XL (BHTP2)'!BW23)</f>
        <v>0</v>
      </c>
      <c r="BX23" s="13">
        <f>SUM('TP1'!BX23,'TP2'!BX23,MS!BX23,'MC + Vân hồ'!BX23,YC!BX23,PY!BX23,BY!BX23,SM!BX23,SC!BX23,TC!BX23,ML!BX23,QN!BX23,XL!BX23,'XL (BHTP1)'!BX23,'XL (BHTP2)'!BX23)</f>
        <v>0</v>
      </c>
      <c r="BY23" s="13">
        <f>SUM('TP1'!BY23,'TP2'!BY23,MS!BY23,'MC + Vân hồ'!BY23,YC!BY23,PY!BY23,BY!BY23,SM!BY23,SC!BY23,TC!BY23,ML!BY23,QN!BY23,XL!BY23,'XL (BHTP1)'!BY23,'XL (BHTP2)'!BY23)</f>
        <v>0</v>
      </c>
      <c r="BZ23" s="13">
        <f>SUM('TP1'!BZ23,'TP2'!BZ23,MS!BZ23,'MC + Vân hồ'!BZ23,YC!BZ23,PY!BZ23,BY!BZ23,SM!BZ23,SC!BZ23,TC!BZ23,ML!BZ23,QN!BZ23,XL!BZ23,'XL (BHTP1)'!BZ23,'XL (BHTP2)'!BZ23)</f>
        <v>0</v>
      </c>
      <c r="CA23" s="13">
        <f>SUM('TP1'!CA23,'TP2'!CA23,MS!CA23,'MC + Vân hồ'!CA23,YC!CA23,PY!CA23,BY!CA23,SM!CA23,SC!CA23,TC!CA23,ML!CA23,QN!CA23,XL!CA23,'XL (BHTP1)'!CA23,'XL (BHTP2)'!CA23)</f>
        <v>0</v>
      </c>
      <c r="CB23" s="13">
        <f>SUM('TP1'!CB23,'TP2'!CB23,MS!CB23,'MC + Vân hồ'!CB23,YC!CB23,PY!CB23,BY!CB23,SM!CB23,SC!CB23,TC!CB23,ML!CB23,QN!CB23,XL!CB23,'XL (BHTP1)'!CB23,'XL (BHTP2)'!CB23)</f>
        <v>0</v>
      </c>
      <c r="CC23" s="13">
        <f>SUM('TP1'!CC23,'TP2'!CC23,MS!CC23,'MC + Vân hồ'!CC23,YC!CC23,PY!CC23,BY!CC23,SM!CC23,SC!CC23,TC!CC23,ML!CC23,QN!CC23,XL!CC23,'XL (BHTP1)'!CC23,'XL (BHTP2)'!CC23)</f>
        <v>0</v>
      </c>
      <c r="CD23" s="13">
        <f>SUM('TP1'!CD23,'TP2'!CD23,MS!CD23,'MC + Vân hồ'!CD23,YC!CD23,PY!CD23,BY!CD23,SM!CD23,SC!CD23,TC!CD23,ML!CD23,QN!CD23,XL!CD23,'XL (BHTP1)'!CD23,'XL (BHTP2)'!CD23)</f>
        <v>0</v>
      </c>
      <c r="CE23" s="13">
        <f>SUM('TP1'!CE23,'TP2'!CE23,MS!CE23,'MC + Vân hồ'!CE23,YC!CE23,PY!CE23,BY!CE23,SM!CE23,SC!CE23,TC!CE23,ML!CE23,QN!CE23,XL!CE23,'XL (BHTP1)'!CE23,'XL (BHTP2)'!CE23)</f>
        <v>0</v>
      </c>
      <c r="CF23" s="13">
        <f>SUM('TP1'!CF23,'TP2'!CF23,MS!CF23,'MC + Vân hồ'!CF23,YC!CF23,PY!CF23,BY!CF23,SM!CF23,SC!CF23,TC!CF23,ML!CF23,QN!CF23,XL!CF23,'XL (BHTP1)'!CF23,'XL (BHTP2)'!CF23)</f>
        <v>0</v>
      </c>
      <c r="CG23" s="13">
        <f>SUM('TP1'!CG23,'TP2'!CG23,MS!CG23,'MC + Vân hồ'!CG23,YC!CG23,PY!CG23,BY!CG23,SM!CG23,SC!CG23,TC!CG23,ML!CG23,QN!CG23,XL!CG23,'XL (BHTP1)'!CG23,'XL (BHTP2)'!CG23)</f>
        <v>0</v>
      </c>
      <c r="CH23" s="13">
        <f>SUM('TP1'!CH23,'TP2'!CH23,MS!CH23,'MC + Vân hồ'!CH23,YC!CH23,PY!CH23,BY!CH23,SM!CH23,SC!CH23,TC!CH23,ML!CH23,QN!CH23,XL!CH23,'XL (BHTP1)'!CH23,'XL (BHTP2)'!CH23)</f>
        <v>0</v>
      </c>
      <c r="CI23" s="13">
        <f>SUM('TP1'!CI23,'TP2'!CI23,MS!CI23,'MC + Vân hồ'!CI23,YC!CI23,PY!CI23,BY!CI23,SM!CI23,SC!CI23,TC!CI23,ML!CI23,QN!CI23,XL!CI23,'XL (BHTP1)'!CI23,'XL (BHTP2)'!CI23)</f>
        <v>0</v>
      </c>
      <c r="CJ23" s="13">
        <f>SUM('TP1'!CJ23,'TP2'!CJ23,MS!CJ23,'MC + Vân hồ'!CJ23,YC!CJ23,PY!CJ23,BY!CJ23,SM!CJ23,SC!CJ23,TC!CJ23,ML!CJ23,QN!CJ23,XL!CJ23,'XL (BHTP1)'!CJ23,'XL (BHTP2)'!CJ23)</f>
        <v>0</v>
      </c>
      <c r="CK23" s="73">
        <f t="shared" ref="CK23:CQ23" si="19">SUM(E23,L23,S23,Z23,AG23,AN23,AU23,BB23,BI23,BP23,BW23,CD23)</f>
        <v>0</v>
      </c>
      <c r="CL23" s="73">
        <f t="shared" si="19"/>
        <v>2</v>
      </c>
      <c r="CM23" s="73">
        <f t="shared" si="19"/>
        <v>0</v>
      </c>
      <c r="CN23" s="73">
        <f t="shared" si="19"/>
        <v>0</v>
      </c>
      <c r="CO23" s="73">
        <f t="shared" si="19"/>
        <v>0</v>
      </c>
      <c r="CP23" s="73">
        <f t="shared" si="19"/>
        <v>0</v>
      </c>
      <c r="CQ23" s="73">
        <f t="shared" si="19"/>
        <v>0</v>
      </c>
      <c r="CR23" s="56"/>
      <c r="CS23" s="56">
        <f t="shared" si="3"/>
        <v>0</v>
      </c>
    </row>
    <row r="24" ht="15.75" customHeight="1" outlineLevel="1">
      <c r="B24" s="12" t="s">
        <v>66</v>
      </c>
      <c r="C24" s="12" t="s">
        <v>67</v>
      </c>
      <c r="D24" s="12" t="s">
        <v>26</v>
      </c>
      <c r="E24" s="13">
        <f>SUM('TP1'!E24,'TP2'!E24,MS!E24,'MC + Vân hồ'!E24,YC!E24,PY!E24,BY!E24,SM!E24,SC!E24,TC!E24,ML!E24,QN!E24,XL!E24,'XL (BHTP1)'!E24,'XL (BHTP2)'!E24)</f>
        <v>0</v>
      </c>
      <c r="F24" s="13">
        <f>SUM('TP1'!F24,'TP2'!F24,MS!F24,'MC + Vân hồ'!F24,YC!F24,PY!F24,BY!F24,SM!F24,SC!F24,TC!F24,ML!F24,QN!F24,XL!F24,'XL (BHTP1)'!F24,'XL (BHTP2)'!F24)</f>
        <v>2</v>
      </c>
      <c r="G24" s="13">
        <f>SUM('TP1'!G24,'TP2'!G24,MS!G24,'MC + Vân hồ'!G24,YC!G24,PY!G24,BY!G24,SM!G24,SC!G24,TC!G24,ML!G24,QN!G24,XL!G24,'XL (BHTP1)'!G24,'XL (BHTP2)'!G24)</f>
        <v>0</v>
      </c>
      <c r="H24" s="13">
        <f>SUM('TP1'!H24,'TP2'!H24,MS!H24,'MC + Vân hồ'!H24,YC!H24,PY!H24,BY!H24,SM!H24,SC!H24,TC!H24,ML!H24,QN!H24,XL!H24,'XL (BHTP1)'!H24,'XL (BHTP2)'!H24)</f>
        <v>0</v>
      </c>
      <c r="I24" s="13">
        <f>SUM('TP1'!I24,'TP2'!I24,MS!I24,'MC + Vân hồ'!I24,YC!I24,PY!I24,BY!I24,SM!I24,SC!I24,TC!I24,ML!I24,QN!I24,XL!I24,'XL (BHTP1)'!I24,'XL (BHTP2)'!I24)</f>
        <v>0</v>
      </c>
      <c r="J24" s="13">
        <f>SUM('TP1'!J24,'TP2'!J24,MS!J24,'MC + Vân hồ'!J24,YC!J24,PY!J24,BY!J24,SM!J24,SC!J24,TC!J24,ML!J24,QN!J24,XL!J24,'XL (BHTP1)'!J24,'XL (BHTP2)'!J24)</f>
        <v>0</v>
      </c>
      <c r="K24" s="13">
        <f>SUM('TP1'!K24,'TP2'!K24,MS!K24,'MC + Vân hồ'!K24,YC!K24,PY!K24,BY!K24,SM!K24,SC!K24,TC!K24,ML!K24,QN!K24,XL!K24,'XL (BHTP1)'!K24,'XL (BHTP2)'!K24)</f>
        <v>0</v>
      </c>
      <c r="L24" s="13">
        <f>SUM('TP1'!L24,'TP2'!L24,MS!L24,'MC + Vân hồ'!L24,YC!L24,PY!L24,BY!L24,SM!L24,SC!L24,TC!L24,ML!L24,QN!L24,XL!L24,'XL (BHTP1)'!L24,'XL (BHTP2)'!L24)</f>
        <v>0</v>
      </c>
      <c r="M24" s="13">
        <f>SUM('TP1'!M24,'TP2'!M24,MS!M24,'MC + Vân hồ'!M24,YC!M24,PY!M24,BY!M24,SM!M24,SC!M24,TC!M24,ML!M24,QN!M24,XL!M24,'XL (BHTP1)'!M24,'XL (BHTP2)'!M24)</f>
        <v>1</v>
      </c>
      <c r="N24" s="13">
        <f>SUM('TP1'!N24,'TP2'!N24,MS!N24,'MC + Vân hồ'!N24,YC!N24,PY!N24,BY!N24,SM!N24,SC!N24,TC!N24,ML!N24,QN!N24,XL!N24,'XL (BHTP1)'!N24,'XL (BHTP2)'!N24)</f>
        <v>0</v>
      </c>
      <c r="O24" s="13">
        <f>SUM('TP1'!O24,'TP2'!O24,MS!O24,'MC + Vân hồ'!O24,YC!O24,PY!O24,BY!O24,SM!O24,SC!O24,TC!O24,ML!O24,QN!O24,XL!O24,'XL (BHTP1)'!O24,'XL (BHTP2)'!O24)</f>
        <v>0</v>
      </c>
      <c r="P24" s="13">
        <f>SUM('TP1'!P24,'TP2'!P24,MS!P24,'MC + Vân hồ'!P24,YC!P24,PY!P24,BY!P24,SM!P24,SC!P24,TC!P24,ML!P24,QN!P24,XL!P24,'XL (BHTP1)'!P24,'XL (BHTP2)'!P24)</f>
        <v>0</v>
      </c>
      <c r="Q24" s="13">
        <f>SUM('TP1'!Q24,'TP2'!Q24,MS!Q24,'MC + Vân hồ'!Q24,YC!Q24,PY!Q24,BY!Q24,SM!Q24,SC!Q24,TC!Q24,ML!Q24,QN!Q24,XL!Q24,'XL (BHTP1)'!Q24,'XL (BHTP2)'!Q24)</f>
        <v>0</v>
      </c>
      <c r="R24" s="13">
        <f>SUM('TP1'!R24,'TP2'!R24,MS!R24,'MC + Vân hồ'!R24,YC!R24,PY!R24,BY!R24,SM!R24,SC!R24,TC!R24,ML!R24,QN!R24,XL!R24,'XL (BHTP1)'!R24,'XL (BHTP2)'!R24)</f>
        <v>0</v>
      </c>
      <c r="S24" s="13">
        <f>SUM('TP1'!S24,'TP2'!S24,MS!S24,'MC + Vân hồ'!S24,YC!S24,PY!S24,BY!S24,SM!S24,SC!S24,TC!S24,ML!S24,QN!S24,XL!S24,'XL (BHTP1)'!S24,'XL (BHTP2)'!S24)</f>
        <v>0</v>
      </c>
      <c r="T24" s="13">
        <f>SUM('TP1'!T24,'TP2'!T24,MS!T24,'MC + Vân hồ'!T24,YC!T24,PY!T24,BY!T24,SM!T24,SC!T24,TC!T24,ML!T24,QN!T24,XL!T24,'XL (BHTP1)'!T24,'XL (BHTP2)'!T24)</f>
        <v>0</v>
      </c>
      <c r="U24" s="13">
        <f>SUM('TP1'!U24,'TP2'!U24,MS!U24,'MC + Vân hồ'!U24,YC!U24,PY!U24,BY!U24,SM!U24,SC!U24,TC!U24,ML!U24,QN!U24,XL!U24,'XL (BHTP1)'!U24,'XL (BHTP2)'!U24)</f>
        <v>1</v>
      </c>
      <c r="V24" s="13">
        <f>SUM('TP1'!V24,'TP2'!V24,MS!V24,'MC + Vân hồ'!V24,YC!V24,PY!V24,BY!V24,SM!V24,SC!V24,TC!V24,ML!V24,QN!V24,XL!V24,'XL (BHTP1)'!V24,'XL (BHTP2)'!V24)</f>
        <v>0</v>
      </c>
      <c r="W24" s="13">
        <f>SUM('TP1'!W24,'TP2'!W24,MS!W24,'MC + Vân hồ'!W24,YC!W24,PY!W24,BY!W24,SM!W24,SC!W24,TC!W24,ML!W24,QN!W24,XL!W24,'XL (BHTP1)'!W24,'XL (BHTP2)'!W24)</f>
        <v>0</v>
      </c>
      <c r="X24" s="13">
        <f>SUM('TP1'!X24,'TP2'!X24,MS!X24,'MC + Vân hồ'!X24,YC!X24,PY!X24,BY!X24,SM!X24,SC!X24,TC!X24,ML!X24,QN!X24,XL!X24,'XL (BHTP1)'!X24,'XL (BHTP2)'!X24)</f>
        <v>0</v>
      </c>
      <c r="Y24" s="13">
        <f>SUM('TP1'!Y24,'TP2'!Y24,MS!Y24,'MC + Vân hồ'!Y24,YC!Y24,PY!Y24,BY!Y24,SM!Y24,SC!Y24,TC!Y24,ML!Y24,QN!Y24,XL!Y24,'XL (BHTP1)'!Y24,'XL (BHTP2)'!Y24)</f>
        <v>0</v>
      </c>
      <c r="Z24" s="13">
        <f>SUM('TP1'!Z24,'TP2'!Z24,MS!Z24,'MC + Vân hồ'!Z24,YC!Z24,PY!Z24,BY!Z24,SM!Z24,SC!Z24,TC!Z24,ML!Z24,QN!Z24,XL!Z24,'XL (BHTP1)'!Z24,'XL (BHTP2)'!Z24)</f>
        <v>0</v>
      </c>
      <c r="AA24" s="13">
        <f>SUM('TP1'!AA24,'TP2'!AA24,MS!AA24,'MC + Vân hồ'!AA24,YC!AA24,PY!AA24,BY!AA24,SM!AA24,SC!AA24,TC!AA24,ML!AA24,QN!AA24,XL!AA24,'XL (BHTP1)'!AA24,'XL (BHTP2)'!AA24)</f>
        <v>0</v>
      </c>
      <c r="AB24" s="13">
        <f>SUM('TP1'!AB24,'TP2'!AB24,MS!AB24,'MC + Vân hồ'!AB24,YC!AB24,PY!AB24,BY!AB24,SM!AB24,SC!AB24,TC!AB24,ML!AB24,QN!AB24,XL!AB24,'XL (BHTP1)'!AB24,'XL (BHTP2)'!AB24)</f>
        <v>0</v>
      </c>
      <c r="AC24" s="13">
        <f>SUM('TP1'!AC24,'TP2'!AC24,MS!AC24,'MC + Vân hồ'!AC24,YC!AC24,PY!AC24,BY!AC24,SM!AC24,SC!AC24,TC!AC24,ML!AC24,QN!AC24,XL!AC24,'XL (BHTP1)'!AC24,'XL (BHTP2)'!AC24)</f>
        <v>0</v>
      </c>
      <c r="AD24" s="13">
        <f>SUM('TP1'!AD24,'TP2'!AD24,MS!AD24,'MC + Vân hồ'!AD24,YC!AD24,PY!AD24,BY!AD24,SM!AD24,SC!AD24,TC!AD24,ML!AD24,QN!AD24,XL!AD24,'XL (BHTP1)'!AD24,'XL (BHTP2)'!AD24)</f>
        <v>0</v>
      </c>
      <c r="AE24" s="13">
        <f>SUM('TP1'!AE24,'TP2'!AE24,MS!AE24,'MC + Vân hồ'!AE24,YC!AE24,PY!AE24,BY!AE24,SM!AE24,SC!AE24,TC!AE24,ML!AE24,QN!AE24,XL!AE24,'XL (BHTP1)'!AE24,'XL (BHTP2)'!AE24)</f>
        <v>0</v>
      </c>
      <c r="AF24" s="13">
        <f>SUM('TP1'!AF24,'TP2'!AF24,MS!AF24,'MC + Vân hồ'!AF24,YC!AF24,PY!AF24,BY!AF24,SM!AF24,SC!AF24,TC!AF24,ML!AF24,QN!AF24,XL!AF24,'XL (BHTP1)'!AF24,'XL (BHTP2)'!AF24)</f>
        <v>0</v>
      </c>
      <c r="AG24" s="13">
        <f>SUM('TP1'!AG24,'TP2'!AG24,MS!AG24,'MC + Vân hồ'!AG24,YC!AG24,PY!AG24,BY!AG24,SM!AG24,SC!AG24,TC!AG24,ML!AG24,QN!AG24,XL!AG24,'XL (BHTP1)'!AG24,'XL (BHTP2)'!AG24)</f>
        <v>0</v>
      </c>
      <c r="AH24" s="13">
        <f>SUM('TP1'!AH24,'TP2'!AH24,MS!AH24,'MC + Vân hồ'!AH24,YC!AH24,PY!AH24,BY!AH24,SM!AH24,SC!AH24,TC!AH24,ML!AH24,QN!AH24,XL!AH24,'XL (BHTP1)'!AH24,'XL (BHTP2)'!AH24)</f>
        <v>0</v>
      </c>
      <c r="AI24" s="13">
        <f>SUM('TP1'!AI24,'TP2'!AI24,MS!AI24,'MC + Vân hồ'!AI24,YC!AI24,PY!AI24,BY!AI24,SM!AI24,SC!AI24,TC!AI24,ML!AI24,QN!AI24,XL!AI24,'XL (BHTP1)'!AI24,'XL (BHTP2)'!AI24)</f>
        <v>0</v>
      </c>
      <c r="AJ24" s="13">
        <f>SUM('TP1'!AJ24,'TP2'!AJ24,MS!AJ24,'MC + Vân hồ'!AJ24,YC!AJ24,PY!AJ24,BY!AJ24,SM!AJ24,SC!AJ24,TC!AJ24,ML!AJ24,QN!AJ24,XL!AJ24,'XL (BHTP1)'!AJ24,'XL (BHTP2)'!AJ24)</f>
        <v>0</v>
      </c>
      <c r="AK24" s="13">
        <f>SUM('TP1'!AK24,'TP2'!AK24,MS!AK24,'MC + Vân hồ'!AK24,YC!AK24,PY!AK24,BY!AK24,SM!AK24,SC!AK24,TC!AK24,ML!AK24,QN!AK24,XL!AK24,'XL (BHTP1)'!AK24,'XL (BHTP2)'!AK24)</f>
        <v>0</v>
      </c>
      <c r="AL24" s="13">
        <f>SUM('TP1'!AL24,'TP2'!AL24,MS!AL24,'MC + Vân hồ'!AL24,YC!AL24,PY!AL24,BY!AL24,SM!AL24,SC!AL24,TC!AL24,ML!AL24,QN!AL24,XL!AL24,'XL (BHTP1)'!AL24,'XL (BHTP2)'!AL24)</f>
        <v>0</v>
      </c>
      <c r="AM24" s="13">
        <f>SUM('TP1'!AM24,'TP2'!AM24,MS!AM24,'MC + Vân hồ'!AM24,YC!AM24,PY!AM24,BY!AM24,SM!AM24,SC!AM24,TC!AM24,ML!AM24,QN!AM24,XL!AM24,'XL (BHTP1)'!AM24,'XL (BHTP2)'!AM24)</f>
        <v>0</v>
      </c>
      <c r="AN24" s="13">
        <f>SUM('TP1'!AN24,'TP2'!AN24,MS!AN24,'MC + Vân hồ'!AN24,YC!AN24,PY!AN24,BY!AN24,SM!AN24,SC!AN24,TC!AN24,ML!AN24,QN!AN24,XL!AN24,'XL (BHTP1)'!AN24,'XL (BHTP2)'!AN24)</f>
        <v>0</v>
      </c>
      <c r="AO24" s="13">
        <f>SUM('TP1'!AO24,'TP2'!AO24,MS!AO24,'MC + Vân hồ'!AO24,YC!AO24,PY!AO24,BY!AO24,SM!AO24,SC!AO24,TC!AO24,ML!AO24,QN!AO24,XL!AO24,'XL (BHTP1)'!AO24,'XL (BHTP2)'!AO24)</f>
        <v>0</v>
      </c>
      <c r="AP24" s="13">
        <f>SUM('TP1'!AP24,'TP2'!AP24,MS!AP24,'MC + Vân hồ'!AP24,YC!AP24,PY!AP24,BY!AP24,SM!AP24,SC!AP24,TC!AP24,ML!AP24,QN!AP24,XL!AP24,'XL (BHTP1)'!AP24,'XL (BHTP2)'!AP24)</f>
        <v>0</v>
      </c>
      <c r="AQ24" s="13">
        <f>SUM('TP1'!AQ24,'TP2'!AQ24,MS!AQ24,'MC + Vân hồ'!AQ24,YC!AQ24,PY!AQ24,BY!AQ24,SM!AQ24,SC!AQ24,TC!AQ24,ML!AQ24,QN!AQ24,XL!AQ24,'XL (BHTP1)'!AQ24,'XL (BHTP2)'!AQ24)</f>
        <v>0</v>
      </c>
      <c r="AR24" s="13">
        <f>SUM('TP1'!AR24,'TP2'!AR24,MS!AR24,'MC + Vân hồ'!AR24,YC!AR24,PY!AR24,BY!AR24,SM!AR24,SC!AR24,TC!AR24,ML!AR24,QN!AR24,XL!AR24,'XL (BHTP1)'!AR24,'XL (BHTP2)'!AR24)</f>
        <v>0</v>
      </c>
      <c r="AS24" s="13">
        <f>SUM('TP1'!AS24,'TP2'!AS24,MS!AS24,'MC + Vân hồ'!AS24,YC!AS24,PY!AS24,BY!AS24,SM!AS24,SC!AS24,TC!AS24,ML!AS24,QN!AS24,XL!AS24,'XL (BHTP1)'!AS24,'XL (BHTP2)'!AS24)</f>
        <v>0</v>
      </c>
      <c r="AT24" s="13">
        <f>SUM('TP1'!AT24,'TP2'!AT24,MS!AT24,'MC + Vân hồ'!AT24,YC!AT24,PY!AT24,BY!AT24,SM!AT24,SC!AT24,TC!AT24,ML!AT24,QN!AT24,XL!AT24,'XL (BHTP1)'!AT24,'XL (BHTP2)'!AT24)</f>
        <v>0</v>
      </c>
      <c r="AU24" s="13">
        <f>SUM('TP1'!AU24,'TP2'!AU24,MS!AU24,'MC + Vân hồ'!AU24,YC!AU24,PY!AU24,BY!AU24,SM!AU24,SC!AU24,TC!AU24,ML!AU24,QN!AU24,XL!AU24,'XL (BHTP1)'!AU24,'XL (BHTP2)'!AU24)</f>
        <v>0</v>
      </c>
      <c r="AV24" s="13">
        <f>SUM('TP1'!AV24,'TP2'!AV24,MS!AV24,'MC + Vân hồ'!AV24,YC!AV24,PY!AV24,BY!AV24,SM!AV24,SC!AV24,TC!AV24,ML!AV24,QN!AV24,XL!AV24,'XL (BHTP1)'!AV24,'XL (BHTP2)'!AV24)</f>
        <v>0</v>
      </c>
      <c r="AW24" s="13">
        <f>SUM('TP1'!AW24,'TP2'!AW24,MS!AW24,'MC + Vân hồ'!AW24,YC!AW24,PY!AW24,BY!AW24,SM!AW24,SC!AW24,TC!AW24,ML!AW24,QN!AW24,XL!AW24,'XL (BHTP1)'!AW24,'XL (BHTP2)'!AW24)</f>
        <v>0</v>
      </c>
      <c r="AX24" s="13">
        <f>SUM('TP1'!AX24,'TP2'!AX24,MS!AX24,'MC + Vân hồ'!AX24,YC!AX24,PY!AX24,BY!AX24,SM!AX24,SC!AX24,TC!AX24,ML!AX24,QN!AX24,XL!AX24,'XL (BHTP1)'!AX24,'XL (BHTP2)'!AX24)</f>
        <v>0</v>
      </c>
      <c r="AY24" s="13">
        <f>SUM('TP1'!AY24,'TP2'!AY24,MS!AY24,'MC + Vân hồ'!AY24,YC!AY24,PY!AY24,BY!AY24,SM!AY24,SC!AY24,TC!AY24,ML!AY24,QN!AY24,XL!AY24,'XL (BHTP1)'!AY24,'XL (BHTP2)'!AY24)</f>
        <v>0</v>
      </c>
      <c r="AZ24" s="13">
        <f>SUM('TP1'!AZ24,'TP2'!AZ24,MS!AZ24,'MC + Vân hồ'!AZ24,YC!AZ24,PY!AZ24,BY!AZ24,SM!AZ24,SC!AZ24,TC!AZ24,ML!AZ24,QN!AZ24,XL!AZ24,'XL (BHTP1)'!AZ24,'XL (BHTP2)'!AZ24)</f>
        <v>0</v>
      </c>
      <c r="BA24" s="13">
        <f>SUM('TP1'!BA24,'TP2'!BA24,MS!BA24,'MC + Vân hồ'!BA24,YC!BA24,PY!BA24,BY!BA24,SM!BA24,SC!BA24,TC!BA24,ML!BA24,QN!BA24,XL!BA24,'XL (BHTP1)'!BA24,'XL (BHTP2)'!BA24)</f>
        <v>0</v>
      </c>
      <c r="BB24" s="13">
        <f>SUM('TP1'!BB24,'TP2'!BB24,MS!BB24,'MC + Vân hồ'!BB24,YC!BB24,PY!BB24,BY!BB24,SM!BB24,SC!BB24,TC!BB24,ML!BB24,QN!BB24,XL!BB24,'XL (BHTP1)'!BB24,'XL (BHTP2)'!BB24)</f>
        <v>0</v>
      </c>
      <c r="BC24" s="13">
        <f>SUM('TP1'!BC24,'TP2'!BC24,MS!BC24,'MC + Vân hồ'!BC24,YC!BC24,PY!BC24,BY!BC24,SM!BC24,SC!BC24,TC!BC24,ML!BC24,QN!BC24,XL!BC24,'XL (BHTP1)'!BC24,'XL (BHTP2)'!BC24)</f>
        <v>0</v>
      </c>
      <c r="BD24" s="13">
        <f>SUM('TP1'!BD24,'TP2'!BD24,MS!BD24,'MC + Vân hồ'!BD24,YC!BD24,PY!BD24,BY!BD24,SM!BD24,SC!BD24,TC!BD24,ML!BD24,QN!BD24,XL!BD24,'XL (BHTP1)'!BD24,'XL (BHTP2)'!BD24)</f>
        <v>0</v>
      </c>
      <c r="BE24" s="13">
        <f>SUM('TP1'!BE24,'TP2'!BE24,MS!BE24,'MC + Vân hồ'!BE24,YC!BE24,PY!BE24,BY!BE24,SM!BE24,SC!BE24,TC!BE24,ML!BE24,QN!BE24,XL!BE24,'XL (BHTP1)'!BE24,'XL (BHTP2)'!BE24)</f>
        <v>0</v>
      </c>
      <c r="BF24" s="13">
        <f>SUM('TP1'!BF24,'TP2'!BF24,MS!BF24,'MC + Vân hồ'!BF24,YC!BF24,PY!BF24,BY!BF24,SM!BF24,SC!BF24,TC!BF24,ML!BF24,QN!BF24,XL!BF24,'XL (BHTP1)'!BF24,'XL (BHTP2)'!BF24)</f>
        <v>0</v>
      </c>
      <c r="BG24" s="13">
        <f>SUM('TP1'!BG24,'TP2'!BG24,MS!BG24,'MC + Vân hồ'!BG24,YC!BG24,PY!BG24,BY!BG24,SM!BG24,SC!BG24,TC!BG24,ML!BG24,QN!BG24,XL!BG24,'XL (BHTP1)'!BG24,'XL (BHTP2)'!BG24)</f>
        <v>0</v>
      </c>
      <c r="BH24" s="13">
        <f>SUM('TP1'!BH24,'TP2'!BH24,MS!BH24,'MC + Vân hồ'!BH24,YC!BH24,PY!BH24,BY!BH24,SM!BH24,SC!BH24,TC!BH24,ML!BH24,QN!BH24,XL!BH24,'XL (BHTP1)'!BH24,'XL (BHTP2)'!BH24)</f>
        <v>0</v>
      </c>
      <c r="BI24" s="13">
        <f>SUM('TP1'!BI24,'TP2'!BI24,MS!BI24,'MC + Vân hồ'!BI24,YC!BI24,PY!BI24,BY!BI24,SM!BI24,SC!BI24,TC!BI24,ML!BI24,QN!BI24,XL!BI24,'XL (BHTP1)'!BI24,'XL (BHTP2)'!BI24)</f>
        <v>0</v>
      </c>
      <c r="BJ24" s="13">
        <f>SUM('TP1'!BJ24,'TP2'!BJ24,MS!BJ24,'MC + Vân hồ'!BJ24,YC!BJ24,PY!BJ24,BY!BJ24,SM!BJ24,SC!BJ24,TC!BJ24,ML!BJ24,QN!BJ24,XL!BJ24,'XL (BHTP1)'!BJ24,'XL (BHTP2)'!BJ24)</f>
        <v>0</v>
      </c>
      <c r="BK24" s="13">
        <f>SUM('TP1'!BK24,'TP2'!BK24,MS!BK24,'MC + Vân hồ'!BK24,YC!BK24,PY!BK24,BY!BK24,SM!BK24,SC!BK24,TC!BK24,ML!BK24,QN!BK24,XL!BK24,'XL (BHTP1)'!BK24,'XL (BHTP2)'!BK24)</f>
        <v>0</v>
      </c>
      <c r="BL24" s="13">
        <f>SUM('TP1'!BL24,'TP2'!BL24,MS!BL24,'MC + Vân hồ'!BL24,YC!BL24,PY!BL24,BY!BL24,SM!BL24,SC!BL24,TC!BL24,ML!BL24,QN!BL24,XL!BL24,'XL (BHTP1)'!BL24,'XL (BHTP2)'!BL24)</f>
        <v>0</v>
      </c>
      <c r="BM24" s="13">
        <f>SUM('TP1'!BM24,'TP2'!BM24,MS!BM24,'MC + Vân hồ'!BM24,YC!BM24,PY!BM24,BY!BM24,SM!BM24,SC!BM24,TC!BM24,ML!BM24,QN!BM24,XL!BM24,'XL (BHTP1)'!BM24,'XL (BHTP2)'!BM24)</f>
        <v>0</v>
      </c>
      <c r="BN24" s="13">
        <f>SUM('TP1'!BN24,'TP2'!BN24,MS!BN24,'MC + Vân hồ'!BN24,YC!BN24,PY!BN24,BY!BN24,SM!BN24,SC!BN24,TC!BN24,ML!BN24,QN!BN24,XL!BN24,'XL (BHTP1)'!BN24,'XL (BHTP2)'!BN24)</f>
        <v>0</v>
      </c>
      <c r="BO24" s="13">
        <f>SUM('TP1'!BO24,'TP2'!BO24,MS!BO24,'MC + Vân hồ'!BO24,YC!BO24,PY!BO24,BY!BO24,SM!BO24,SC!BO24,TC!BO24,ML!BO24,QN!BO24,XL!BO24,'XL (BHTP1)'!BO24,'XL (BHTP2)'!BO24)</f>
        <v>0</v>
      </c>
      <c r="BP24" s="13">
        <f>SUM('TP1'!BP24,'TP2'!BP24,MS!BP24,'MC + Vân hồ'!BP24,YC!BP24,PY!BP24,BY!BP24,SM!BP24,SC!BP24,TC!BP24,ML!BP24,QN!BP24,XL!BP24,'XL (BHTP1)'!BP24,'XL (BHTP2)'!BP24)</f>
        <v>0</v>
      </c>
      <c r="BQ24" s="13">
        <f>SUM('TP1'!BQ24,'TP2'!BQ24,MS!BQ24,'MC + Vân hồ'!BQ24,YC!BQ24,PY!BQ24,BY!BQ24,SM!BQ24,SC!BQ24,TC!BQ24,ML!BQ24,QN!BQ24,XL!BQ24,'XL (BHTP1)'!BQ24,'XL (BHTP2)'!BQ24)</f>
        <v>0</v>
      </c>
      <c r="BR24" s="13">
        <f>SUM('TP1'!BR24,'TP2'!BR24,MS!BR24,'MC + Vân hồ'!BR24,YC!BR24,PY!BR24,BY!BR24,SM!BR24,SC!BR24,TC!BR24,ML!BR24,QN!BR24,XL!BR24,'XL (BHTP1)'!BR24,'XL (BHTP2)'!BR24)</f>
        <v>0</v>
      </c>
      <c r="BS24" s="13">
        <f>SUM('TP1'!BS24,'TP2'!BS24,MS!BS24,'MC + Vân hồ'!BS24,YC!BS24,PY!BS24,BY!BS24,SM!BS24,SC!BS24,TC!BS24,ML!BS24,QN!BS24,XL!BS24,'XL (BHTP1)'!BS24,'XL (BHTP2)'!BS24)</f>
        <v>0</v>
      </c>
      <c r="BT24" s="13">
        <f>SUM('TP1'!BT24,'TP2'!BT24,MS!BT24,'MC + Vân hồ'!BT24,YC!BT24,PY!BT24,BY!BT24,SM!BT24,SC!BT24,TC!BT24,ML!BT24,QN!BT24,XL!BT24,'XL (BHTP1)'!BT24,'XL (BHTP2)'!BT24)</f>
        <v>0</v>
      </c>
      <c r="BU24" s="13">
        <f>SUM('TP1'!BU24,'TP2'!BU24,MS!BU24,'MC + Vân hồ'!BU24,YC!BU24,PY!BU24,BY!BU24,SM!BU24,SC!BU24,TC!BU24,ML!BU24,QN!BU24,XL!BU24,'XL (BHTP1)'!BU24,'XL (BHTP2)'!BU24)</f>
        <v>0</v>
      </c>
      <c r="BV24" s="13">
        <f>SUM('TP1'!BV24,'TP2'!BV24,MS!BV24,'MC + Vân hồ'!BV24,YC!BV24,PY!BV24,BY!BV24,SM!BV24,SC!BV24,TC!BV24,ML!BV24,QN!BV24,XL!BV24,'XL (BHTP1)'!BV24,'XL (BHTP2)'!BV24)</f>
        <v>0</v>
      </c>
      <c r="BW24" s="13">
        <f>SUM('TP1'!BW24,'TP2'!BW24,MS!BW24,'MC + Vân hồ'!BW24,YC!BW24,PY!BW24,BY!BW24,SM!BW24,SC!BW24,TC!BW24,ML!BW24,QN!BW24,XL!BW24,'XL (BHTP1)'!BW24,'XL (BHTP2)'!BW24)</f>
        <v>0</v>
      </c>
      <c r="BX24" s="13">
        <f>SUM('TP1'!BX24,'TP2'!BX24,MS!BX24,'MC + Vân hồ'!BX24,YC!BX24,PY!BX24,BY!BX24,SM!BX24,SC!BX24,TC!BX24,ML!BX24,QN!BX24,XL!BX24,'XL (BHTP1)'!BX24,'XL (BHTP2)'!BX24)</f>
        <v>0</v>
      </c>
      <c r="BY24" s="13">
        <f>SUM('TP1'!BY24,'TP2'!BY24,MS!BY24,'MC + Vân hồ'!BY24,YC!BY24,PY!BY24,BY!BY24,SM!BY24,SC!BY24,TC!BY24,ML!BY24,QN!BY24,XL!BY24,'XL (BHTP1)'!BY24,'XL (BHTP2)'!BY24)</f>
        <v>0</v>
      </c>
      <c r="BZ24" s="13">
        <f>SUM('TP1'!BZ24,'TP2'!BZ24,MS!BZ24,'MC + Vân hồ'!BZ24,YC!BZ24,PY!BZ24,BY!BZ24,SM!BZ24,SC!BZ24,TC!BZ24,ML!BZ24,QN!BZ24,XL!BZ24,'XL (BHTP1)'!BZ24,'XL (BHTP2)'!BZ24)</f>
        <v>0</v>
      </c>
      <c r="CA24" s="13">
        <f>SUM('TP1'!CA24,'TP2'!CA24,MS!CA24,'MC + Vân hồ'!CA24,YC!CA24,PY!CA24,BY!CA24,SM!CA24,SC!CA24,TC!CA24,ML!CA24,QN!CA24,XL!CA24,'XL (BHTP1)'!CA24,'XL (BHTP2)'!CA24)</f>
        <v>0</v>
      </c>
      <c r="CB24" s="13">
        <f>SUM('TP1'!CB24,'TP2'!CB24,MS!CB24,'MC + Vân hồ'!CB24,YC!CB24,PY!CB24,BY!CB24,SM!CB24,SC!CB24,TC!CB24,ML!CB24,QN!CB24,XL!CB24,'XL (BHTP1)'!CB24,'XL (BHTP2)'!CB24)</f>
        <v>0</v>
      </c>
      <c r="CC24" s="13">
        <f>SUM('TP1'!CC24,'TP2'!CC24,MS!CC24,'MC + Vân hồ'!CC24,YC!CC24,PY!CC24,BY!CC24,SM!CC24,SC!CC24,TC!CC24,ML!CC24,QN!CC24,XL!CC24,'XL (BHTP1)'!CC24,'XL (BHTP2)'!CC24)</f>
        <v>0</v>
      </c>
      <c r="CD24" s="13">
        <f>SUM('TP1'!CD24,'TP2'!CD24,MS!CD24,'MC + Vân hồ'!CD24,YC!CD24,PY!CD24,BY!CD24,SM!CD24,SC!CD24,TC!CD24,ML!CD24,QN!CD24,XL!CD24,'XL (BHTP1)'!CD24,'XL (BHTP2)'!CD24)</f>
        <v>0</v>
      </c>
      <c r="CE24" s="13">
        <f>SUM('TP1'!CE24,'TP2'!CE24,MS!CE24,'MC + Vân hồ'!CE24,YC!CE24,PY!CE24,BY!CE24,SM!CE24,SC!CE24,TC!CE24,ML!CE24,QN!CE24,XL!CE24,'XL (BHTP1)'!CE24,'XL (BHTP2)'!CE24)</f>
        <v>0</v>
      </c>
      <c r="CF24" s="13">
        <f>SUM('TP1'!CF24,'TP2'!CF24,MS!CF24,'MC + Vân hồ'!CF24,YC!CF24,PY!CF24,BY!CF24,SM!CF24,SC!CF24,TC!CF24,ML!CF24,QN!CF24,XL!CF24,'XL (BHTP1)'!CF24,'XL (BHTP2)'!CF24)</f>
        <v>0</v>
      </c>
      <c r="CG24" s="13">
        <f>SUM('TP1'!CG24,'TP2'!CG24,MS!CG24,'MC + Vân hồ'!CG24,YC!CG24,PY!CG24,BY!CG24,SM!CG24,SC!CG24,TC!CG24,ML!CG24,QN!CG24,XL!CG24,'XL (BHTP1)'!CG24,'XL (BHTP2)'!CG24)</f>
        <v>0</v>
      </c>
      <c r="CH24" s="13">
        <f>SUM('TP1'!CH24,'TP2'!CH24,MS!CH24,'MC + Vân hồ'!CH24,YC!CH24,PY!CH24,BY!CH24,SM!CH24,SC!CH24,TC!CH24,ML!CH24,QN!CH24,XL!CH24,'XL (BHTP1)'!CH24,'XL (BHTP2)'!CH24)</f>
        <v>0</v>
      </c>
      <c r="CI24" s="13">
        <f>SUM('TP1'!CI24,'TP2'!CI24,MS!CI24,'MC + Vân hồ'!CI24,YC!CI24,PY!CI24,BY!CI24,SM!CI24,SC!CI24,TC!CI24,ML!CI24,QN!CI24,XL!CI24,'XL (BHTP1)'!CI24,'XL (BHTP2)'!CI24)</f>
        <v>0</v>
      </c>
      <c r="CJ24" s="13">
        <f>SUM('TP1'!CJ24,'TP2'!CJ24,MS!CJ24,'MC + Vân hồ'!CJ24,YC!CJ24,PY!CJ24,BY!CJ24,SM!CJ24,SC!CJ24,TC!CJ24,ML!CJ24,QN!CJ24,XL!CJ24,'XL (BHTP1)'!CJ24,'XL (BHTP2)'!CJ24)</f>
        <v>0</v>
      </c>
      <c r="CK24" s="73">
        <f t="shared" ref="CK24:CQ24" si="20">SUM(E24,L24,S24,Z24,AG24,AN24,AU24,BB24,BI24,BP24,BW24,CD24)</f>
        <v>0</v>
      </c>
      <c r="CL24" s="73">
        <f t="shared" si="20"/>
        <v>3</v>
      </c>
      <c r="CM24" s="73">
        <f t="shared" si="20"/>
        <v>1</v>
      </c>
      <c r="CN24" s="73">
        <f t="shared" si="20"/>
        <v>0</v>
      </c>
      <c r="CO24" s="73">
        <f t="shared" si="20"/>
        <v>0</v>
      </c>
      <c r="CP24" s="73">
        <f t="shared" si="20"/>
        <v>0</v>
      </c>
      <c r="CQ24" s="73">
        <f t="shared" si="20"/>
        <v>0</v>
      </c>
      <c r="CR24" s="56"/>
      <c r="CS24" s="56">
        <f t="shared" si="3"/>
        <v>0</v>
      </c>
    </row>
    <row r="25" ht="15.75" customHeight="1" outlineLevel="1">
      <c r="B25" s="12" t="s">
        <v>68</v>
      </c>
      <c r="C25" s="12" t="s">
        <v>69</v>
      </c>
      <c r="D25" s="12" t="s">
        <v>26</v>
      </c>
      <c r="E25" s="13">
        <f>SUM('TP1'!E25,'TP2'!E25,MS!E25,'MC + Vân hồ'!E25,YC!E25,PY!E25,BY!E25,SM!E25,SC!E25,TC!E25,ML!E25,QN!E25,XL!E25,'XL (BHTP1)'!E25,'XL (BHTP2)'!E25)</f>
        <v>0</v>
      </c>
      <c r="F25" s="13">
        <f>SUM('TP1'!F25,'TP2'!F25,MS!F25,'MC + Vân hồ'!F25,YC!F25,PY!F25,BY!F25,SM!F25,SC!F25,TC!F25,ML!F25,QN!F25,XL!F25,'XL (BHTP1)'!F25,'XL (BHTP2)'!F25)</f>
        <v>1</v>
      </c>
      <c r="G25" s="13">
        <f>SUM('TP1'!G25,'TP2'!G25,MS!G25,'MC + Vân hồ'!G25,YC!G25,PY!G25,BY!G25,SM!G25,SC!G25,TC!G25,ML!G25,QN!G25,XL!G25,'XL (BHTP1)'!G25,'XL (BHTP2)'!G25)</f>
        <v>1</v>
      </c>
      <c r="H25" s="13">
        <f>SUM('TP1'!H25,'TP2'!H25,MS!H25,'MC + Vân hồ'!H25,YC!H25,PY!H25,BY!H25,SM!H25,SC!H25,TC!H25,ML!H25,QN!H25,XL!H25,'XL (BHTP1)'!H25,'XL (BHTP2)'!H25)</f>
        <v>0</v>
      </c>
      <c r="I25" s="13">
        <f>SUM('TP1'!I25,'TP2'!I25,MS!I25,'MC + Vân hồ'!I25,YC!I25,PY!I25,BY!I25,SM!I25,SC!I25,TC!I25,ML!I25,QN!I25,XL!I25,'XL (BHTP1)'!I25,'XL (BHTP2)'!I25)</f>
        <v>0</v>
      </c>
      <c r="J25" s="13">
        <f>SUM('TP1'!J25,'TP2'!J25,MS!J25,'MC + Vân hồ'!J25,YC!J25,PY!J25,BY!J25,SM!J25,SC!J25,TC!J25,ML!J25,QN!J25,XL!J25,'XL (BHTP1)'!J25,'XL (BHTP2)'!J25)</f>
        <v>0</v>
      </c>
      <c r="K25" s="13">
        <f>SUM('TP1'!K25,'TP2'!K25,MS!K25,'MC + Vân hồ'!K25,YC!K25,PY!K25,BY!K25,SM!K25,SC!K25,TC!K25,ML!K25,QN!K25,XL!K25,'XL (BHTP1)'!K25,'XL (BHTP2)'!K25)</f>
        <v>0</v>
      </c>
      <c r="L25" s="13">
        <f>SUM('TP1'!L25,'TP2'!L25,MS!L25,'MC + Vân hồ'!L25,YC!L25,PY!L25,BY!L25,SM!L25,SC!L25,TC!L25,ML!L25,QN!L25,XL!L25,'XL (BHTP1)'!L25,'XL (BHTP2)'!L25)</f>
        <v>0</v>
      </c>
      <c r="M25" s="13">
        <f>SUM('TP1'!M25,'TP2'!M25,MS!M25,'MC + Vân hồ'!M25,YC!M25,PY!M25,BY!M25,SM!M25,SC!M25,TC!M25,ML!M25,QN!M25,XL!M25,'XL (BHTP1)'!M25,'XL (BHTP2)'!M25)</f>
        <v>0</v>
      </c>
      <c r="N25" s="13">
        <f>SUM('TP1'!N25,'TP2'!N25,MS!N25,'MC + Vân hồ'!N25,YC!N25,PY!N25,BY!N25,SM!N25,SC!N25,TC!N25,ML!N25,QN!N25,XL!N25,'XL (BHTP1)'!N25,'XL (BHTP2)'!N25)</f>
        <v>0</v>
      </c>
      <c r="O25" s="13">
        <f>SUM('TP1'!O25,'TP2'!O25,MS!O25,'MC + Vân hồ'!O25,YC!O25,PY!O25,BY!O25,SM!O25,SC!O25,TC!O25,ML!O25,QN!O25,XL!O25,'XL (BHTP1)'!O25,'XL (BHTP2)'!O25)</f>
        <v>0</v>
      </c>
      <c r="P25" s="13">
        <f>SUM('TP1'!P25,'TP2'!P25,MS!P25,'MC + Vân hồ'!P25,YC!P25,PY!P25,BY!P25,SM!P25,SC!P25,TC!P25,ML!P25,QN!P25,XL!P25,'XL (BHTP1)'!P25,'XL (BHTP2)'!P25)</f>
        <v>0</v>
      </c>
      <c r="Q25" s="13">
        <f>SUM('TP1'!Q25,'TP2'!Q25,MS!Q25,'MC + Vân hồ'!Q25,YC!Q25,PY!Q25,BY!Q25,SM!Q25,SC!Q25,TC!Q25,ML!Q25,QN!Q25,XL!Q25,'XL (BHTP1)'!Q25,'XL (BHTP2)'!Q25)</f>
        <v>0</v>
      </c>
      <c r="R25" s="13">
        <f>SUM('TP1'!R25,'TP2'!R25,MS!R25,'MC + Vân hồ'!R25,YC!R25,PY!R25,BY!R25,SM!R25,SC!R25,TC!R25,ML!R25,QN!R25,XL!R25,'XL (BHTP1)'!R25,'XL (BHTP2)'!R25)</f>
        <v>0</v>
      </c>
      <c r="S25" s="13">
        <f>SUM('TP1'!S25,'TP2'!S25,MS!S25,'MC + Vân hồ'!S25,YC!S25,PY!S25,BY!S25,SM!S25,SC!S25,TC!S25,ML!S25,QN!S25,XL!S25,'XL (BHTP1)'!S25,'XL (BHTP2)'!S25)</f>
        <v>0</v>
      </c>
      <c r="T25" s="13">
        <f>SUM('TP1'!T25,'TP2'!T25,MS!T25,'MC + Vân hồ'!T25,YC!T25,PY!T25,BY!T25,SM!T25,SC!T25,TC!T25,ML!T25,QN!T25,XL!T25,'XL (BHTP1)'!T25,'XL (BHTP2)'!T25)</f>
        <v>0</v>
      </c>
      <c r="U25" s="13">
        <f>SUM('TP1'!U25,'TP2'!U25,MS!U25,'MC + Vân hồ'!U25,YC!U25,PY!U25,BY!U25,SM!U25,SC!U25,TC!U25,ML!U25,QN!U25,XL!U25,'XL (BHTP1)'!U25,'XL (BHTP2)'!U25)</f>
        <v>0</v>
      </c>
      <c r="V25" s="13">
        <f>SUM('TP1'!V25,'TP2'!V25,MS!V25,'MC + Vân hồ'!V25,YC!V25,PY!V25,BY!V25,SM!V25,SC!V25,TC!V25,ML!V25,QN!V25,XL!V25,'XL (BHTP1)'!V25,'XL (BHTP2)'!V25)</f>
        <v>0</v>
      </c>
      <c r="W25" s="13">
        <f>SUM('TP1'!W25,'TP2'!W25,MS!W25,'MC + Vân hồ'!W25,YC!W25,PY!W25,BY!W25,SM!W25,SC!W25,TC!W25,ML!W25,QN!W25,XL!W25,'XL (BHTP1)'!W25,'XL (BHTP2)'!W25)</f>
        <v>0</v>
      </c>
      <c r="X25" s="13">
        <f>SUM('TP1'!X25,'TP2'!X25,MS!X25,'MC + Vân hồ'!X25,YC!X25,PY!X25,BY!X25,SM!X25,SC!X25,TC!X25,ML!X25,QN!X25,XL!X25,'XL (BHTP1)'!X25,'XL (BHTP2)'!X25)</f>
        <v>0</v>
      </c>
      <c r="Y25" s="13">
        <f>SUM('TP1'!Y25,'TP2'!Y25,MS!Y25,'MC + Vân hồ'!Y25,YC!Y25,PY!Y25,BY!Y25,SM!Y25,SC!Y25,TC!Y25,ML!Y25,QN!Y25,XL!Y25,'XL (BHTP1)'!Y25,'XL (BHTP2)'!Y25)</f>
        <v>0</v>
      </c>
      <c r="Z25" s="13">
        <f>SUM('TP1'!Z25,'TP2'!Z25,MS!Z25,'MC + Vân hồ'!Z25,YC!Z25,PY!Z25,BY!Z25,SM!Z25,SC!Z25,TC!Z25,ML!Z25,QN!Z25,XL!Z25,'XL (BHTP1)'!Z25,'XL (BHTP2)'!Z25)</f>
        <v>0</v>
      </c>
      <c r="AA25" s="13">
        <f>SUM('TP1'!AA25,'TP2'!AA25,MS!AA25,'MC + Vân hồ'!AA25,YC!AA25,PY!AA25,BY!AA25,SM!AA25,SC!AA25,TC!AA25,ML!AA25,QN!AA25,XL!AA25,'XL (BHTP1)'!AA25,'XL (BHTP2)'!AA25)</f>
        <v>0</v>
      </c>
      <c r="AB25" s="13">
        <f>SUM('TP1'!AB25,'TP2'!AB25,MS!AB25,'MC + Vân hồ'!AB25,YC!AB25,PY!AB25,BY!AB25,SM!AB25,SC!AB25,TC!AB25,ML!AB25,QN!AB25,XL!AB25,'XL (BHTP1)'!AB25,'XL (BHTP2)'!AB25)</f>
        <v>0</v>
      </c>
      <c r="AC25" s="13">
        <f>SUM('TP1'!AC25,'TP2'!AC25,MS!AC25,'MC + Vân hồ'!AC25,YC!AC25,PY!AC25,BY!AC25,SM!AC25,SC!AC25,TC!AC25,ML!AC25,QN!AC25,XL!AC25,'XL (BHTP1)'!AC25,'XL (BHTP2)'!AC25)</f>
        <v>0</v>
      </c>
      <c r="AD25" s="13">
        <f>SUM('TP1'!AD25,'TP2'!AD25,MS!AD25,'MC + Vân hồ'!AD25,YC!AD25,PY!AD25,BY!AD25,SM!AD25,SC!AD25,TC!AD25,ML!AD25,QN!AD25,XL!AD25,'XL (BHTP1)'!AD25,'XL (BHTP2)'!AD25)</f>
        <v>0</v>
      </c>
      <c r="AE25" s="13">
        <f>SUM('TP1'!AE25,'TP2'!AE25,MS!AE25,'MC + Vân hồ'!AE25,YC!AE25,PY!AE25,BY!AE25,SM!AE25,SC!AE25,TC!AE25,ML!AE25,QN!AE25,XL!AE25,'XL (BHTP1)'!AE25,'XL (BHTP2)'!AE25)</f>
        <v>0</v>
      </c>
      <c r="AF25" s="13">
        <f>SUM('TP1'!AF25,'TP2'!AF25,MS!AF25,'MC + Vân hồ'!AF25,YC!AF25,PY!AF25,BY!AF25,SM!AF25,SC!AF25,TC!AF25,ML!AF25,QN!AF25,XL!AF25,'XL (BHTP1)'!AF25,'XL (BHTP2)'!AF25)</f>
        <v>0</v>
      </c>
      <c r="AG25" s="13">
        <f>SUM('TP1'!AG25,'TP2'!AG25,MS!AG25,'MC + Vân hồ'!AG25,YC!AG25,PY!AG25,BY!AG25,SM!AG25,SC!AG25,TC!AG25,ML!AG25,QN!AG25,XL!AG25,'XL (BHTP1)'!AG25,'XL (BHTP2)'!AG25)</f>
        <v>0</v>
      </c>
      <c r="AH25" s="13">
        <f>SUM('TP1'!AH25,'TP2'!AH25,MS!AH25,'MC + Vân hồ'!AH25,YC!AH25,PY!AH25,BY!AH25,SM!AH25,SC!AH25,TC!AH25,ML!AH25,QN!AH25,XL!AH25,'XL (BHTP1)'!AH25,'XL (BHTP2)'!AH25)</f>
        <v>0</v>
      </c>
      <c r="AI25" s="13">
        <f>SUM('TP1'!AI25,'TP2'!AI25,MS!AI25,'MC + Vân hồ'!AI25,YC!AI25,PY!AI25,BY!AI25,SM!AI25,SC!AI25,TC!AI25,ML!AI25,QN!AI25,XL!AI25,'XL (BHTP1)'!AI25,'XL (BHTP2)'!AI25)</f>
        <v>0</v>
      </c>
      <c r="AJ25" s="13">
        <f>SUM('TP1'!AJ25,'TP2'!AJ25,MS!AJ25,'MC + Vân hồ'!AJ25,YC!AJ25,PY!AJ25,BY!AJ25,SM!AJ25,SC!AJ25,TC!AJ25,ML!AJ25,QN!AJ25,XL!AJ25,'XL (BHTP1)'!AJ25,'XL (BHTP2)'!AJ25)</f>
        <v>0</v>
      </c>
      <c r="AK25" s="13">
        <f>SUM('TP1'!AK25,'TP2'!AK25,MS!AK25,'MC + Vân hồ'!AK25,YC!AK25,PY!AK25,BY!AK25,SM!AK25,SC!AK25,TC!AK25,ML!AK25,QN!AK25,XL!AK25,'XL (BHTP1)'!AK25,'XL (BHTP2)'!AK25)</f>
        <v>0</v>
      </c>
      <c r="AL25" s="13">
        <f>SUM('TP1'!AL25,'TP2'!AL25,MS!AL25,'MC + Vân hồ'!AL25,YC!AL25,PY!AL25,BY!AL25,SM!AL25,SC!AL25,TC!AL25,ML!AL25,QN!AL25,XL!AL25,'XL (BHTP1)'!AL25,'XL (BHTP2)'!AL25)</f>
        <v>0</v>
      </c>
      <c r="AM25" s="13">
        <f>SUM('TP1'!AM25,'TP2'!AM25,MS!AM25,'MC + Vân hồ'!AM25,YC!AM25,PY!AM25,BY!AM25,SM!AM25,SC!AM25,TC!AM25,ML!AM25,QN!AM25,XL!AM25,'XL (BHTP1)'!AM25,'XL (BHTP2)'!AM25)</f>
        <v>0</v>
      </c>
      <c r="AN25" s="13">
        <f>SUM('TP1'!AN25,'TP2'!AN25,MS!AN25,'MC + Vân hồ'!AN25,YC!AN25,PY!AN25,BY!AN25,SM!AN25,SC!AN25,TC!AN25,ML!AN25,QN!AN25,XL!AN25,'XL (BHTP1)'!AN25,'XL (BHTP2)'!AN25)</f>
        <v>0</v>
      </c>
      <c r="AO25" s="13">
        <f>SUM('TP1'!AO25,'TP2'!AO25,MS!AO25,'MC + Vân hồ'!AO25,YC!AO25,PY!AO25,BY!AO25,SM!AO25,SC!AO25,TC!AO25,ML!AO25,QN!AO25,XL!AO25,'XL (BHTP1)'!AO25,'XL (BHTP2)'!AO25)</f>
        <v>0</v>
      </c>
      <c r="AP25" s="13">
        <f>SUM('TP1'!AP25,'TP2'!AP25,MS!AP25,'MC + Vân hồ'!AP25,YC!AP25,PY!AP25,BY!AP25,SM!AP25,SC!AP25,TC!AP25,ML!AP25,QN!AP25,XL!AP25,'XL (BHTP1)'!AP25,'XL (BHTP2)'!AP25)</f>
        <v>0</v>
      </c>
      <c r="AQ25" s="13">
        <f>SUM('TP1'!AQ25,'TP2'!AQ25,MS!AQ25,'MC + Vân hồ'!AQ25,YC!AQ25,PY!AQ25,BY!AQ25,SM!AQ25,SC!AQ25,TC!AQ25,ML!AQ25,QN!AQ25,XL!AQ25,'XL (BHTP1)'!AQ25,'XL (BHTP2)'!AQ25)</f>
        <v>0</v>
      </c>
      <c r="AR25" s="13">
        <f>SUM('TP1'!AR25,'TP2'!AR25,MS!AR25,'MC + Vân hồ'!AR25,YC!AR25,PY!AR25,BY!AR25,SM!AR25,SC!AR25,TC!AR25,ML!AR25,QN!AR25,XL!AR25,'XL (BHTP1)'!AR25,'XL (BHTP2)'!AR25)</f>
        <v>0</v>
      </c>
      <c r="AS25" s="13">
        <f>SUM('TP1'!AS25,'TP2'!AS25,MS!AS25,'MC + Vân hồ'!AS25,YC!AS25,PY!AS25,BY!AS25,SM!AS25,SC!AS25,TC!AS25,ML!AS25,QN!AS25,XL!AS25,'XL (BHTP1)'!AS25,'XL (BHTP2)'!AS25)</f>
        <v>0</v>
      </c>
      <c r="AT25" s="13">
        <f>SUM('TP1'!AT25,'TP2'!AT25,MS!AT25,'MC + Vân hồ'!AT25,YC!AT25,PY!AT25,BY!AT25,SM!AT25,SC!AT25,TC!AT25,ML!AT25,QN!AT25,XL!AT25,'XL (BHTP1)'!AT25,'XL (BHTP2)'!AT25)</f>
        <v>0</v>
      </c>
      <c r="AU25" s="13">
        <f>SUM('TP1'!AU25,'TP2'!AU25,MS!AU25,'MC + Vân hồ'!AU25,YC!AU25,PY!AU25,BY!AU25,SM!AU25,SC!AU25,TC!AU25,ML!AU25,QN!AU25,XL!AU25,'XL (BHTP1)'!AU25,'XL (BHTP2)'!AU25)</f>
        <v>0</v>
      </c>
      <c r="AV25" s="13">
        <f>SUM('TP1'!AV25,'TP2'!AV25,MS!AV25,'MC + Vân hồ'!AV25,YC!AV25,PY!AV25,BY!AV25,SM!AV25,SC!AV25,TC!AV25,ML!AV25,QN!AV25,XL!AV25,'XL (BHTP1)'!AV25,'XL (BHTP2)'!AV25)</f>
        <v>0</v>
      </c>
      <c r="AW25" s="13">
        <f>SUM('TP1'!AW25,'TP2'!AW25,MS!AW25,'MC + Vân hồ'!AW25,YC!AW25,PY!AW25,BY!AW25,SM!AW25,SC!AW25,TC!AW25,ML!AW25,QN!AW25,XL!AW25,'XL (BHTP1)'!AW25,'XL (BHTP2)'!AW25)</f>
        <v>0</v>
      </c>
      <c r="AX25" s="13">
        <f>SUM('TP1'!AX25,'TP2'!AX25,MS!AX25,'MC + Vân hồ'!AX25,YC!AX25,PY!AX25,BY!AX25,SM!AX25,SC!AX25,TC!AX25,ML!AX25,QN!AX25,XL!AX25,'XL (BHTP1)'!AX25,'XL (BHTP2)'!AX25)</f>
        <v>0</v>
      </c>
      <c r="AY25" s="13">
        <f>SUM('TP1'!AY25,'TP2'!AY25,MS!AY25,'MC + Vân hồ'!AY25,YC!AY25,PY!AY25,BY!AY25,SM!AY25,SC!AY25,TC!AY25,ML!AY25,QN!AY25,XL!AY25,'XL (BHTP1)'!AY25,'XL (BHTP2)'!AY25)</f>
        <v>0</v>
      </c>
      <c r="AZ25" s="13">
        <f>SUM('TP1'!AZ25,'TP2'!AZ25,MS!AZ25,'MC + Vân hồ'!AZ25,YC!AZ25,PY!AZ25,BY!AZ25,SM!AZ25,SC!AZ25,TC!AZ25,ML!AZ25,QN!AZ25,XL!AZ25,'XL (BHTP1)'!AZ25,'XL (BHTP2)'!AZ25)</f>
        <v>0</v>
      </c>
      <c r="BA25" s="13">
        <f>SUM('TP1'!BA25,'TP2'!BA25,MS!BA25,'MC + Vân hồ'!BA25,YC!BA25,PY!BA25,BY!BA25,SM!BA25,SC!BA25,TC!BA25,ML!BA25,QN!BA25,XL!BA25,'XL (BHTP1)'!BA25,'XL (BHTP2)'!BA25)</f>
        <v>0</v>
      </c>
      <c r="BB25" s="13">
        <f>SUM('TP1'!BB25,'TP2'!BB25,MS!BB25,'MC + Vân hồ'!BB25,YC!BB25,PY!BB25,BY!BB25,SM!BB25,SC!BB25,TC!BB25,ML!BB25,QN!BB25,XL!BB25,'XL (BHTP1)'!BB25,'XL (BHTP2)'!BB25)</f>
        <v>0</v>
      </c>
      <c r="BC25" s="13">
        <f>SUM('TP1'!BC25,'TP2'!BC25,MS!BC25,'MC + Vân hồ'!BC25,YC!BC25,PY!BC25,BY!BC25,SM!BC25,SC!BC25,TC!BC25,ML!BC25,QN!BC25,XL!BC25,'XL (BHTP1)'!BC25,'XL (BHTP2)'!BC25)</f>
        <v>0</v>
      </c>
      <c r="BD25" s="13">
        <f>SUM('TP1'!BD25,'TP2'!BD25,MS!BD25,'MC + Vân hồ'!BD25,YC!BD25,PY!BD25,BY!BD25,SM!BD25,SC!BD25,TC!BD25,ML!BD25,QN!BD25,XL!BD25,'XL (BHTP1)'!BD25,'XL (BHTP2)'!BD25)</f>
        <v>0</v>
      </c>
      <c r="BE25" s="13">
        <f>SUM('TP1'!BE25,'TP2'!BE25,MS!BE25,'MC + Vân hồ'!BE25,YC!BE25,PY!BE25,BY!BE25,SM!BE25,SC!BE25,TC!BE25,ML!BE25,QN!BE25,XL!BE25,'XL (BHTP1)'!BE25,'XL (BHTP2)'!BE25)</f>
        <v>0</v>
      </c>
      <c r="BF25" s="13">
        <f>SUM('TP1'!BF25,'TP2'!BF25,MS!BF25,'MC + Vân hồ'!BF25,YC!BF25,PY!BF25,BY!BF25,SM!BF25,SC!BF25,TC!BF25,ML!BF25,QN!BF25,XL!BF25,'XL (BHTP1)'!BF25,'XL (BHTP2)'!BF25)</f>
        <v>0</v>
      </c>
      <c r="BG25" s="13">
        <f>SUM('TP1'!BG25,'TP2'!BG25,MS!BG25,'MC + Vân hồ'!BG25,YC!BG25,PY!BG25,BY!BG25,SM!BG25,SC!BG25,TC!BG25,ML!BG25,QN!BG25,XL!BG25,'XL (BHTP1)'!BG25,'XL (BHTP2)'!BG25)</f>
        <v>0</v>
      </c>
      <c r="BH25" s="13">
        <f>SUM('TP1'!BH25,'TP2'!BH25,MS!BH25,'MC + Vân hồ'!BH25,YC!BH25,PY!BH25,BY!BH25,SM!BH25,SC!BH25,TC!BH25,ML!BH25,QN!BH25,XL!BH25,'XL (BHTP1)'!BH25,'XL (BHTP2)'!BH25)</f>
        <v>0</v>
      </c>
      <c r="BI25" s="13">
        <f>SUM('TP1'!BI25,'TP2'!BI25,MS!BI25,'MC + Vân hồ'!BI25,YC!BI25,PY!BI25,BY!BI25,SM!BI25,SC!BI25,TC!BI25,ML!BI25,QN!BI25,XL!BI25,'XL (BHTP1)'!BI25,'XL (BHTP2)'!BI25)</f>
        <v>0</v>
      </c>
      <c r="BJ25" s="13">
        <f>SUM('TP1'!BJ25,'TP2'!BJ25,MS!BJ25,'MC + Vân hồ'!BJ25,YC!BJ25,PY!BJ25,BY!BJ25,SM!BJ25,SC!BJ25,TC!BJ25,ML!BJ25,QN!BJ25,XL!BJ25,'XL (BHTP1)'!BJ25,'XL (BHTP2)'!BJ25)</f>
        <v>0</v>
      </c>
      <c r="BK25" s="13">
        <f>SUM('TP1'!BK25,'TP2'!BK25,MS!BK25,'MC + Vân hồ'!BK25,YC!BK25,PY!BK25,BY!BK25,SM!BK25,SC!BK25,TC!BK25,ML!BK25,QN!BK25,XL!BK25,'XL (BHTP1)'!BK25,'XL (BHTP2)'!BK25)</f>
        <v>0</v>
      </c>
      <c r="BL25" s="13">
        <f>SUM('TP1'!BL25,'TP2'!BL25,MS!BL25,'MC + Vân hồ'!BL25,YC!BL25,PY!BL25,BY!BL25,SM!BL25,SC!BL25,TC!BL25,ML!BL25,QN!BL25,XL!BL25,'XL (BHTP1)'!BL25,'XL (BHTP2)'!BL25)</f>
        <v>0</v>
      </c>
      <c r="BM25" s="13">
        <f>SUM('TP1'!BM25,'TP2'!BM25,MS!BM25,'MC + Vân hồ'!BM25,YC!BM25,PY!BM25,BY!BM25,SM!BM25,SC!BM25,TC!BM25,ML!BM25,QN!BM25,XL!BM25,'XL (BHTP1)'!BM25,'XL (BHTP2)'!BM25)</f>
        <v>0</v>
      </c>
      <c r="BN25" s="13">
        <f>SUM('TP1'!BN25,'TP2'!BN25,MS!BN25,'MC + Vân hồ'!BN25,YC!BN25,PY!BN25,BY!BN25,SM!BN25,SC!BN25,TC!BN25,ML!BN25,QN!BN25,XL!BN25,'XL (BHTP1)'!BN25,'XL (BHTP2)'!BN25)</f>
        <v>0</v>
      </c>
      <c r="BO25" s="13">
        <f>SUM('TP1'!BO25,'TP2'!BO25,MS!BO25,'MC + Vân hồ'!BO25,YC!BO25,PY!BO25,BY!BO25,SM!BO25,SC!BO25,TC!BO25,ML!BO25,QN!BO25,XL!BO25,'XL (BHTP1)'!BO25,'XL (BHTP2)'!BO25)</f>
        <v>0</v>
      </c>
      <c r="BP25" s="13">
        <f>SUM('TP1'!BP25,'TP2'!BP25,MS!BP25,'MC + Vân hồ'!BP25,YC!BP25,PY!BP25,BY!BP25,SM!BP25,SC!BP25,TC!BP25,ML!BP25,QN!BP25,XL!BP25,'XL (BHTP1)'!BP25,'XL (BHTP2)'!BP25)</f>
        <v>0</v>
      </c>
      <c r="BQ25" s="13">
        <f>SUM('TP1'!BQ25,'TP2'!BQ25,MS!BQ25,'MC + Vân hồ'!BQ25,YC!BQ25,PY!BQ25,BY!BQ25,SM!BQ25,SC!BQ25,TC!BQ25,ML!BQ25,QN!BQ25,XL!BQ25,'XL (BHTP1)'!BQ25,'XL (BHTP2)'!BQ25)</f>
        <v>0</v>
      </c>
      <c r="BR25" s="13">
        <f>SUM('TP1'!BR25,'TP2'!BR25,MS!BR25,'MC + Vân hồ'!BR25,YC!BR25,PY!BR25,BY!BR25,SM!BR25,SC!BR25,TC!BR25,ML!BR25,QN!BR25,XL!BR25,'XL (BHTP1)'!BR25,'XL (BHTP2)'!BR25)</f>
        <v>0</v>
      </c>
      <c r="BS25" s="13">
        <f>SUM('TP1'!BS25,'TP2'!BS25,MS!BS25,'MC + Vân hồ'!BS25,YC!BS25,PY!BS25,BY!BS25,SM!BS25,SC!BS25,TC!BS25,ML!BS25,QN!BS25,XL!BS25,'XL (BHTP1)'!BS25,'XL (BHTP2)'!BS25)</f>
        <v>0</v>
      </c>
      <c r="BT25" s="13">
        <f>SUM('TP1'!BT25,'TP2'!BT25,MS!BT25,'MC + Vân hồ'!BT25,YC!BT25,PY!BT25,BY!BT25,SM!BT25,SC!BT25,TC!BT25,ML!BT25,QN!BT25,XL!BT25,'XL (BHTP1)'!BT25,'XL (BHTP2)'!BT25)</f>
        <v>0</v>
      </c>
      <c r="BU25" s="13">
        <f>SUM('TP1'!BU25,'TP2'!BU25,MS!BU25,'MC + Vân hồ'!BU25,YC!BU25,PY!BU25,BY!BU25,SM!BU25,SC!BU25,TC!BU25,ML!BU25,QN!BU25,XL!BU25,'XL (BHTP1)'!BU25,'XL (BHTP2)'!BU25)</f>
        <v>0</v>
      </c>
      <c r="BV25" s="13">
        <f>SUM('TP1'!BV25,'TP2'!BV25,MS!BV25,'MC + Vân hồ'!BV25,YC!BV25,PY!BV25,BY!BV25,SM!BV25,SC!BV25,TC!BV25,ML!BV25,QN!BV25,XL!BV25,'XL (BHTP1)'!BV25,'XL (BHTP2)'!BV25)</f>
        <v>0</v>
      </c>
      <c r="BW25" s="13">
        <f>SUM('TP1'!BW25,'TP2'!BW25,MS!BW25,'MC + Vân hồ'!BW25,YC!BW25,PY!BW25,BY!BW25,SM!BW25,SC!BW25,TC!BW25,ML!BW25,QN!BW25,XL!BW25,'XL (BHTP1)'!BW25,'XL (BHTP2)'!BW25)</f>
        <v>0</v>
      </c>
      <c r="BX25" s="13">
        <f>SUM('TP1'!BX25,'TP2'!BX25,MS!BX25,'MC + Vân hồ'!BX25,YC!BX25,PY!BX25,BY!BX25,SM!BX25,SC!BX25,TC!BX25,ML!BX25,QN!BX25,XL!BX25,'XL (BHTP1)'!BX25,'XL (BHTP2)'!BX25)</f>
        <v>0</v>
      </c>
      <c r="BY25" s="13">
        <f>SUM('TP1'!BY25,'TP2'!BY25,MS!BY25,'MC + Vân hồ'!BY25,YC!BY25,PY!BY25,BY!BY25,SM!BY25,SC!BY25,TC!BY25,ML!BY25,QN!BY25,XL!BY25,'XL (BHTP1)'!BY25,'XL (BHTP2)'!BY25)</f>
        <v>0</v>
      </c>
      <c r="BZ25" s="13">
        <f>SUM('TP1'!BZ25,'TP2'!BZ25,MS!BZ25,'MC + Vân hồ'!BZ25,YC!BZ25,PY!BZ25,BY!BZ25,SM!BZ25,SC!BZ25,TC!BZ25,ML!BZ25,QN!BZ25,XL!BZ25,'XL (BHTP1)'!BZ25,'XL (BHTP2)'!BZ25)</f>
        <v>0</v>
      </c>
      <c r="CA25" s="13">
        <f>SUM('TP1'!CA25,'TP2'!CA25,MS!CA25,'MC + Vân hồ'!CA25,YC!CA25,PY!CA25,BY!CA25,SM!CA25,SC!CA25,TC!CA25,ML!CA25,QN!CA25,XL!CA25,'XL (BHTP1)'!CA25,'XL (BHTP2)'!CA25)</f>
        <v>0</v>
      </c>
      <c r="CB25" s="13">
        <f>SUM('TP1'!CB25,'TP2'!CB25,MS!CB25,'MC + Vân hồ'!CB25,YC!CB25,PY!CB25,BY!CB25,SM!CB25,SC!CB25,TC!CB25,ML!CB25,QN!CB25,XL!CB25,'XL (BHTP1)'!CB25,'XL (BHTP2)'!CB25)</f>
        <v>0</v>
      </c>
      <c r="CC25" s="13">
        <f>SUM('TP1'!CC25,'TP2'!CC25,MS!CC25,'MC + Vân hồ'!CC25,YC!CC25,PY!CC25,BY!CC25,SM!CC25,SC!CC25,TC!CC25,ML!CC25,QN!CC25,XL!CC25,'XL (BHTP1)'!CC25,'XL (BHTP2)'!CC25)</f>
        <v>0</v>
      </c>
      <c r="CD25" s="13">
        <f>SUM('TP1'!CD25,'TP2'!CD25,MS!CD25,'MC + Vân hồ'!CD25,YC!CD25,PY!CD25,BY!CD25,SM!CD25,SC!CD25,TC!CD25,ML!CD25,QN!CD25,XL!CD25,'XL (BHTP1)'!CD25,'XL (BHTP2)'!CD25)</f>
        <v>0</v>
      </c>
      <c r="CE25" s="13">
        <f>SUM('TP1'!CE25,'TP2'!CE25,MS!CE25,'MC + Vân hồ'!CE25,YC!CE25,PY!CE25,BY!CE25,SM!CE25,SC!CE25,TC!CE25,ML!CE25,QN!CE25,XL!CE25,'XL (BHTP1)'!CE25,'XL (BHTP2)'!CE25)</f>
        <v>0</v>
      </c>
      <c r="CF25" s="13">
        <f>SUM('TP1'!CF25,'TP2'!CF25,MS!CF25,'MC + Vân hồ'!CF25,YC!CF25,PY!CF25,BY!CF25,SM!CF25,SC!CF25,TC!CF25,ML!CF25,QN!CF25,XL!CF25,'XL (BHTP1)'!CF25,'XL (BHTP2)'!CF25)</f>
        <v>0</v>
      </c>
      <c r="CG25" s="13">
        <f>SUM('TP1'!CG25,'TP2'!CG25,MS!CG25,'MC + Vân hồ'!CG25,YC!CG25,PY!CG25,BY!CG25,SM!CG25,SC!CG25,TC!CG25,ML!CG25,QN!CG25,XL!CG25,'XL (BHTP1)'!CG25,'XL (BHTP2)'!CG25)</f>
        <v>0</v>
      </c>
      <c r="CH25" s="13">
        <f>SUM('TP1'!CH25,'TP2'!CH25,MS!CH25,'MC + Vân hồ'!CH25,YC!CH25,PY!CH25,BY!CH25,SM!CH25,SC!CH25,TC!CH25,ML!CH25,QN!CH25,XL!CH25,'XL (BHTP1)'!CH25,'XL (BHTP2)'!CH25)</f>
        <v>0</v>
      </c>
      <c r="CI25" s="13">
        <f>SUM('TP1'!CI25,'TP2'!CI25,MS!CI25,'MC + Vân hồ'!CI25,YC!CI25,PY!CI25,BY!CI25,SM!CI25,SC!CI25,TC!CI25,ML!CI25,QN!CI25,XL!CI25,'XL (BHTP1)'!CI25,'XL (BHTP2)'!CI25)</f>
        <v>0</v>
      </c>
      <c r="CJ25" s="13">
        <f>SUM('TP1'!CJ25,'TP2'!CJ25,MS!CJ25,'MC + Vân hồ'!CJ25,YC!CJ25,PY!CJ25,BY!CJ25,SM!CJ25,SC!CJ25,TC!CJ25,ML!CJ25,QN!CJ25,XL!CJ25,'XL (BHTP1)'!CJ25,'XL (BHTP2)'!CJ25)</f>
        <v>0</v>
      </c>
      <c r="CK25" s="73">
        <f t="shared" ref="CK25:CQ25" si="21">SUM(E25,L25,S25,Z25,AG25,AN25,AU25,BB25,BI25,BP25,BW25,CD25)</f>
        <v>0</v>
      </c>
      <c r="CL25" s="73">
        <f t="shared" si="21"/>
        <v>1</v>
      </c>
      <c r="CM25" s="73">
        <f t="shared" si="21"/>
        <v>1</v>
      </c>
      <c r="CN25" s="73">
        <f t="shared" si="21"/>
        <v>0</v>
      </c>
      <c r="CO25" s="73">
        <f t="shared" si="21"/>
        <v>0</v>
      </c>
      <c r="CP25" s="73">
        <f t="shared" si="21"/>
        <v>0</v>
      </c>
      <c r="CQ25" s="73">
        <f t="shared" si="21"/>
        <v>0</v>
      </c>
      <c r="CR25" s="56"/>
      <c r="CS25" s="56">
        <f t="shared" si="3"/>
        <v>0</v>
      </c>
    </row>
    <row r="26" ht="15.75" customHeight="1" outlineLevel="1">
      <c r="B26" s="12" t="s">
        <v>70</v>
      </c>
      <c r="C26" s="23" t="s">
        <v>71</v>
      </c>
      <c r="D26" s="12" t="s">
        <v>26</v>
      </c>
      <c r="E26" s="13">
        <f>SUM('TP1'!E26,'TP2'!E26,MS!E26,'MC + Vân hồ'!E26,YC!E26,PY!E26,BY!E26,SM!E26,SC!E26,TC!E26,ML!E26,QN!E26,XL!E26,'XL (BHTP1)'!E26,'XL (BHTP2)'!E26)</f>
        <v>0</v>
      </c>
      <c r="F26" s="13">
        <f>SUM('TP1'!F26,'TP2'!F26,MS!F26,'MC + Vân hồ'!F26,YC!F26,PY!F26,BY!F26,SM!F26,SC!F26,TC!F26,ML!F26,QN!F26,XL!F26,'XL (BHTP1)'!F26,'XL (BHTP2)'!F26)</f>
        <v>0</v>
      </c>
      <c r="G26" s="13">
        <f>SUM('TP1'!G26,'TP2'!G26,MS!G26,'MC + Vân hồ'!G26,YC!G26,PY!G26,BY!G26,SM!G26,SC!G26,TC!G26,ML!G26,QN!G26,XL!G26,'XL (BHTP1)'!G26,'XL (BHTP2)'!G26)</f>
        <v>0</v>
      </c>
      <c r="H26" s="13">
        <f>SUM('TP1'!H26,'TP2'!H26,MS!H26,'MC + Vân hồ'!H26,YC!H26,PY!H26,BY!H26,SM!H26,SC!H26,TC!H26,ML!H26,QN!H26,XL!H26,'XL (BHTP1)'!H26,'XL (BHTP2)'!H26)</f>
        <v>0</v>
      </c>
      <c r="I26" s="13">
        <f>SUM('TP1'!I26,'TP2'!I26,MS!I26,'MC + Vân hồ'!I26,YC!I26,PY!I26,BY!I26,SM!I26,SC!I26,TC!I26,ML!I26,QN!I26,XL!I26,'XL (BHTP1)'!I26,'XL (BHTP2)'!I26)</f>
        <v>0</v>
      </c>
      <c r="J26" s="13">
        <f>SUM('TP1'!J26,'TP2'!J26,MS!J26,'MC + Vân hồ'!J26,YC!J26,PY!J26,BY!J26,SM!J26,SC!J26,TC!J26,ML!J26,QN!J26,XL!J26,'XL (BHTP1)'!J26,'XL (BHTP2)'!J26)</f>
        <v>0</v>
      </c>
      <c r="K26" s="13">
        <f>SUM('TP1'!K26,'TP2'!K26,MS!K26,'MC + Vân hồ'!K26,YC!K26,PY!K26,BY!K26,SM!K26,SC!K26,TC!K26,ML!K26,QN!K26,XL!K26,'XL (BHTP1)'!K26,'XL (BHTP2)'!K26)</f>
        <v>0</v>
      </c>
      <c r="L26" s="13">
        <f>SUM('TP1'!L26,'TP2'!L26,MS!L26,'MC + Vân hồ'!L26,YC!L26,PY!L26,BY!L26,SM!L26,SC!L26,TC!L26,ML!L26,QN!L26,XL!L26,'XL (BHTP1)'!L26,'XL (BHTP2)'!L26)</f>
        <v>0</v>
      </c>
      <c r="M26" s="13">
        <f>SUM('TP1'!M26,'TP2'!M26,MS!M26,'MC + Vân hồ'!M26,YC!M26,PY!M26,BY!M26,SM!M26,SC!M26,TC!M26,ML!M26,QN!M26,XL!M26,'XL (BHTP1)'!M26,'XL (BHTP2)'!M26)</f>
        <v>0</v>
      </c>
      <c r="N26" s="13">
        <f>SUM('TP1'!N26,'TP2'!N26,MS!N26,'MC + Vân hồ'!N26,YC!N26,PY!N26,BY!N26,SM!N26,SC!N26,TC!N26,ML!N26,QN!N26,XL!N26,'XL (BHTP1)'!N26,'XL (BHTP2)'!N26)</f>
        <v>0</v>
      </c>
      <c r="O26" s="13">
        <f>SUM('TP1'!O26,'TP2'!O26,MS!O26,'MC + Vân hồ'!O26,YC!O26,PY!O26,BY!O26,SM!O26,SC!O26,TC!O26,ML!O26,QN!O26,XL!O26,'XL (BHTP1)'!O26,'XL (BHTP2)'!O26)</f>
        <v>0</v>
      </c>
      <c r="P26" s="13">
        <f>SUM('TP1'!P26,'TP2'!P26,MS!P26,'MC + Vân hồ'!P26,YC!P26,PY!P26,BY!P26,SM!P26,SC!P26,TC!P26,ML!P26,QN!P26,XL!P26,'XL (BHTP1)'!P26,'XL (BHTP2)'!P26)</f>
        <v>0</v>
      </c>
      <c r="Q26" s="13">
        <f>SUM('TP1'!Q26,'TP2'!Q26,MS!Q26,'MC + Vân hồ'!Q26,YC!Q26,PY!Q26,BY!Q26,SM!Q26,SC!Q26,TC!Q26,ML!Q26,QN!Q26,XL!Q26,'XL (BHTP1)'!Q26,'XL (BHTP2)'!Q26)</f>
        <v>0</v>
      </c>
      <c r="R26" s="13">
        <f>SUM('TP1'!R26,'TP2'!R26,MS!R26,'MC + Vân hồ'!R26,YC!R26,PY!R26,BY!R26,SM!R26,SC!R26,TC!R26,ML!R26,QN!R26,XL!R26,'XL (BHTP1)'!R26,'XL (BHTP2)'!R26)</f>
        <v>0</v>
      </c>
      <c r="S26" s="13">
        <f>SUM('TP1'!S26,'TP2'!S26,MS!S26,'MC + Vân hồ'!S26,YC!S26,PY!S26,BY!S26,SM!S26,SC!S26,TC!S26,ML!S26,QN!S26,XL!S26,'XL (BHTP1)'!S26,'XL (BHTP2)'!S26)</f>
        <v>0</v>
      </c>
      <c r="T26" s="13">
        <f>SUM('TP1'!T26,'TP2'!T26,MS!T26,'MC + Vân hồ'!T26,YC!T26,PY!T26,BY!T26,SM!T26,SC!T26,TC!T26,ML!T26,QN!T26,XL!T26,'XL (BHTP1)'!T26,'XL (BHTP2)'!T26)</f>
        <v>0</v>
      </c>
      <c r="U26" s="13">
        <f>SUM('TP1'!U26,'TP2'!U26,MS!U26,'MC + Vân hồ'!U26,YC!U26,PY!U26,BY!U26,SM!U26,SC!U26,TC!U26,ML!U26,QN!U26,XL!U26,'XL (BHTP1)'!U26,'XL (BHTP2)'!U26)</f>
        <v>0</v>
      </c>
      <c r="V26" s="13">
        <f>SUM('TP1'!V26,'TP2'!V26,MS!V26,'MC + Vân hồ'!V26,YC!V26,PY!V26,BY!V26,SM!V26,SC!V26,TC!V26,ML!V26,QN!V26,XL!V26,'XL (BHTP1)'!V26,'XL (BHTP2)'!V26)</f>
        <v>0</v>
      </c>
      <c r="W26" s="13">
        <f>SUM('TP1'!W26,'TP2'!W26,MS!W26,'MC + Vân hồ'!W26,YC!W26,PY!W26,BY!W26,SM!W26,SC!W26,TC!W26,ML!W26,QN!W26,XL!W26,'XL (BHTP1)'!W26,'XL (BHTP2)'!W26)</f>
        <v>0</v>
      </c>
      <c r="X26" s="13">
        <f>SUM('TP1'!X26,'TP2'!X26,MS!X26,'MC + Vân hồ'!X26,YC!X26,PY!X26,BY!X26,SM!X26,SC!X26,TC!X26,ML!X26,QN!X26,XL!X26,'XL (BHTP1)'!X26,'XL (BHTP2)'!X26)</f>
        <v>0</v>
      </c>
      <c r="Y26" s="13">
        <f>SUM('TP1'!Y26,'TP2'!Y26,MS!Y26,'MC + Vân hồ'!Y26,YC!Y26,PY!Y26,BY!Y26,SM!Y26,SC!Y26,TC!Y26,ML!Y26,QN!Y26,XL!Y26,'XL (BHTP1)'!Y26,'XL (BHTP2)'!Y26)</f>
        <v>0</v>
      </c>
      <c r="Z26" s="13">
        <f>SUM('TP1'!Z26,'TP2'!Z26,MS!Z26,'MC + Vân hồ'!Z26,YC!Z26,PY!Z26,BY!Z26,SM!Z26,SC!Z26,TC!Z26,ML!Z26,QN!Z26,XL!Z26,'XL (BHTP1)'!Z26,'XL (BHTP2)'!Z26)</f>
        <v>0</v>
      </c>
      <c r="AA26" s="13">
        <f>SUM('TP1'!AA26,'TP2'!AA26,MS!AA26,'MC + Vân hồ'!AA26,YC!AA26,PY!AA26,BY!AA26,SM!AA26,SC!AA26,TC!AA26,ML!AA26,QN!AA26,XL!AA26,'XL (BHTP1)'!AA26,'XL (BHTP2)'!AA26)</f>
        <v>0</v>
      </c>
      <c r="AB26" s="13">
        <f>SUM('TP1'!AB26,'TP2'!AB26,MS!AB26,'MC + Vân hồ'!AB26,YC!AB26,PY!AB26,BY!AB26,SM!AB26,SC!AB26,TC!AB26,ML!AB26,QN!AB26,XL!AB26,'XL (BHTP1)'!AB26,'XL (BHTP2)'!AB26)</f>
        <v>0</v>
      </c>
      <c r="AC26" s="13">
        <f>SUM('TP1'!AC26,'TP2'!AC26,MS!AC26,'MC + Vân hồ'!AC26,YC!AC26,PY!AC26,BY!AC26,SM!AC26,SC!AC26,TC!AC26,ML!AC26,QN!AC26,XL!AC26,'XL (BHTP1)'!AC26,'XL (BHTP2)'!AC26)</f>
        <v>0</v>
      </c>
      <c r="AD26" s="13">
        <f>SUM('TP1'!AD26,'TP2'!AD26,MS!AD26,'MC + Vân hồ'!AD26,YC!AD26,PY!AD26,BY!AD26,SM!AD26,SC!AD26,TC!AD26,ML!AD26,QN!AD26,XL!AD26,'XL (BHTP1)'!AD26,'XL (BHTP2)'!AD26)</f>
        <v>0</v>
      </c>
      <c r="AE26" s="13">
        <f>SUM('TP1'!AE26,'TP2'!AE26,MS!AE26,'MC + Vân hồ'!AE26,YC!AE26,PY!AE26,BY!AE26,SM!AE26,SC!AE26,TC!AE26,ML!AE26,QN!AE26,XL!AE26,'XL (BHTP1)'!AE26,'XL (BHTP2)'!AE26)</f>
        <v>0</v>
      </c>
      <c r="AF26" s="13">
        <f>SUM('TP1'!AF26,'TP2'!AF26,MS!AF26,'MC + Vân hồ'!AF26,YC!AF26,PY!AF26,BY!AF26,SM!AF26,SC!AF26,TC!AF26,ML!AF26,QN!AF26,XL!AF26,'XL (BHTP1)'!AF26,'XL (BHTP2)'!AF26)</f>
        <v>0</v>
      </c>
      <c r="AG26" s="13">
        <f>SUM('TP1'!AG26,'TP2'!AG26,MS!AG26,'MC + Vân hồ'!AG26,YC!AG26,PY!AG26,BY!AG26,SM!AG26,SC!AG26,TC!AG26,ML!AG26,QN!AG26,XL!AG26,'XL (BHTP1)'!AG26,'XL (BHTP2)'!AG26)</f>
        <v>0</v>
      </c>
      <c r="AH26" s="13">
        <f>SUM('TP1'!AH26,'TP2'!AH26,MS!AH26,'MC + Vân hồ'!AH26,YC!AH26,PY!AH26,BY!AH26,SM!AH26,SC!AH26,TC!AH26,ML!AH26,QN!AH26,XL!AH26,'XL (BHTP1)'!AH26,'XL (BHTP2)'!AH26)</f>
        <v>0</v>
      </c>
      <c r="AI26" s="13">
        <f>SUM('TP1'!AI26,'TP2'!AI26,MS!AI26,'MC + Vân hồ'!AI26,YC!AI26,PY!AI26,BY!AI26,SM!AI26,SC!AI26,TC!AI26,ML!AI26,QN!AI26,XL!AI26,'XL (BHTP1)'!AI26,'XL (BHTP2)'!AI26)</f>
        <v>0</v>
      </c>
      <c r="AJ26" s="13">
        <f>SUM('TP1'!AJ26,'TP2'!AJ26,MS!AJ26,'MC + Vân hồ'!AJ26,YC!AJ26,PY!AJ26,BY!AJ26,SM!AJ26,SC!AJ26,TC!AJ26,ML!AJ26,QN!AJ26,XL!AJ26,'XL (BHTP1)'!AJ26,'XL (BHTP2)'!AJ26)</f>
        <v>0</v>
      </c>
      <c r="AK26" s="13">
        <f>SUM('TP1'!AK26,'TP2'!AK26,MS!AK26,'MC + Vân hồ'!AK26,YC!AK26,PY!AK26,BY!AK26,SM!AK26,SC!AK26,TC!AK26,ML!AK26,QN!AK26,XL!AK26,'XL (BHTP1)'!AK26,'XL (BHTP2)'!AK26)</f>
        <v>0</v>
      </c>
      <c r="AL26" s="13">
        <f>SUM('TP1'!AL26,'TP2'!AL26,MS!AL26,'MC + Vân hồ'!AL26,YC!AL26,PY!AL26,BY!AL26,SM!AL26,SC!AL26,TC!AL26,ML!AL26,QN!AL26,XL!AL26,'XL (BHTP1)'!AL26,'XL (BHTP2)'!AL26)</f>
        <v>0</v>
      </c>
      <c r="AM26" s="13">
        <f>SUM('TP1'!AM26,'TP2'!AM26,MS!AM26,'MC + Vân hồ'!AM26,YC!AM26,PY!AM26,BY!AM26,SM!AM26,SC!AM26,TC!AM26,ML!AM26,QN!AM26,XL!AM26,'XL (BHTP1)'!AM26,'XL (BHTP2)'!AM26)</f>
        <v>0</v>
      </c>
      <c r="AN26" s="13">
        <f>SUM('TP1'!AN26,'TP2'!AN26,MS!AN26,'MC + Vân hồ'!AN26,YC!AN26,PY!AN26,BY!AN26,SM!AN26,SC!AN26,TC!AN26,ML!AN26,QN!AN26,XL!AN26,'XL (BHTP1)'!AN26,'XL (BHTP2)'!AN26)</f>
        <v>0</v>
      </c>
      <c r="AO26" s="13">
        <f>SUM('TP1'!AO26,'TP2'!AO26,MS!AO26,'MC + Vân hồ'!AO26,YC!AO26,PY!AO26,BY!AO26,SM!AO26,SC!AO26,TC!AO26,ML!AO26,QN!AO26,XL!AO26,'XL (BHTP1)'!AO26,'XL (BHTP2)'!AO26)</f>
        <v>0</v>
      </c>
      <c r="AP26" s="13">
        <f>SUM('TP1'!AP26,'TP2'!AP26,MS!AP26,'MC + Vân hồ'!AP26,YC!AP26,PY!AP26,BY!AP26,SM!AP26,SC!AP26,TC!AP26,ML!AP26,QN!AP26,XL!AP26,'XL (BHTP1)'!AP26,'XL (BHTP2)'!AP26)</f>
        <v>0</v>
      </c>
      <c r="AQ26" s="13">
        <f>SUM('TP1'!AQ26,'TP2'!AQ26,MS!AQ26,'MC + Vân hồ'!AQ26,YC!AQ26,PY!AQ26,BY!AQ26,SM!AQ26,SC!AQ26,TC!AQ26,ML!AQ26,QN!AQ26,XL!AQ26,'XL (BHTP1)'!AQ26,'XL (BHTP2)'!AQ26)</f>
        <v>0</v>
      </c>
      <c r="AR26" s="13">
        <f>SUM('TP1'!AR26,'TP2'!AR26,MS!AR26,'MC + Vân hồ'!AR26,YC!AR26,PY!AR26,BY!AR26,SM!AR26,SC!AR26,TC!AR26,ML!AR26,QN!AR26,XL!AR26,'XL (BHTP1)'!AR26,'XL (BHTP2)'!AR26)</f>
        <v>0</v>
      </c>
      <c r="AS26" s="13">
        <f>SUM('TP1'!AS26,'TP2'!AS26,MS!AS26,'MC + Vân hồ'!AS26,YC!AS26,PY!AS26,BY!AS26,SM!AS26,SC!AS26,TC!AS26,ML!AS26,QN!AS26,XL!AS26,'XL (BHTP1)'!AS26,'XL (BHTP2)'!AS26)</f>
        <v>0</v>
      </c>
      <c r="AT26" s="13">
        <f>SUM('TP1'!AT26,'TP2'!AT26,MS!AT26,'MC + Vân hồ'!AT26,YC!AT26,PY!AT26,BY!AT26,SM!AT26,SC!AT26,TC!AT26,ML!AT26,QN!AT26,XL!AT26,'XL (BHTP1)'!AT26,'XL (BHTP2)'!AT26)</f>
        <v>0</v>
      </c>
      <c r="AU26" s="13">
        <f>SUM('TP1'!AU26,'TP2'!AU26,MS!AU26,'MC + Vân hồ'!AU26,YC!AU26,PY!AU26,BY!AU26,SM!AU26,SC!AU26,TC!AU26,ML!AU26,QN!AU26,XL!AU26,'XL (BHTP1)'!AU26,'XL (BHTP2)'!AU26)</f>
        <v>0</v>
      </c>
      <c r="AV26" s="13">
        <f>SUM('TP1'!AV26,'TP2'!AV26,MS!AV26,'MC + Vân hồ'!AV26,YC!AV26,PY!AV26,BY!AV26,SM!AV26,SC!AV26,TC!AV26,ML!AV26,QN!AV26,XL!AV26,'XL (BHTP1)'!AV26,'XL (BHTP2)'!AV26)</f>
        <v>0</v>
      </c>
      <c r="AW26" s="13">
        <f>SUM('TP1'!AW26,'TP2'!AW26,MS!AW26,'MC + Vân hồ'!AW26,YC!AW26,PY!AW26,BY!AW26,SM!AW26,SC!AW26,TC!AW26,ML!AW26,QN!AW26,XL!AW26,'XL (BHTP1)'!AW26,'XL (BHTP2)'!AW26)</f>
        <v>0</v>
      </c>
      <c r="AX26" s="13">
        <f>SUM('TP1'!AX26,'TP2'!AX26,MS!AX26,'MC + Vân hồ'!AX26,YC!AX26,PY!AX26,BY!AX26,SM!AX26,SC!AX26,TC!AX26,ML!AX26,QN!AX26,XL!AX26,'XL (BHTP1)'!AX26,'XL (BHTP2)'!AX26)</f>
        <v>0</v>
      </c>
      <c r="AY26" s="13">
        <f>SUM('TP1'!AY26,'TP2'!AY26,MS!AY26,'MC + Vân hồ'!AY26,YC!AY26,PY!AY26,BY!AY26,SM!AY26,SC!AY26,TC!AY26,ML!AY26,QN!AY26,XL!AY26,'XL (BHTP1)'!AY26,'XL (BHTP2)'!AY26)</f>
        <v>0</v>
      </c>
      <c r="AZ26" s="13">
        <f>SUM('TP1'!AZ26,'TP2'!AZ26,MS!AZ26,'MC + Vân hồ'!AZ26,YC!AZ26,PY!AZ26,BY!AZ26,SM!AZ26,SC!AZ26,TC!AZ26,ML!AZ26,QN!AZ26,XL!AZ26,'XL (BHTP1)'!AZ26,'XL (BHTP2)'!AZ26)</f>
        <v>0</v>
      </c>
      <c r="BA26" s="13">
        <f>SUM('TP1'!BA26,'TP2'!BA26,MS!BA26,'MC + Vân hồ'!BA26,YC!BA26,PY!BA26,BY!BA26,SM!BA26,SC!BA26,TC!BA26,ML!BA26,QN!BA26,XL!BA26,'XL (BHTP1)'!BA26,'XL (BHTP2)'!BA26)</f>
        <v>0</v>
      </c>
      <c r="BB26" s="13">
        <f>SUM('TP1'!BB26,'TP2'!BB26,MS!BB26,'MC + Vân hồ'!BB26,YC!BB26,PY!BB26,BY!BB26,SM!BB26,SC!BB26,TC!BB26,ML!BB26,QN!BB26,XL!BB26,'XL (BHTP1)'!BB26,'XL (BHTP2)'!BB26)</f>
        <v>0</v>
      </c>
      <c r="BC26" s="13">
        <f>SUM('TP1'!BC26,'TP2'!BC26,MS!BC26,'MC + Vân hồ'!BC26,YC!BC26,PY!BC26,BY!BC26,SM!BC26,SC!BC26,TC!BC26,ML!BC26,QN!BC26,XL!BC26,'XL (BHTP1)'!BC26,'XL (BHTP2)'!BC26)</f>
        <v>0</v>
      </c>
      <c r="BD26" s="13">
        <f>SUM('TP1'!BD26,'TP2'!BD26,MS!BD26,'MC + Vân hồ'!BD26,YC!BD26,PY!BD26,BY!BD26,SM!BD26,SC!BD26,TC!BD26,ML!BD26,QN!BD26,XL!BD26,'XL (BHTP1)'!BD26,'XL (BHTP2)'!BD26)</f>
        <v>0</v>
      </c>
      <c r="BE26" s="13">
        <f>SUM('TP1'!BE26,'TP2'!BE26,MS!BE26,'MC + Vân hồ'!BE26,YC!BE26,PY!BE26,BY!BE26,SM!BE26,SC!BE26,TC!BE26,ML!BE26,QN!BE26,XL!BE26,'XL (BHTP1)'!BE26,'XL (BHTP2)'!BE26)</f>
        <v>0</v>
      </c>
      <c r="BF26" s="13">
        <f>SUM('TP1'!BF26,'TP2'!BF26,MS!BF26,'MC + Vân hồ'!BF26,YC!BF26,PY!BF26,BY!BF26,SM!BF26,SC!BF26,TC!BF26,ML!BF26,QN!BF26,XL!BF26,'XL (BHTP1)'!BF26,'XL (BHTP2)'!BF26)</f>
        <v>0</v>
      </c>
      <c r="BG26" s="13">
        <f>SUM('TP1'!BG26,'TP2'!BG26,MS!BG26,'MC + Vân hồ'!BG26,YC!BG26,PY!BG26,BY!BG26,SM!BG26,SC!BG26,TC!BG26,ML!BG26,QN!BG26,XL!BG26,'XL (BHTP1)'!BG26,'XL (BHTP2)'!BG26)</f>
        <v>0</v>
      </c>
      <c r="BH26" s="13">
        <f>SUM('TP1'!BH26,'TP2'!BH26,MS!BH26,'MC + Vân hồ'!BH26,YC!BH26,PY!BH26,BY!BH26,SM!BH26,SC!BH26,TC!BH26,ML!BH26,QN!BH26,XL!BH26,'XL (BHTP1)'!BH26,'XL (BHTP2)'!BH26)</f>
        <v>0</v>
      </c>
      <c r="BI26" s="13">
        <f>SUM('TP1'!BI26,'TP2'!BI26,MS!BI26,'MC + Vân hồ'!BI26,YC!BI26,PY!BI26,BY!BI26,SM!BI26,SC!BI26,TC!BI26,ML!BI26,QN!BI26,XL!BI26,'XL (BHTP1)'!BI26,'XL (BHTP2)'!BI26)</f>
        <v>0</v>
      </c>
      <c r="BJ26" s="13">
        <f>SUM('TP1'!BJ26,'TP2'!BJ26,MS!BJ26,'MC + Vân hồ'!BJ26,YC!BJ26,PY!BJ26,BY!BJ26,SM!BJ26,SC!BJ26,TC!BJ26,ML!BJ26,QN!BJ26,XL!BJ26,'XL (BHTP1)'!BJ26,'XL (BHTP2)'!BJ26)</f>
        <v>0</v>
      </c>
      <c r="BK26" s="13">
        <f>SUM('TP1'!BK26,'TP2'!BK26,MS!BK26,'MC + Vân hồ'!BK26,YC!BK26,PY!BK26,BY!BK26,SM!BK26,SC!BK26,TC!BK26,ML!BK26,QN!BK26,XL!BK26,'XL (BHTP1)'!BK26,'XL (BHTP2)'!BK26)</f>
        <v>0</v>
      </c>
      <c r="BL26" s="13">
        <f>SUM('TP1'!BL26,'TP2'!BL26,MS!BL26,'MC + Vân hồ'!BL26,YC!BL26,PY!BL26,BY!BL26,SM!BL26,SC!BL26,TC!BL26,ML!BL26,QN!BL26,XL!BL26,'XL (BHTP1)'!BL26,'XL (BHTP2)'!BL26)</f>
        <v>0</v>
      </c>
      <c r="BM26" s="13">
        <f>SUM('TP1'!BM26,'TP2'!BM26,MS!BM26,'MC + Vân hồ'!BM26,YC!BM26,PY!BM26,BY!BM26,SM!BM26,SC!BM26,TC!BM26,ML!BM26,QN!BM26,XL!BM26,'XL (BHTP1)'!BM26,'XL (BHTP2)'!BM26)</f>
        <v>0</v>
      </c>
      <c r="BN26" s="13">
        <f>SUM('TP1'!BN26,'TP2'!BN26,MS!BN26,'MC + Vân hồ'!BN26,YC!BN26,PY!BN26,BY!BN26,SM!BN26,SC!BN26,TC!BN26,ML!BN26,QN!BN26,XL!BN26,'XL (BHTP1)'!BN26,'XL (BHTP2)'!BN26)</f>
        <v>0</v>
      </c>
      <c r="BO26" s="13">
        <f>SUM('TP1'!BO26,'TP2'!BO26,MS!BO26,'MC + Vân hồ'!BO26,YC!BO26,PY!BO26,BY!BO26,SM!BO26,SC!BO26,TC!BO26,ML!BO26,QN!BO26,XL!BO26,'XL (BHTP1)'!BO26,'XL (BHTP2)'!BO26)</f>
        <v>0</v>
      </c>
      <c r="BP26" s="13">
        <f>SUM('TP1'!BP26,'TP2'!BP26,MS!BP26,'MC + Vân hồ'!BP26,YC!BP26,PY!BP26,BY!BP26,SM!BP26,SC!BP26,TC!BP26,ML!BP26,QN!BP26,XL!BP26,'XL (BHTP1)'!BP26,'XL (BHTP2)'!BP26)</f>
        <v>0</v>
      </c>
      <c r="BQ26" s="13">
        <f>SUM('TP1'!BQ26,'TP2'!BQ26,MS!BQ26,'MC + Vân hồ'!BQ26,YC!BQ26,PY!BQ26,BY!BQ26,SM!BQ26,SC!BQ26,TC!BQ26,ML!BQ26,QN!BQ26,XL!BQ26,'XL (BHTP1)'!BQ26,'XL (BHTP2)'!BQ26)</f>
        <v>0</v>
      </c>
      <c r="BR26" s="13">
        <f>SUM('TP1'!BR26,'TP2'!BR26,MS!BR26,'MC + Vân hồ'!BR26,YC!BR26,PY!BR26,BY!BR26,SM!BR26,SC!BR26,TC!BR26,ML!BR26,QN!BR26,XL!BR26,'XL (BHTP1)'!BR26,'XL (BHTP2)'!BR26)</f>
        <v>0</v>
      </c>
      <c r="BS26" s="13">
        <f>SUM('TP1'!BS26,'TP2'!BS26,MS!BS26,'MC + Vân hồ'!BS26,YC!BS26,PY!BS26,BY!BS26,SM!BS26,SC!BS26,TC!BS26,ML!BS26,QN!BS26,XL!BS26,'XL (BHTP1)'!BS26,'XL (BHTP2)'!BS26)</f>
        <v>0</v>
      </c>
      <c r="BT26" s="13">
        <f>SUM('TP1'!BT26,'TP2'!BT26,MS!BT26,'MC + Vân hồ'!BT26,YC!BT26,PY!BT26,BY!BT26,SM!BT26,SC!BT26,TC!BT26,ML!BT26,QN!BT26,XL!BT26,'XL (BHTP1)'!BT26,'XL (BHTP2)'!BT26)</f>
        <v>0</v>
      </c>
      <c r="BU26" s="13">
        <f>SUM('TP1'!BU26,'TP2'!BU26,MS!BU26,'MC + Vân hồ'!BU26,YC!BU26,PY!BU26,BY!BU26,SM!BU26,SC!BU26,TC!BU26,ML!BU26,QN!BU26,XL!BU26,'XL (BHTP1)'!BU26,'XL (BHTP2)'!BU26)</f>
        <v>0</v>
      </c>
      <c r="BV26" s="13">
        <f>SUM('TP1'!BV26,'TP2'!BV26,MS!BV26,'MC + Vân hồ'!BV26,YC!BV26,PY!BV26,BY!BV26,SM!BV26,SC!BV26,TC!BV26,ML!BV26,QN!BV26,XL!BV26,'XL (BHTP1)'!BV26,'XL (BHTP2)'!BV26)</f>
        <v>0</v>
      </c>
      <c r="BW26" s="13">
        <f>SUM('TP1'!BW26,'TP2'!BW26,MS!BW26,'MC + Vân hồ'!BW26,YC!BW26,PY!BW26,BY!BW26,SM!BW26,SC!BW26,TC!BW26,ML!BW26,QN!BW26,XL!BW26,'XL (BHTP1)'!BW26,'XL (BHTP2)'!BW26)</f>
        <v>0</v>
      </c>
      <c r="BX26" s="13">
        <f>SUM('TP1'!BX26,'TP2'!BX26,MS!BX26,'MC + Vân hồ'!BX26,YC!BX26,PY!BX26,BY!BX26,SM!BX26,SC!BX26,TC!BX26,ML!BX26,QN!BX26,XL!BX26,'XL (BHTP1)'!BX26,'XL (BHTP2)'!BX26)</f>
        <v>0</v>
      </c>
      <c r="BY26" s="13">
        <f>SUM('TP1'!BY26,'TP2'!BY26,MS!BY26,'MC + Vân hồ'!BY26,YC!BY26,PY!BY26,BY!BY26,SM!BY26,SC!BY26,TC!BY26,ML!BY26,QN!BY26,XL!BY26,'XL (BHTP1)'!BY26,'XL (BHTP2)'!BY26)</f>
        <v>0</v>
      </c>
      <c r="BZ26" s="13">
        <f>SUM('TP1'!BZ26,'TP2'!BZ26,MS!BZ26,'MC + Vân hồ'!BZ26,YC!BZ26,PY!BZ26,BY!BZ26,SM!BZ26,SC!BZ26,TC!BZ26,ML!BZ26,QN!BZ26,XL!BZ26,'XL (BHTP1)'!BZ26,'XL (BHTP2)'!BZ26)</f>
        <v>0</v>
      </c>
      <c r="CA26" s="13">
        <f>SUM('TP1'!CA26,'TP2'!CA26,MS!CA26,'MC + Vân hồ'!CA26,YC!CA26,PY!CA26,BY!CA26,SM!CA26,SC!CA26,TC!CA26,ML!CA26,QN!CA26,XL!CA26,'XL (BHTP1)'!CA26,'XL (BHTP2)'!CA26)</f>
        <v>0</v>
      </c>
      <c r="CB26" s="13">
        <f>SUM('TP1'!CB26,'TP2'!CB26,MS!CB26,'MC + Vân hồ'!CB26,YC!CB26,PY!CB26,BY!CB26,SM!CB26,SC!CB26,TC!CB26,ML!CB26,QN!CB26,XL!CB26,'XL (BHTP1)'!CB26,'XL (BHTP2)'!CB26)</f>
        <v>0</v>
      </c>
      <c r="CC26" s="13">
        <f>SUM('TP1'!CC26,'TP2'!CC26,MS!CC26,'MC + Vân hồ'!CC26,YC!CC26,PY!CC26,BY!CC26,SM!CC26,SC!CC26,TC!CC26,ML!CC26,QN!CC26,XL!CC26,'XL (BHTP1)'!CC26,'XL (BHTP2)'!CC26)</f>
        <v>0</v>
      </c>
      <c r="CD26" s="13">
        <f>SUM('TP1'!CD26,'TP2'!CD26,MS!CD26,'MC + Vân hồ'!CD26,YC!CD26,PY!CD26,BY!CD26,SM!CD26,SC!CD26,TC!CD26,ML!CD26,QN!CD26,XL!CD26,'XL (BHTP1)'!CD26,'XL (BHTP2)'!CD26)</f>
        <v>0</v>
      </c>
      <c r="CE26" s="13">
        <f>SUM('TP1'!CE26,'TP2'!CE26,MS!CE26,'MC + Vân hồ'!CE26,YC!CE26,PY!CE26,BY!CE26,SM!CE26,SC!CE26,TC!CE26,ML!CE26,QN!CE26,XL!CE26,'XL (BHTP1)'!CE26,'XL (BHTP2)'!CE26)</f>
        <v>0</v>
      </c>
      <c r="CF26" s="13">
        <f>SUM('TP1'!CF26,'TP2'!CF26,MS!CF26,'MC + Vân hồ'!CF26,YC!CF26,PY!CF26,BY!CF26,SM!CF26,SC!CF26,TC!CF26,ML!CF26,QN!CF26,XL!CF26,'XL (BHTP1)'!CF26,'XL (BHTP2)'!CF26)</f>
        <v>0</v>
      </c>
      <c r="CG26" s="13">
        <f>SUM('TP1'!CG26,'TP2'!CG26,MS!CG26,'MC + Vân hồ'!CG26,YC!CG26,PY!CG26,BY!CG26,SM!CG26,SC!CG26,TC!CG26,ML!CG26,QN!CG26,XL!CG26,'XL (BHTP1)'!CG26,'XL (BHTP2)'!CG26)</f>
        <v>0</v>
      </c>
      <c r="CH26" s="13">
        <f>SUM('TP1'!CH26,'TP2'!CH26,MS!CH26,'MC + Vân hồ'!CH26,YC!CH26,PY!CH26,BY!CH26,SM!CH26,SC!CH26,TC!CH26,ML!CH26,QN!CH26,XL!CH26,'XL (BHTP1)'!CH26,'XL (BHTP2)'!CH26)</f>
        <v>0</v>
      </c>
      <c r="CI26" s="13">
        <f>SUM('TP1'!CI26,'TP2'!CI26,MS!CI26,'MC + Vân hồ'!CI26,YC!CI26,PY!CI26,BY!CI26,SM!CI26,SC!CI26,TC!CI26,ML!CI26,QN!CI26,XL!CI26,'XL (BHTP1)'!CI26,'XL (BHTP2)'!CI26)</f>
        <v>0</v>
      </c>
      <c r="CJ26" s="13">
        <f>SUM('TP1'!CJ26,'TP2'!CJ26,MS!CJ26,'MC + Vân hồ'!CJ26,YC!CJ26,PY!CJ26,BY!CJ26,SM!CJ26,SC!CJ26,TC!CJ26,ML!CJ26,QN!CJ26,XL!CJ26,'XL (BHTP1)'!CJ26,'XL (BHTP2)'!CJ26)</f>
        <v>0</v>
      </c>
      <c r="CK26" s="73">
        <f t="shared" ref="CK26:CQ26" si="22">SUM(E26,L26,S26,Z26,AG26,AN26,AU26,BB26,BI26,BP26,BW26,CD26)</f>
        <v>0</v>
      </c>
      <c r="CL26" s="73">
        <f t="shared" si="22"/>
        <v>0</v>
      </c>
      <c r="CM26" s="73">
        <f t="shared" si="22"/>
        <v>0</v>
      </c>
      <c r="CN26" s="73">
        <f t="shared" si="22"/>
        <v>0</v>
      </c>
      <c r="CO26" s="73">
        <f t="shared" si="22"/>
        <v>0</v>
      </c>
      <c r="CP26" s="73">
        <f t="shared" si="22"/>
        <v>0</v>
      </c>
      <c r="CQ26" s="73">
        <f t="shared" si="22"/>
        <v>0</v>
      </c>
      <c r="CR26" s="56"/>
      <c r="CS26" s="56">
        <f t="shared" si="3"/>
        <v>0</v>
      </c>
    </row>
    <row r="27" ht="15.75" customHeight="1" outlineLevel="1">
      <c r="B27" s="31" t="s">
        <v>73</v>
      </c>
      <c r="C27" s="12" t="s">
        <v>74</v>
      </c>
      <c r="D27" s="12" t="s">
        <v>26</v>
      </c>
      <c r="E27" s="13">
        <f>SUM('TP1'!E27,'TP2'!E27,MS!E27,'MC + Vân hồ'!E27,YC!E27,PY!E27,BY!E27,SM!E27,SC!E27,TC!E27,ML!E27,QN!E27,XL!E27,'XL (BHTP1)'!E27,'XL (BHTP2)'!E27)</f>
        <v>0</v>
      </c>
      <c r="F27" s="13">
        <f>SUM('TP1'!F27,'TP2'!F27,MS!F27,'MC + Vân hồ'!F27,YC!F27,PY!F27,BY!F27,SM!F27,SC!F27,TC!F27,ML!F27,QN!F27,XL!F27,'XL (BHTP1)'!F27,'XL (BHTP2)'!F27)</f>
        <v>1</v>
      </c>
      <c r="G27" s="13">
        <f>SUM('TP1'!G27,'TP2'!G27,MS!G27,'MC + Vân hồ'!G27,YC!G27,PY!G27,BY!G27,SM!G27,SC!G27,TC!G27,ML!G27,QN!G27,XL!G27,'XL (BHTP1)'!G27,'XL (BHTP2)'!G27)</f>
        <v>0</v>
      </c>
      <c r="H27" s="13">
        <f>SUM('TP1'!H27,'TP2'!H27,MS!H27,'MC + Vân hồ'!H27,YC!H27,PY!H27,BY!H27,SM!H27,SC!H27,TC!H27,ML!H27,QN!H27,XL!H27,'XL (BHTP1)'!H27,'XL (BHTP2)'!H27)</f>
        <v>0</v>
      </c>
      <c r="I27" s="13">
        <f>SUM('TP1'!I27,'TP2'!I27,MS!I27,'MC + Vân hồ'!I27,YC!I27,PY!I27,BY!I27,SM!I27,SC!I27,TC!I27,ML!I27,QN!I27,XL!I27,'XL (BHTP1)'!I27,'XL (BHTP2)'!I27)</f>
        <v>0</v>
      </c>
      <c r="J27" s="13">
        <f>SUM('TP1'!J27,'TP2'!J27,MS!J27,'MC + Vân hồ'!J27,YC!J27,PY!J27,BY!J27,SM!J27,SC!J27,TC!J27,ML!J27,QN!J27,XL!J27,'XL (BHTP1)'!J27,'XL (BHTP2)'!J27)</f>
        <v>0</v>
      </c>
      <c r="K27" s="13">
        <f>SUM('TP1'!K27,'TP2'!K27,MS!K27,'MC + Vân hồ'!K27,YC!K27,PY!K27,BY!K27,SM!K27,SC!K27,TC!K27,ML!K27,QN!K27,XL!K27,'XL (BHTP1)'!K27,'XL (BHTP2)'!K27)</f>
        <v>0</v>
      </c>
      <c r="L27" s="13">
        <f>SUM('TP1'!L27,'TP2'!L27,MS!L27,'MC + Vân hồ'!L27,YC!L27,PY!L27,BY!L27,SM!L27,SC!L27,TC!L27,ML!L27,QN!L27,XL!L27,'XL (BHTP1)'!L27,'XL (BHTP2)'!L27)</f>
        <v>0</v>
      </c>
      <c r="M27" s="13">
        <f>SUM('TP1'!M27,'TP2'!M27,MS!M27,'MC + Vân hồ'!M27,YC!M27,PY!M27,BY!M27,SM!M27,SC!M27,TC!M27,ML!M27,QN!M27,XL!M27,'XL (BHTP1)'!M27,'XL (BHTP2)'!M27)</f>
        <v>0</v>
      </c>
      <c r="N27" s="13">
        <f>SUM('TP1'!N27,'TP2'!N27,MS!N27,'MC + Vân hồ'!N27,YC!N27,PY!N27,BY!N27,SM!N27,SC!N27,TC!N27,ML!N27,QN!N27,XL!N27,'XL (BHTP1)'!N27,'XL (BHTP2)'!N27)</f>
        <v>0</v>
      </c>
      <c r="O27" s="13">
        <f>SUM('TP1'!O27,'TP2'!O27,MS!O27,'MC + Vân hồ'!O27,YC!O27,PY!O27,BY!O27,SM!O27,SC!O27,TC!O27,ML!O27,QN!O27,XL!O27,'XL (BHTP1)'!O27,'XL (BHTP2)'!O27)</f>
        <v>0</v>
      </c>
      <c r="P27" s="13">
        <f>SUM('TP1'!P27,'TP2'!P27,MS!P27,'MC + Vân hồ'!P27,YC!P27,PY!P27,BY!P27,SM!P27,SC!P27,TC!P27,ML!P27,QN!P27,XL!P27,'XL (BHTP1)'!P27,'XL (BHTP2)'!P27)</f>
        <v>0</v>
      </c>
      <c r="Q27" s="13">
        <f>SUM('TP1'!Q27,'TP2'!Q27,MS!Q27,'MC + Vân hồ'!Q27,YC!Q27,PY!Q27,BY!Q27,SM!Q27,SC!Q27,TC!Q27,ML!Q27,QN!Q27,XL!Q27,'XL (BHTP1)'!Q27,'XL (BHTP2)'!Q27)</f>
        <v>0</v>
      </c>
      <c r="R27" s="13">
        <f>SUM('TP1'!R27,'TP2'!R27,MS!R27,'MC + Vân hồ'!R27,YC!R27,PY!R27,BY!R27,SM!R27,SC!R27,TC!R27,ML!R27,QN!R27,XL!R27,'XL (BHTP1)'!R27,'XL (BHTP2)'!R27)</f>
        <v>0</v>
      </c>
      <c r="S27" s="13">
        <f>SUM('TP1'!S27,'TP2'!S27,MS!S27,'MC + Vân hồ'!S27,YC!S27,PY!S27,BY!S27,SM!S27,SC!S27,TC!S27,ML!S27,QN!S27,XL!S27,'XL (BHTP1)'!S27,'XL (BHTP2)'!S27)</f>
        <v>0</v>
      </c>
      <c r="T27" s="13">
        <f>SUM('TP1'!T27,'TP2'!T27,MS!T27,'MC + Vân hồ'!T27,YC!T27,PY!T27,BY!T27,SM!T27,SC!T27,TC!T27,ML!T27,QN!T27,XL!T27,'XL (BHTP1)'!T27,'XL (BHTP2)'!T27)</f>
        <v>1</v>
      </c>
      <c r="U27" s="13">
        <f>SUM('TP1'!U27,'TP2'!U27,MS!U27,'MC + Vân hồ'!U27,YC!U27,PY!U27,BY!U27,SM!U27,SC!U27,TC!U27,ML!U27,QN!U27,XL!U27,'XL (BHTP1)'!U27,'XL (BHTP2)'!U27)</f>
        <v>0</v>
      </c>
      <c r="V27" s="13">
        <f>SUM('TP1'!V27,'TP2'!V27,MS!V27,'MC + Vân hồ'!V27,YC!V27,PY!V27,BY!V27,SM!V27,SC!V27,TC!V27,ML!V27,QN!V27,XL!V27,'XL (BHTP1)'!V27,'XL (BHTP2)'!V27)</f>
        <v>0</v>
      </c>
      <c r="W27" s="13">
        <f>SUM('TP1'!W27,'TP2'!W27,MS!W27,'MC + Vân hồ'!W27,YC!W27,PY!W27,BY!W27,SM!W27,SC!W27,TC!W27,ML!W27,QN!W27,XL!W27,'XL (BHTP1)'!W27,'XL (BHTP2)'!W27)</f>
        <v>0</v>
      </c>
      <c r="X27" s="13">
        <f>SUM('TP1'!X27,'TP2'!X27,MS!X27,'MC + Vân hồ'!X27,YC!X27,PY!X27,BY!X27,SM!X27,SC!X27,TC!X27,ML!X27,QN!X27,XL!X27,'XL (BHTP1)'!X27,'XL (BHTP2)'!X27)</f>
        <v>0</v>
      </c>
      <c r="Y27" s="13">
        <f>SUM('TP1'!Y27,'TP2'!Y27,MS!Y27,'MC + Vân hồ'!Y27,YC!Y27,PY!Y27,BY!Y27,SM!Y27,SC!Y27,TC!Y27,ML!Y27,QN!Y27,XL!Y27,'XL (BHTP1)'!Y27,'XL (BHTP2)'!Y27)</f>
        <v>0</v>
      </c>
      <c r="Z27" s="13">
        <f>SUM('TP1'!Z27,'TP2'!Z27,MS!Z27,'MC + Vân hồ'!Z27,YC!Z27,PY!Z27,BY!Z27,SM!Z27,SC!Z27,TC!Z27,ML!Z27,QN!Z27,XL!Z27,'XL (BHTP1)'!Z27,'XL (BHTP2)'!Z27)</f>
        <v>0</v>
      </c>
      <c r="AA27" s="13">
        <f>SUM('TP1'!AA27,'TP2'!AA27,MS!AA27,'MC + Vân hồ'!AA27,YC!AA27,PY!AA27,BY!AA27,SM!AA27,SC!AA27,TC!AA27,ML!AA27,QN!AA27,XL!AA27,'XL (BHTP1)'!AA27,'XL (BHTP2)'!AA27)</f>
        <v>0</v>
      </c>
      <c r="AB27" s="13">
        <f>SUM('TP1'!AB27,'TP2'!AB27,MS!AB27,'MC + Vân hồ'!AB27,YC!AB27,PY!AB27,BY!AB27,SM!AB27,SC!AB27,TC!AB27,ML!AB27,QN!AB27,XL!AB27,'XL (BHTP1)'!AB27,'XL (BHTP2)'!AB27)</f>
        <v>0</v>
      </c>
      <c r="AC27" s="13">
        <f>SUM('TP1'!AC27,'TP2'!AC27,MS!AC27,'MC + Vân hồ'!AC27,YC!AC27,PY!AC27,BY!AC27,SM!AC27,SC!AC27,TC!AC27,ML!AC27,QN!AC27,XL!AC27,'XL (BHTP1)'!AC27,'XL (BHTP2)'!AC27)</f>
        <v>0</v>
      </c>
      <c r="AD27" s="13">
        <f>SUM('TP1'!AD27,'TP2'!AD27,MS!AD27,'MC + Vân hồ'!AD27,YC!AD27,PY!AD27,BY!AD27,SM!AD27,SC!AD27,TC!AD27,ML!AD27,QN!AD27,XL!AD27,'XL (BHTP1)'!AD27,'XL (BHTP2)'!AD27)</f>
        <v>0</v>
      </c>
      <c r="AE27" s="13">
        <f>SUM('TP1'!AE27,'TP2'!AE27,MS!AE27,'MC + Vân hồ'!AE27,YC!AE27,PY!AE27,BY!AE27,SM!AE27,SC!AE27,TC!AE27,ML!AE27,QN!AE27,XL!AE27,'XL (BHTP1)'!AE27,'XL (BHTP2)'!AE27)</f>
        <v>0</v>
      </c>
      <c r="AF27" s="13">
        <f>SUM('TP1'!AF27,'TP2'!AF27,MS!AF27,'MC + Vân hồ'!AF27,YC!AF27,PY!AF27,BY!AF27,SM!AF27,SC!AF27,TC!AF27,ML!AF27,QN!AF27,XL!AF27,'XL (BHTP1)'!AF27,'XL (BHTP2)'!AF27)</f>
        <v>0</v>
      </c>
      <c r="AG27" s="13">
        <f>SUM('TP1'!AG27,'TP2'!AG27,MS!AG27,'MC + Vân hồ'!AG27,YC!AG27,PY!AG27,BY!AG27,SM!AG27,SC!AG27,TC!AG27,ML!AG27,QN!AG27,XL!AG27,'XL (BHTP1)'!AG27,'XL (BHTP2)'!AG27)</f>
        <v>0</v>
      </c>
      <c r="AH27" s="13">
        <f>SUM('TP1'!AH27,'TP2'!AH27,MS!AH27,'MC + Vân hồ'!AH27,YC!AH27,PY!AH27,BY!AH27,SM!AH27,SC!AH27,TC!AH27,ML!AH27,QN!AH27,XL!AH27,'XL (BHTP1)'!AH27,'XL (BHTP2)'!AH27)</f>
        <v>0</v>
      </c>
      <c r="AI27" s="13">
        <f>SUM('TP1'!AI27,'TP2'!AI27,MS!AI27,'MC + Vân hồ'!AI27,YC!AI27,PY!AI27,BY!AI27,SM!AI27,SC!AI27,TC!AI27,ML!AI27,QN!AI27,XL!AI27,'XL (BHTP1)'!AI27,'XL (BHTP2)'!AI27)</f>
        <v>0</v>
      </c>
      <c r="AJ27" s="13">
        <f>SUM('TP1'!AJ27,'TP2'!AJ27,MS!AJ27,'MC + Vân hồ'!AJ27,YC!AJ27,PY!AJ27,BY!AJ27,SM!AJ27,SC!AJ27,TC!AJ27,ML!AJ27,QN!AJ27,XL!AJ27,'XL (BHTP1)'!AJ27,'XL (BHTP2)'!AJ27)</f>
        <v>0</v>
      </c>
      <c r="AK27" s="13">
        <f>SUM('TP1'!AK27,'TP2'!AK27,MS!AK27,'MC + Vân hồ'!AK27,YC!AK27,PY!AK27,BY!AK27,SM!AK27,SC!AK27,TC!AK27,ML!AK27,QN!AK27,XL!AK27,'XL (BHTP1)'!AK27,'XL (BHTP2)'!AK27)</f>
        <v>0</v>
      </c>
      <c r="AL27" s="13">
        <f>SUM('TP1'!AL27,'TP2'!AL27,MS!AL27,'MC + Vân hồ'!AL27,YC!AL27,PY!AL27,BY!AL27,SM!AL27,SC!AL27,TC!AL27,ML!AL27,QN!AL27,XL!AL27,'XL (BHTP1)'!AL27,'XL (BHTP2)'!AL27)</f>
        <v>0</v>
      </c>
      <c r="AM27" s="13">
        <f>SUM('TP1'!AM27,'TP2'!AM27,MS!AM27,'MC + Vân hồ'!AM27,YC!AM27,PY!AM27,BY!AM27,SM!AM27,SC!AM27,TC!AM27,ML!AM27,QN!AM27,XL!AM27,'XL (BHTP1)'!AM27,'XL (BHTP2)'!AM27)</f>
        <v>0</v>
      </c>
      <c r="AN27" s="13">
        <f>SUM('TP1'!AN27,'TP2'!AN27,MS!AN27,'MC + Vân hồ'!AN27,YC!AN27,PY!AN27,BY!AN27,SM!AN27,SC!AN27,TC!AN27,ML!AN27,QN!AN27,XL!AN27,'XL (BHTP1)'!AN27,'XL (BHTP2)'!AN27)</f>
        <v>0</v>
      </c>
      <c r="AO27" s="13">
        <f>SUM('TP1'!AO27,'TP2'!AO27,MS!AO27,'MC + Vân hồ'!AO27,YC!AO27,PY!AO27,BY!AO27,SM!AO27,SC!AO27,TC!AO27,ML!AO27,QN!AO27,XL!AO27,'XL (BHTP1)'!AO27,'XL (BHTP2)'!AO27)</f>
        <v>0</v>
      </c>
      <c r="AP27" s="13">
        <f>SUM('TP1'!AP27,'TP2'!AP27,MS!AP27,'MC + Vân hồ'!AP27,YC!AP27,PY!AP27,BY!AP27,SM!AP27,SC!AP27,TC!AP27,ML!AP27,QN!AP27,XL!AP27,'XL (BHTP1)'!AP27,'XL (BHTP2)'!AP27)</f>
        <v>0</v>
      </c>
      <c r="AQ27" s="13">
        <f>SUM('TP1'!AQ27,'TP2'!AQ27,MS!AQ27,'MC + Vân hồ'!AQ27,YC!AQ27,PY!AQ27,BY!AQ27,SM!AQ27,SC!AQ27,TC!AQ27,ML!AQ27,QN!AQ27,XL!AQ27,'XL (BHTP1)'!AQ27,'XL (BHTP2)'!AQ27)</f>
        <v>0</v>
      </c>
      <c r="AR27" s="13">
        <f>SUM('TP1'!AR27,'TP2'!AR27,MS!AR27,'MC + Vân hồ'!AR27,YC!AR27,PY!AR27,BY!AR27,SM!AR27,SC!AR27,TC!AR27,ML!AR27,QN!AR27,XL!AR27,'XL (BHTP1)'!AR27,'XL (BHTP2)'!AR27)</f>
        <v>0</v>
      </c>
      <c r="AS27" s="13">
        <f>SUM('TP1'!AS27,'TP2'!AS27,MS!AS27,'MC + Vân hồ'!AS27,YC!AS27,PY!AS27,BY!AS27,SM!AS27,SC!AS27,TC!AS27,ML!AS27,QN!AS27,XL!AS27,'XL (BHTP1)'!AS27,'XL (BHTP2)'!AS27)</f>
        <v>0</v>
      </c>
      <c r="AT27" s="13">
        <f>SUM('TP1'!AT27,'TP2'!AT27,MS!AT27,'MC + Vân hồ'!AT27,YC!AT27,PY!AT27,BY!AT27,SM!AT27,SC!AT27,TC!AT27,ML!AT27,QN!AT27,XL!AT27,'XL (BHTP1)'!AT27,'XL (BHTP2)'!AT27)</f>
        <v>0</v>
      </c>
      <c r="AU27" s="13">
        <f>SUM('TP1'!AU27,'TP2'!AU27,MS!AU27,'MC + Vân hồ'!AU27,YC!AU27,PY!AU27,BY!AU27,SM!AU27,SC!AU27,TC!AU27,ML!AU27,QN!AU27,XL!AU27,'XL (BHTP1)'!AU27,'XL (BHTP2)'!AU27)</f>
        <v>0</v>
      </c>
      <c r="AV27" s="13">
        <f>SUM('TP1'!AV27,'TP2'!AV27,MS!AV27,'MC + Vân hồ'!AV27,YC!AV27,PY!AV27,BY!AV27,SM!AV27,SC!AV27,TC!AV27,ML!AV27,QN!AV27,XL!AV27,'XL (BHTP1)'!AV27,'XL (BHTP2)'!AV27)</f>
        <v>0</v>
      </c>
      <c r="AW27" s="13">
        <f>SUM('TP1'!AW27,'TP2'!AW27,MS!AW27,'MC + Vân hồ'!AW27,YC!AW27,PY!AW27,BY!AW27,SM!AW27,SC!AW27,TC!AW27,ML!AW27,QN!AW27,XL!AW27,'XL (BHTP1)'!AW27,'XL (BHTP2)'!AW27)</f>
        <v>0</v>
      </c>
      <c r="AX27" s="13">
        <f>SUM('TP1'!AX27,'TP2'!AX27,MS!AX27,'MC + Vân hồ'!AX27,YC!AX27,PY!AX27,BY!AX27,SM!AX27,SC!AX27,TC!AX27,ML!AX27,QN!AX27,XL!AX27,'XL (BHTP1)'!AX27,'XL (BHTP2)'!AX27)</f>
        <v>0</v>
      </c>
      <c r="AY27" s="13">
        <f>SUM('TP1'!AY27,'TP2'!AY27,MS!AY27,'MC + Vân hồ'!AY27,YC!AY27,PY!AY27,BY!AY27,SM!AY27,SC!AY27,TC!AY27,ML!AY27,QN!AY27,XL!AY27,'XL (BHTP1)'!AY27,'XL (BHTP2)'!AY27)</f>
        <v>0</v>
      </c>
      <c r="AZ27" s="13">
        <f>SUM('TP1'!AZ27,'TP2'!AZ27,MS!AZ27,'MC + Vân hồ'!AZ27,YC!AZ27,PY!AZ27,BY!AZ27,SM!AZ27,SC!AZ27,TC!AZ27,ML!AZ27,QN!AZ27,XL!AZ27,'XL (BHTP1)'!AZ27,'XL (BHTP2)'!AZ27)</f>
        <v>0</v>
      </c>
      <c r="BA27" s="13">
        <f>SUM('TP1'!BA27,'TP2'!BA27,MS!BA27,'MC + Vân hồ'!BA27,YC!BA27,PY!BA27,BY!BA27,SM!BA27,SC!BA27,TC!BA27,ML!BA27,QN!BA27,XL!BA27,'XL (BHTP1)'!BA27,'XL (BHTP2)'!BA27)</f>
        <v>0</v>
      </c>
      <c r="BB27" s="13">
        <f>SUM('TP1'!BB27,'TP2'!BB27,MS!BB27,'MC + Vân hồ'!BB27,YC!BB27,PY!BB27,BY!BB27,SM!BB27,SC!BB27,TC!BB27,ML!BB27,QN!BB27,XL!BB27,'XL (BHTP1)'!BB27,'XL (BHTP2)'!BB27)</f>
        <v>0</v>
      </c>
      <c r="BC27" s="13">
        <f>SUM('TP1'!BC27,'TP2'!BC27,MS!BC27,'MC + Vân hồ'!BC27,YC!BC27,PY!BC27,BY!BC27,SM!BC27,SC!BC27,TC!BC27,ML!BC27,QN!BC27,XL!BC27,'XL (BHTP1)'!BC27,'XL (BHTP2)'!BC27)</f>
        <v>0</v>
      </c>
      <c r="BD27" s="13">
        <f>SUM('TP1'!BD27,'TP2'!BD27,MS!BD27,'MC + Vân hồ'!BD27,YC!BD27,PY!BD27,BY!BD27,SM!BD27,SC!BD27,TC!BD27,ML!BD27,QN!BD27,XL!BD27,'XL (BHTP1)'!BD27,'XL (BHTP2)'!BD27)</f>
        <v>0</v>
      </c>
      <c r="BE27" s="13">
        <f>SUM('TP1'!BE27,'TP2'!BE27,MS!BE27,'MC + Vân hồ'!BE27,YC!BE27,PY!BE27,BY!BE27,SM!BE27,SC!BE27,TC!BE27,ML!BE27,QN!BE27,XL!BE27,'XL (BHTP1)'!BE27,'XL (BHTP2)'!BE27)</f>
        <v>0</v>
      </c>
      <c r="BF27" s="13">
        <f>SUM('TP1'!BF27,'TP2'!BF27,MS!BF27,'MC + Vân hồ'!BF27,YC!BF27,PY!BF27,BY!BF27,SM!BF27,SC!BF27,TC!BF27,ML!BF27,QN!BF27,XL!BF27,'XL (BHTP1)'!BF27,'XL (BHTP2)'!BF27)</f>
        <v>0</v>
      </c>
      <c r="BG27" s="13">
        <f>SUM('TP1'!BG27,'TP2'!BG27,MS!BG27,'MC + Vân hồ'!BG27,YC!BG27,PY!BG27,BY!BG27,SM!BG27,SC!BG27,TC!BG27,ML!BG27,QN!BG27,XL!BG27,'XL (BHTP1)'!BG27,'XL (BHTP2)'!BG27)</f>
        <v>0</v>
      </c>
      <c r="BH27" s="13">
        <f>SUM('TP1'!BH27,'TP2'!BH27,MS!BH27,'MC + Vân hồ'!BH27,YC!BH27,PY!BH27,BY!BH27,SM!BH27,SC!BH27,TC!BH27,ML!BH27,QN!BH27,XL!BH27,'XL (BHTP1)'!BH27,'XL (BHTP2)'!BH27)</f>
        <v>0</v>
      </c>
      <c r="BI27" s="13">
        <f>SUM('TP1'!BI27,'TP2'!BI27,MS!BI27,'MC + Vân hồ'!BI27,YC!BI27,PY!BI27,BY!BI27,SM!BI27,SC!BI27,TC!BI27,ML!BI27,QN!BI27,XL!BI27,'XL (BHTP1)'!BI27,'XL (BHTP2)'!BI27)</f>
        <v>0</v>
      </c>
      <c r="BJ27" s="13">
        <f>SUM('TP1'!BJ27,'TP2'!BJ27,MS!BJ27,'MC + Vân hồ'!BJ27,YC!BJ27,PY!BJ27,BY!BJ27,SM!BJ27,SC!BJ27,TC!BJ27,ML!BJ27,QN!BJ27,XL!BJ27,'XL (BHTP1)'!BJ27,'XL (BHTP2)'!BJ27)</f>
        <v>0</v>
      </c>
      <c r="BK27" s="13">
        <f>SUM('TP1'!BK27,'TP2'!BK27,MS!BK27,'MC + Vân hồ'!BK27,YC!BK27,PY!BK27,BY!BK27,SM!BK27,SC!BK27,TC!BK27,ML!BK27,QN!BK27,XL!BK27,'XL (BHTP1)'!BK27,'XL (BHTP2)'!BK27)</f>
        <v>0</v>
      </c>
      <c r="BL27" s="13">
        <f>SUM('TP1'!BL27,'TP2'!BL27,MS!BL27,'MC + Vân hồ'!BL27,YC!BL27,PY!BL27,BY!BL27,SM!BL27,SC!BL27,TC!BL27,ML!BL27,QN!BL27,XL!BL27,'XL (BHTP1)'!BL27,'XL (BHTP2)'!BL27)</f>
        <v>0</v>
      </c>
      <c r="BM27" s="13">
        <f>SUM('TP1'!BM27,'TP2'!BM27,MS!BM27,'MC + Vân hồ'!BM27,YC!BM27,PY!BM27,BY!BM27,SM!BM27,SC!BM27,TC!BM27,ML!BM27,QN!BM27,XL!BM27,'XL (BHTP1)'!BM27,'XL (BHTP2)'!BM27)</f>
        <v>0</v>
      </c>
      <c r="BN27" s="13">
        <f>SUM('TP1'!BN27,'TP2'!BN27,MS!BN27,'MC + Vân hồ'!BN27,YC!BN27,PY!BN27,BY!BN27,SM!BN27,SC!BN27,TC!BN27,ML!BN27,QN!BN27,XL!BN27,'XL (BHTP1)'!BN27,'XL (BHTP2)'!BN27)</f>
        <v>0</v>
      </c>
      <c r="BO27" s="13">
        <f>SUM('TP1'!BO27,'TP2'!BO27,MS!BO27,'MC + Vân hồ'!BO27,YC!BO27,PY!BO27,BY!BO27,SM!BO27,SC!BO27,TC!BO27,ML!BO27,QN!BO27,XL!BO27,'XL (BHTP1)'!BO27,'XL (BHTP2)'!BO27)</f>
        <v>0</v>
      </c>
      <c r="BP27" s="13">
        <f>SUM('TP1'!BP27,'TP2'!BP27,MS!BP27,'MC + Vân hồ'!BP27,YC!BP27,PY!BP27,BY!BP27,SM!BP27,SC!BP27,TC!BP27,ML!BP27,QN!BP27,XL!BP27,'XL (BHTP1)'!BP27,'XL (BHTP2)'!BP27)</f>
        <v>0</v>
      </c>
      <c r="BQ27" s="13">
        <f>SUM('TP1'!BQ27,'TP2'!BQ27,MS!BQ27,'MC + Vân hồ'!BQ27,YC!BQ27,PY!BQ27,BY!BQ27,SM!BQ27,SC!BQ27,TC!BQ27,ML!BQ27,QN!BQ27,XL!BQ27,'XL (BHTP1)'!BQ27,'XL (BHTP2)'!BQ27)</f>
        <v>0</v>
      </c>
      <c r="BR27" s="13">
        <f>SUM('TP1'!BR27,'TP2'!BR27,MS!BR27,'MC + Vân hồ'!BR27,YC!BR27,PY!BR27,BY!BR27,SM!BR27,SC!BR27,TC!BR27,ML!BR27,QN!BR27,XL!BR27,'XL (BHTP1)'!BR27,'XL (BHTP2)'!BR27)</f>
        <v>0</v>
      </c>
      <c r="BS27" s="13">
        <f>SUM('TP1'!BS27,'TP2'!BS27,MS!BS27,'MC + Vân hồ'!BS27,YC!BS27,PY!BS27,BY!BS27,SM!BS27,SC!BS27,TC!BS27,ML!BS27,QN!BS27,XL!BS27,'XL (BHTP1)'!BS27,'XL (BHTP2)'!BS27)</f>
        <v>0</v>
      </c>
      <c r="BT27" s="13">
        <f>SUM('TP1'!BT27,'TP2'!BT27,MS!BT27,'MC + Vân hồ'!BT27,YC!BT27,PY!BT27,BY!BT27,SM!BT27,SC!BT27,TC!BT27,ML!BT27,QN!BT27,XL!BT27,'XL (BHTP1)'!BT27,'XL (BHTP2)'!BT27)</f>
        <v>0</v>
      </c>
      <c r="BU27" s="13">
        <f>SUM('TP1'!BU27,'TP2'!BU27,MS!BU27,'MC + Vân hồ'!BU27,YC!BU27,PY!BU27,BY!BU27,SM!BU27,SC!BU27,TC!BU27,ML!BU27,QN!BU27,XL!BU27,'XL (BHTP1)'!BU27,'XL (BHTP2)'!BU27)</f>
        <v>0</v>
      </c>
      <c r="BV27" s="13">
        <f>SUM('TP1'!BV27,'TP2'!BV27,MS!BV27,'MC + Vân hồ'!BV27,YC!BV27,PY!BV27,BY!BV27,SM!BV27,SC!BV27,TC!BV27,ML!BV27,QN!BV27,XL!BV27,'XL (BHTP1)'!BV27,'XL (BHTP2)'!BV27)</f>
        <v>0</v>
      </c>
      <c r="BW27" s="13">
        <f>SUM('TP1'!BW27,'TP2'!BW27,MS!BW27,'MC + Vân hồ'!BW27,YC!BW27,PY!BW27,BY!BW27,SM!BW27,SC!BW27,TC!BW27,ML!BW27,QN!BW27,XL!BW27,'XL (BHTP1)'!BW27,'XL (BHTP2)'!BW27)</f>
        <v>0</v>
      </c>
      <c r="BX27" s="13">
        <f>SUM('TP1'!BX27,'TP2'!BX27,MS!BX27,'MC + Vân hồ'!BX27,YC!BX27,PY!BX27,BY!BX27,SM!BX27,SC!BX27,TC!BX27,ML!BX27,QN!BX27,XL!BX27,'XL (BHTP1)'!BX27,'XL (BHTP2)'!BX27)</f>
        <v>0</v>
      </c>
      <c r="BY27" s="13">
        <f>SUM('TP1'!BY27,'TP2'!BY27,MS!BY27,'MC + Vân hồ'!BY27,YC!BY27,PY!BY27,BY!BY27,SM!BY27,SC!BY27,TC!BY27,ML!BY27,QN!BY27,XL!BY27,'XL (BHTP1)'!BY27,'XL (BHTP2)'!BY27)</f>
        <v>0</v>
      </c>
      <c r="BZ27" s="13">
        <f>SUM('TP1'!BZ27,'TP2'!BZ27,MS!BZ27,'MC + Vân hồ'!BZ27,YC!BZ27,PY!BZ27,BY!BZ27,SM!BZ27,SC!BZ27,TC!BZ27,ML!BZ27,QN!BZ27,XL!BZ27,'XL (BHTP1)'!BZ27,'XL (BHTP2)'!BZ27)</f>
        <v>0</v>
      </c>
      <c r="CA27" s="13">
        <f>SUM('TP1'!CA27,'TP2'!CA27,MS!CA27,'MC + Vân hồ'!CA27,YC!CA27,PY!CA27,BY!CA27,SM!CA27,SC!CA27,TC!CA27,ML!CA27,QN!CA27,XL!CA27,'XL (BHTP1)'!CA27,'XL (BHTP2)'!CA27)</f>
        <v>0</v>
      </c>
      <c r="CB27" s="13">
        <f>SUM('TP1'!CB27,'TP2'!CB27,MS!CB27,'MC + Vân hồ'!CB27,YC!CB27,PY!CB27,BY!CB27,SM!CB27,SC!CB27,TC!CB27,ML!CB27,QN!CB27,XL!CB27,'XL (BHTP1)'!CB27,'XL (BHTP2)'!CB27)</f>
        <v>0</v>
      </c>
      <c r="CC27" s="13">
        <f>SUM('TP1'!CC27,'TP2'!CC27,MS!CC27,'MC + Vân hồ'!CC27,YC!CC27,PY!CC27,BY!CC27,SM!CC27,SC!CC27,TC!CC27,ML!CC27,QN!CC27,XL!CC27,'XL (BHTP1)'!CC27,'XL (BHTP2)'!CC27)</f>
        <v>0</v>
      </c>
      <c r="CD27" s="13">
        <f>SUM('TP1'!CD27,'TP2'!CD27,MS!CD27,'MC + Vân hồ'!CD27,YC!CD27,PY!CD27,BY!CD27,SM!CD27,SC!CD27,TC!CD27,ML!CD27,QN!CD27,XL!CD27,'XL (BHTP1)'!CD27,'XL (BHTP2)'!CD27)</f>
        <v>0</v>
      </c>
      <c r="CE27" s="13">
        <f>SUM('TP1'!CE27,'TP2'!CE27,MS!CE27,'MC + Vân hồ'!CE27,YC!CE27,PY!CE27,BY!CE27,SM!CE27,SC!CE27,TC!CE27,ML!CE27,QN!CE27,XL!CE27,'XL (BHTP1)'!CE27,'XL (BHTP2)'!CE27)</f>
        <v>0</v>
      </c>
      <c r="CF27" s="13">
        <f>SUM('TP1'!CF27,'TP2'!CF27,MS!CF27,'MC + Vân hồ'!CF27,YC!CF27,PY!CF27,BY!CF27,SM!CF27,SC!CF27,TC!CF27,ML!CF27,QN!CF27,XL!CF27,'XL (BHTP1)'!CF27,'XL (BHTP2)'!CF27)</f>
        <v>0</v>
      </c>
      <c r="CG27" s="13">
        <f>SUM('TP1'!CG27,'TP2'!CG27,MS!CG27,'MC + Vân hồ'!CG27,YC!CG27,PY!CG27,BY!CG27,SM!CG27,SC!CG27,TC!CG27,ML!CG27,QN!CG27,XL!CG27,'XL (BHTP1)'!CG27,'XL (BHTP2)'!CG27)</f>
        <v>0</v>
      </c>
      <c r="CH27" s="13">
        <f>SUM('TP1'!CH27,'TP2'!CH27,MS!CH27,'MC + Vân hồ'!CH27,YC!CH27,PY!CH27,BY!CH27,SM!CH27,SC!CH27,TC!CH27,ML!CH27,QN!CH27,XL!CH27,'XL (BHTP1)'!CH27,'XL (BHTP2)'!CH27)</f>
        <v>0</v>
      </c>
      <c r="CI27" s="13">
        <f>SUM('TP1'!CI27,'TP2'!CI27,MS!CI27,'MC + Vân hồ'!CI27,YC!CI27,PY!CI27,BY!CI27,SM!CI27,SC!CI27,TC!CI27,ML!CI27,QN!CI27,XL!CI27,'XL (BHTP1)'!CI27,'XL (BHTP2)'!CI27)</f>
        <v>0</v>
      </c>
      <c r="CJ27" s="13">
        <f>SUM('TP1'!CJ27,'TP2'!CJ27,MS!CJ27,'MC + Vân hồ'!CJ27,YC!CJ27,PY!CJ27,BY!CJ27,SM!CJ27,SC!CJ27,TC!CJ27,ML!CJ27,QN!CJ27,XL!CJ27,'XL (BHTP1)'!CJ27,'XL (BHTP2)'!CJ27)</f>
        <v>0</v>
      </c>
      <c r="CK27" s="73">
        <f t="shared" ref="CK27:CQ27" si="23">SUM(E27,L27,S27,Z27,AG27,AN27,AU27,BB27,BI27,BP27,BW27,CD27)</f>
        <v>0</v>
      </c>
      <c r="CL27" s="73">
        <f t="shared" si="23"/>
        <v>2</v>
      </c>
      <c r="CM27" s="73">
        <f t="shared" si="23"/>
        <v>0</v>
      </c>
      <c r="CN27" s="73">
        <f t="shared" si="23"/>
        <v>0</v>
      </c>
      <c r="CO27" s="73">
        <f t="shared" si="23"/>
        <v>0</v>
      </c>
      <c r="CP27" s="73">
        <f t="shared" si="23"/>
        <v>0</v>
      </c>
      <c r="CQ27" s="73">
        <f t="shared" si="23"/>
        <v>0</v>
      </c>
      <c r="CR27" s="56"/>
      <c r="CS27" s="56">
        <f t="shared" si="3"/>
        <v>0</v>
      </c>
    </row>
    <row r="28" ht="15.75" customHeight="1" outlineLevel="1">
      <c r="B28" s="36" t="s">
        <v>77</v>
      </c>
      <c r="C28" s="36" t="s">
        <v>78</v>
      </c>
      <c r="D28" s="12" t="s">
        <v>26</v>
      </c>
      <c r="E28" s="13">
        <f>SUM('TP1'!E28,'TP2'!E28,MS!E28,'MC + Vân hồ'!E28,YC!E28,PY!E28,BY!E28,SM!E28,SC!E28,TC!E28,ML!E28,QN!E28,XL!E28,'XL (BHTP1)'!E28,'XL (BHTP2)'!E28)</f>
        <v>0</v>
      </c>
      <c r="F28" s="13">
        <f>SUM('TP1'!F28,'TP2'!F28,MS!F28,'MC + Vân hồ'!F28,YC!F28,PY!F28,BY!F28,SM!F28,SC!F28,TC!F28,ML!F28,QN!F28,XL!F28,'XL (BHTP1)'!F28,'XL (BHTP2)'!F28)</f>
        <v>5</v>
      </c>
      <c r="G28" s="13">
        <f>SUM('TP1'!G28,'TP2'!G28,MS!G28,'MC + Vân hồ'!G28,YC!G28,PY!G28,BY!G28,SM!G28,SC!G28,TC!G28,ML!G28,QN!G28,XL!G28,'XL (BHTP1)'!G28,'XL (BHTP2)'!G28)</f>
        <v>4</v>
      </c>
      <c r="H28" s="13">
        <f>SUM('TP1'!H28,'TP2'!H28,MS!H28,'MC + Vân hồ'!H28,YC!H28,PY!H28,BY!H28,SM!H28,SC!H28,TC!H28,ML!H28,QN!H28,XL!H28,'XL (BHTP1)'!H28,'XL (BHTP2)'!H28)</f>
        <v>0</v>
      </c>
      <c r="I28" s="13">
        <f>SUM('TP1'!I28,'TP2'!I28,MS!I28,'MC + Vân hồ'!I28,YC!I28,PY!I28,BY!I28,SM!I28,SC!I28,TC!I28,ML!I28,QN!I28,XL!I28,'XL (BHTP1)'!I28,'XL (BHTP2)'!I28)</f>
        <v>0</v>
      </c>
      <c r="J28" s="13">
        <f>SUM('TP1'!J28,'TP2'!J28,MS!J28,'MC + Vân hồ'!J28,YC!J28,PY!J28,BY!J28,SM!J28,SC!J28,TC!J28,ML!J28,QN!J28,XL!J28,'XL (BHTP1)'!J28,'XL (BHTP2)'!J28)</f>
        <v>0</v>
      </c>
      <c r="K28" s="13">
        <f>SUM('TP1'!K28,'TP2'!K28,MS!K28,'MC + Vân hồ'!K28,YC!K28,PY!K28,BY!K28,SM!K28,SC!K28,TC!K28,ML!K28,QN!K28,XL!K28,'XL (BHTP1)'!K28,'XL (BHTP2)'!K28)</f>
        <v>0</v>
      </c>
      <c r="L28" s="13">
        <f>SUM('TP1'!L28,'TP2'!L28,MS!L28,'MC + Vân hồ'!L28,YC!L28,PY!L28,BY!L28,SM!L28,SC!L28,TC!L28,ML!L28,QN!L28,XL!L28,'XL (BHTP1)'!L28,'XL (BHTP2)'!L28)</f>
        <v>0</v>
      </c>
      <c r="M28" s="13">
        <f>SUM('TP1'!M28,'TP2'!M28,MS!M28,'MC + Vân hồ'!M28,YC!M28,PY!M28,BY!M28,SM!M28,SC!M28,TC!M28,ML!M28,QN!M28,XL!M28,'XL (BHTP1)'!M28,'XL (BHTP2)'!M28)</f>
        <v>2</v>
      </c>
      <c r="N28" s="13">
        <f>SUM('TP1'!N28,'TP2'!N28,MS!N28,'MC + Vân hồ'!N28,YC!N28,PY!N28,BY!N28,SM!N28,SC!N28,TC!N28,ML!N28,QN!N28,XL!N28,'XL (BHTP1)'!N28,'XL (BHTP2)'!N28)</f>
        <v>1</v>
      </c>
      <c r="O28" s="13">
        <f>SUM('TP1'!O28,'TP2'!O28,MS!O28,'MC + Vân hồ'!O28,YC!O28,PY!O28,BY!O28,SM!O28,SC!O28,TC!O28,ML!O28,QN!O28,XL!O28,'XL (BHTP1)'!O28,'XL (BHTP2)'!O28)</f>
        <v>0</v>
      </c>
      <c r="P28" s="13">
        <f>SUM('TP1'!P28,'TP2'!P28,MS!P28,'MC + Vân hồ'!P28,YC!P28,PY!P28,BY!P28,SM!P28,SC!P28,TC!P28,ML!P28,QN!P28,XL!P28,'XL (BHTP1)'!P28,'XL (BHTP2)'!P28)</f>
        <v>0</v>
      </c>
      <c r="Q28" s="13">
        <f>SUM('TP1'!Q28,'TP2'!Q28,MS!Q28,'MC + Vân hồ'!Q28,YC!Q28,PY!Q28,BY!Q28,SM!Q28,SC!Q28,TC!Q28,ML!Q28,QN!Q28,XL!Q28,'XL (BHTP1)'!Q28,'XL (BHTP2)'!Q28)</f>
        <v>0</v>
      </c>
      <c r="R28" s="13">
        <f>SUM('TP1'!R28,'TP2'!R28,MS!R28,'MC + Vân hồ'!R28,YC!R28,PY!R28,BY!R28,SM!R28,SC!R28,TC!R28,ML!R28,QN!R28,XL!R28,'XL (BHTP1)'!R28,'XL (BHTP2)'!R28)</f>
        <v>0</v>
      </c>
      <c r="S28" s="13">
        <f>SUM('TP1'!S28,'TP2'!S28,MS!S28,'MC + Vân hồ'!S28,YC!S28,PY!S28,BY!S28,SM!S28,SC!S28,TC!S28,ML!S28,QN!S28,XL!S28,'XL (BHTP1)'!S28,'XL (BHTP2)'!S28)</f>
        <v>0</v>
      </c>
      <c r="T28" s="13">
        <f>SUM('TP1'!T28,'TP2'!T28,MS!T28,'MC + Vân hồ'!T28,YC!T28,PY!T28,BY!T28,SM!T28,SC!T28,TC!T28,ML!T28,QN!T28,XL!T28,'XL (BHTP1)'!T28,'XL (BHTP2)'!T28)</f>
        <v>0</v>
      </c>
      <c r="U28" s="13">
        <f>SUM('TP1'!U28,'TP2'!U28,MS!U28,'MC + Vân hồ'!U28,YC!U28,PY!U28,BY!U28,SM!U28,SC!U28,TC!U28,ML!U28,QN!U28,XL!U28,'XL (BHTP1)'!U28,'XL (BHTP2)'!U28)</f>
        <v>0</v>
      </c>
      <c r="V28" s="13">
        <f>SUM('TP1'!V28,'TP2'!V28,MS!V28,'MC + Vân hồ'!V28,YC!V28,PY!V28,BY!V28,SM!V28,SC!V28,TC!V28,ML!V28,QN!V28,XL!V28,'XL (BHTP1)'!V28,'XL (BHTP2)'!V28)</f>
        <v>0</v>
      </c>
      <c r="W28" s="13">
        <f>SUM('TP1'!W28,'TP2'!W28,MS!W28,'MC + Vân hồ'!W28,YC!W28,PY!W28,BY!W28,SM!W28,SC!W28,TC!W28,ML!W28,QN!W28,XL!W28,'XL (BHTP1)'!W28,'XL (BHTP2)'!W28)</f>
        <v>0</v>
      </c>
      <c r="X28" s="13">
        <f>SUM('TP1'!X28,'TP2'!X28,MS!X28,'MC + Vân hồ'!X28,YC!X28,PY!X28,BY!X28,SM!X28,SC!X28,TC!X28,ML!X28,QN!X28,XL!X28,'XL (BHTP1)'!X28,'XL (BHTP2)'!X28)</f>
        <v>0</v>
      </c>
      <c r="Y28" s="13">
        <f>SUM('TP1'!Y28,'TP2'!Y28,MS!Y28,'MC + Vân hồ'!Y28,YC!Y28,PY!Y28,BY!Y28,SM!Y28,SC!Y28,TC!Y28,ML!Y28,QN!Y28,XL!Y28,'XL (BHTP1)'!Y28,'XL (BHTP2)'!Y28)</f>
        <v>0</v>
      </c>
      <c r="Z28" s="13">
        <f>SUM('TP1'!Z28,'TP2'!Z28,MS!Z28,'MC + Vân hồ'!Z28,YC!Z28,PY!Z28,BY!Z28,SM!Z28,SC!Z28,TC!Z28,ML!Z28,QN!Z28,XL!Z28,'XL (BHTP1)'!Z28,'XL (BHTP2)'!Z28)</f>
        <v>0</v>
      </c>
      <c r="AA28" s="13">
        <f>SUM('TP1'!AA28,'TP2'!AA28,MS!AA28,'MC + Vân hồ'!AA28,YC!AA28,PY!AA28,BY!AA28,SM!AA28,SC!AA28,TC!AA28,ML!AA28,QN!AA28,XL!AA28,'XL (BHTP1)'!AA28,'XL (BHTP2)'!AA28)</f>
        <v>4</v>
      </c>
      <c r="AB28" s="13"/>
      <c r="AC28" s="13"/>
      <c r="AD28" s="13"/>
      <c r="AE28" s="13"/>
      <c r="AF28" s="13"/>
      <c r="AG28" s="13"/>
      <c r="AH28" s="13">
        <f>SUM('TP1'!AH28,'TP2'!AH28,MS!AH28,'MC + Vân hồ'!AH28,YC!AH28,PY!AH28,BY!AH28,SM!AH28,SC!AH28,TC!AH28,ML!AH28,QN!AH28,XL!AH28,'XL (BHTP1)'!AH28,'XL (BHTP2)'!AH28)</f>
        <v>5</v>
      </c>
      <c r="AI28" s="13"/>
      <c r="AJ28" s="13"/>
      <c r="AK28" s="13"/>
      <c r="AL28" s="13"/>
      <c r="AM28" s="13"/>
      <c r="AN28" s="13"/>
      <c r="AO28" s="13">
        <f>SUM('TP1'!AO28,'TP2'!AO28,MS!AO28,'MC + Vân hồ'!AO28,YC!AO28,PY!AO28,BY!AO28,SM!AO28,SC!AO28,TC!AO28,ML!AO28,QN!AO28,XL!AO28,'XL (BHTP1)'!AO28,'XL (BHTP2)'!AO28)</f>
        <v>6</v>
      </c>
      <c r="AP28" s="13"/>
      <c r="AQ28" s="13"/>
      <c r="AR28" s="13"/>
      <c r="AS28" s="13"/>
      <c r="AT28" s="13"/>
      <c r="AU28" s="13"/>
      <c r="AV28" s="13">
        <f>SUM('TP1'!AV28,'TP2'!AV28,MS!AV28,'MC + Vân hồ'!AV28,YC!AV28,PY!AV28,BY!AV28,SM!AV28,SC!AV28,TC!AV28,ML!AV28,QN!AV28,XL!AV28,'XL (BHTP1)'!AV28,'XL (BHTP2)'!AV28)</f>
        <v>7</v>
      </c>
      <c r="AW28" s="13"/>
      <c r="AX28" s="13"/>
      <c r="AY28" s="13"/>
      <c r="AZ28" s="13"/>
      <c r="BA28" s="13"/>
      <c r="BB28" s="13"/>
      <c r="BC28" s="13">
        <f>SUM('TP1'!BC28,'TP2'!BC28,MS!BC28,'MC + Vân hồ'!BC28,YC!BC28,PY!BC28,BY!BC28,SM!BC28,SC!BC28,TC!BC28,ML!BC28,QN!BC28,XL!BC28,'XL (BHTP1)'!BC28,'XL (BHTP2)'!BC28)</f>
        <v>2</v>
      </c>
      <c r="BD28" s="13"/>
      <c r="BE28" s="13"/>
      <c r="BF28" s="13"/>
      <c r="BG28" s="13"/>
      <c r="BH28" s="13"/>
      <c r="BI28" s="13"/>
      <c r="BJ28" s="13">
        <f>SUM('TP1'!BJ28,'TP2'!BJ28,MS!BJ28,'MC + Vân hồ'!BJ28,YC!BJ28,PY!BJ28,BY!BJ28,SM!BJ28,SC!BJ28,TC!BJ28,ML!BJ28,QN!BJ28,XL!BJ28,'XL (BHTP1)'!BJ28,'XL (BHTP2)'!BJ28)</f>
        <v>0</v>
      </c>
      <c r="BK28" s="13"/>
      <c r="BL28" s="13"/>
      <c r="BM28" s="13"/>
      <c r="BN28" s="13"/>
      <c r="BO28" s="13"/>
      <c r="BP28" s="13"/>
      <c r="BQ28" s="13">
        <f>SUM('TP1'!BQ28,'TP2'!BQ28,MS!BQ28,'MC + Vân hồ'!BQ28,YC!BQ28,PY!BQ28,BY!BQ28,SM!BQ28,SC!BQ28,TC!BQ28,ML!BQ28,QN!BQ28,XL!BQ28,'XL (BHTP1)'!BQ28,'XL (BHTP2)'!BQ28)</f>
        <v>0</v>
      </c>
      <c r="BR28" s="13"/>
      <c r="BS28" s="13"/>
      <c r="BT28" s="13"/>
      <c r="BU28" s="13"/>
      <c r="BV28" s="13"/>
      <c r="BW28" s="13"/>
      <c r="BX28" s="13">
        <f>SUM('TP1'!BX28,'TP2'!BX28,MS!BX28,'MC + Vân hồ'!BX28,YC!BX28,PY!BX28,BY!BX28,SM!BX28,SC!BX28,TC!BX28,ML!BX28,QN!BX28,XL!BX28,'XL (BHTP1)'!BX28,'XL (BHTP2)'!BX28)</f>
        <v>0</v>
      </c>
      <c r="BY28" s="13"/>
      <c r="BZ28" s="13"/>
      <c r="CA28" s="13"/>
      <c r="CB28" s="13"/>
      <c r="CC28" s="13"/>
      <c r="CD28" s="13"/>
      <c r="CE28" s="13">
        <f>SUM('TP1'!CE28,'TP2'!CE28,MS!CE28,'MC + Vân hồ'!CE28,YC!CE28,PY!CE28,BY!CE28,SM!CE28,SC!CE28,TC!CE28,ML!CE28,QN!CE28,XL!CE28,'XL (BHTP1)'!CE28,'XL (BHTP2)'!CE28)</f>
        <v>0</v>
      </c>
      <c r="CF28" s="13"/>
      <c r="CG28" s="13"/>
      <c r="CH28" s="13"/>
      <c r="CI28" s="13"/>
      <c r="CJ28" s="13"/>
      <c r="CK28" s="75"/>
      <c r="CL28" s="73">
        <f t="shared" ref="CL28:CL29" si="24">SUM(F28,M28,T28,AA28,AH28,AO28,AV28,BC28,BJ28,BQ28,BX28,CE28)</f>
        <v>31</v>
      </c>
      <c r="CM28" s="75"/>
      <c r="CN28" s="75"/>
      <c r="CO28" s="75"/>
      <c r="CP28" s="75"/>
      <c r="CQ28" s="75"/>
      <c r="CR28" s="76"/>
      <c r="CS28" s="76"/>
    </row>
    <row r="29" ht="15.75" customHeight="1" outlineLevel="1">
      <c r="B29" s="36" t="s">
        <v>80</v>
      </c>
      <c r="C29" s="36" t="s">
        <v>81</v>
      </c>
      <c r="D29" s="12" t="s">
        <v>26</v>
      </c>
      <c r="E29" s="13">
        <f>SUM('TP1'!E29,'TP2'!E29,MS!E29,'MC + Vân hồ'!E29,YC!E29,PY!E29,BY!E29,SM!E29,SC!E29,TC!E29,ML!E29,QN!E29,XL!E29,'XL (BHTP1)'!E29,'XL (BHTP2)'!E29)</f>
        <v>1</v>
      </c>
      <c r="F29" s="13">
        <f>SUM('TP1'!F29,'TP2'!F29,MS!F29,'MC + Vân hồ'!F29,YC!F29,PY!F29,BY!F29,SM!F29,SC!F29,TC!F29,ML!F29,QN!F29,XL!F29,'XL (BHTP1)'!F29,'XL (BHTP2)'!F29)</f>
        <v>1</v>
      </c>
      <c r="G29" s="13">
        <f>SUM('TP1'!G29,'TP2'!G29,MS!G29,'MC + Vân hồ'!G29,YC!G29,PY!G29,BY!G29,SM!G29,SC!G29,TC!G29,ML!G29,QN!G29,XL!G29,'XL (BHTP1)'!G29,'XL (BHTP2)'!G29)</f>
        <v>0</v>
      </c>
      <c r="H29" s="13">
        <f>SUM('TP1'!H29,'TP2'!H29,MS!H29,'MC + Vân hồ'!H29,YC!H29,PY!H29,BY!H29,SM!H29,SC!H29,TC!H29,ML!H29,QN!H29,XL!H29,'XL (BHTP1)'!H29,'XL (BHTP2)'!H29)</f>
        <v>0</v>
      </c>
      <c r="I29" s="13">
        <f>SUM('TP1'!I29,'TP2'!I29,MS!I29,'MC + Vân hồ'!I29,YC!I29,PY!I29,BY!I29,SM!I29,SC!I29,TC!I29,ML!I29,QN!I29,XL!I29,'XL (BHTP1)'!I29,'XL (BHTP2)'!I29)</f>
        <v>0</v>
      </c>
      <c r="J29" s="13">
        <f>SUM('TP1'!J29,'TP2'!J29,MS!J29,'MC + Vân hồ'!J29,YC!J29,PY!J29,BY!J29,SM!J29,SC!J29,TC!J29,ML!J29,QN!J29,XL!J29,'XL (BHTP1)'!J29,'XL (BHTP2)'!J29)</f>
        <v>0</v>
      </c>
      <c r="K29" s="13">
        <f>SUM('TP1'!K29,'TP2'!K29,MS!K29,'MC + Vân hồ'!K29,YC!K29,PY!K29,BY!K29,SM!K29,SC!K29,TC!K29,ML!K29,QN!K29,XL!K29,'XL (BHTP1)'!K29,'XL (BHTP2)'!K29)</f>
        <v>0</v>
      </c>
      <c r="L29" s="13">
        <f>SUM('TP1'!L29,'TP2'!L29,MS!L29,'MC + Vân hồ'!L29,YC!L29,PY!L29,BY!L29,SM!L29,SC!L29,TC!L29,ML!L29,QN!L29,XL!L29,'XL (BHTP1)'!L29,'XL (BHTP2)'!L29)</f>
        <v>0</v>
      </c>
      <c r="M29" s="13">
        <f>SUM('TP1'!M29,'TP2'!M29,MS!M29,'MC + Vân hồ'!M29,YC!M29,PY!M29,BY!M29,SM!M29,SC!M29,TC!M29,ML!M29,QN!M29,XL!M29,'XL (BHTP1)'!M29,'XL (BHTP2)'!M29)</f>
        <v>0</v>
      </c>
      <c r="N29" s="13">
        <f>SUM('TP1'!N29,'TP2'!N29,MS!N29,'MC + Vân hồ'!N29,YC!N29,PY!N29,BY!N29,SM!N29,SC!N29,TC!N29,ML!N29,QN!N29,XL!N29,'XL (BHTP1)'!N29,'XL (BHTP2)'!N29)</f>
        <v>0</v>
      </c>
      <c r="O29" s="13">
        <f>SUM('TP1'!O29,'TP2'!O29,MS!O29,'MC + Vân hồ'!O29,YC!O29,PY!O29,BY!O29,SM!O29,SC!O29,TC!O29,ML!O29,QN!O29,XL!O29,'XL (BHTP1)'!O29,'XL (BHTP2)'!O29)</f>
        <v>0</v>
      </c>
      <c r="P29" s="13">
        <f>SUM('TP1'!P29,'TP2'!P29,MS!P29,'MC + Vân hồ'!P29,YC!P29,PY!P29,BY!P29,SM!P29,SC!P29,TC!P29,ML!P29,QN!P29,XL!P29,'XL (BHTP1)'!P29,'XL (BHTP2)'!P29)</f>
        <v>0</v>
      </c>
      <c r="Q29" s="13">
        <f>SUM('TP1'!Q29,'TP2'!Q29,MS!Q29,'MC + Vân hồ'!Q29,YC!Q29,PY!Q29,BY!Q29,SM!Q29,SC!Q29,TC!Q29,ML!Q29,QN!Q29,XL!Q29,'XL (BHTP1)'!Q29,'XL (BHTP2)'!Q29)</f>
        <v>0</v>
      </c>
      <c r="R29" s="13">
        <f>SUM('TP1'!R29,'TP2'!R29,MS!R29,'MC + Vân hồ'!R29,YC!R29,PY!R29,BY!R29,SM!R29,SC!R29,TC!R29,ML!R29,QN!R29,XL!R29,'XL (BHTP1)'!R29,'XL (BHTP2)'!R29)</f>
        <v>0</v>
      </c>
      <c r="S29" s="13">
        <f>SUM('TP1'!S29,'TP2'!S29,MS!S29,'MC + Vân hồ'!S29,YC!S29,PY!S29,BY!S29,SM!S29,SC!S29,TC!S29,ML!S29,QN!S29,XL!S29,'XL (BHTP1)'!S29,'XL (BHTP2)'!S29)</f>
        <v>0</v>
      </c>
      <c r="T29" s="13">
        <f>SUM('TP1'!T29,'TP2'!T29,MS!T29,'MC + Vân hồ'!T29,YC!T29,PY!T29,BY!T29,SM!T29,SC!T29,TC!T29,ML!T29,QN!T29,XL!T29,'XL (BHTP1)'!T29,'XL (BHTP2)'!T29)</f>
        <v>1</v>
      </c>
      <c r="U29" s="13">
        <f>SUM('TP1'!U29,'TP2'!U29,MS!U29,'MC + Vân hồ'!U29,YC!U29,PY!U29,BY!U29,SM!U29,SC!U29,TC!U29,ML!U29,QN!U29,XL!U29,'XL (BHTP1)'!U29,'XL (BHTP2)'!U29)</f>
        <v>1</v>
      </c>
      <c r="V29" s="13">
        <f>SUM('TP1'!V29,'TP2'!V29,MS!V29,'MC + Vân hồ'!V29,YC!V29,PY!V29,BY!V29,SM!V29,SC!V29,TC!V29,ML!V29,QN!V29,XL!V29,'XL (BHTP1)'!V29,'XL (BHTP2)'!V29)</f>
        <v>0</v>
      </c>
      <c r="W29" s="13">
        <f>SUM('TP1'!W29,'TP2'!W29,MS!W29,'MC + Vân hồ'!W29,YC!W29,PY!W29,BY!W29,SM!W29,SC!W29,TC!W29,ML!W29,QN!W29,XL!W29,'XL (BHTP1)'!W29,'XL (BHTP2)'!W29)</f>
        <v>0</v>
      </c>
      <c r="X29" s="13">
        <f>SUM('TP1'!X29,'TP2'!X29,MS!X29,'MC + Vân hồ'!X29,YC!X29,PY!X29,BY!X29,SM!X29,SC!X29,TC!X29,ML!X29,QN!X29,XL!X29,'XL (BHTP1)'!X29,'XL (BHTP2)'!X29)</f>
        <v>0</v>
      </c>
      <c r="Y29" s="13">
        <f>SUM('TP1'!Y29,'TP2'!Y29,MS!Y29,'MC + Vân hồ'!Y29,YC!Y29,PY!Y29,BY!Y29,SM!Y29,SC!Y29,TC!Y29,ML!Y29,QN!Y29,XL!Y29,'XL (BHTP1)'!Y29,'XL (BHTP2)'!Y29)</f>
        <v>0</v>
      </c>
      <c r="Z29" s="13">
        <f>SUM('TP1'!Z29,'TP2'!Z29,MS!Z29,'MC + Vân hồ'!Z29,YC!Z29,PY!Z29,BY!Z29,SM!Z29,SC!Z29,TC!Z29,ML!Z29,QN!Z29,XL!Z29,'XL (BHTP1)'!Z29,'XL (BHTP2)'!Z29)</f>
        <v>0</v>
      </c>
      <c r="AA29" s="13">
        <f>SUM('TP1'!AA29,'TP2'!AA29,MS!AA29,'MC + Vân hồ'!AA29,YC!AA29,PY!AA29,BY!AA29,SM!AA29,SC!AA29,TC!AA29,ML!AA29,QN!AA29,XL!AA29,'XL (BHTP1)'!AA29,'XL (BHTP2)'!AA29)</f>
        <v>3</v>
      </c>
      <c r="AB29" s="13"/>
      <c r="AC29" s="13"/>
      <c r="AD29" s="13"/>
      <c r="AE29" s="13"/>
      <c r="AF29" s="13"/>
      <c r="AG29" s="13"/>
      <c r="AH29" s="13">
        <f>SUM('TP1'!AH29,'TP2'!AH29,MS!AH29,'MC + Vân hồ'!AH29,YC!AH29,PY!AH29,BY!AH29,SM!AH29,SC!AH29,TC!AH29,ML!AH29,QN!AH29,XL!AH29,'XL (BHTP1)'!AH29,'XL (BHTP2)'!AH29)</f>
        <v>4</v>
      </c>
      <c r="AI29" s="13"/>
      <c r="AJ29" s="13"/>
      <c r="AK29" s="13"/>
      <c r="AL29" s="13"/>
      <c r="AM29" s="13"/>
      <c r="AN29" s="13"/>
      <c r="AO29" s="13">
        <f>SUM('TP1'!AO29,'TP2'!AO29,MS!AO29,'MC + Vân hồ'!AO29,YC!AO29,PY!AO29,BY!AO29,SM!AO29,SC!AO29,TC!AO29,ML!AO29,QN!AO29,XL!AO29,'XL (BHTP1)'!AO29,'XL (BHTP2)'!AO29)</f>
        <v>4</v>
      </c>
      <c r="AP29" s="13"/>
      <c r="AQ29" s="13"/>
      <c r="AR29" s="13"/>
      <c r="AS29" s="13"/>
      <c r="AT29" s="13"/>
      <c r="AU29" s="13"/>
      <c r="AV29" s="13">
        <f>SUM('TP1'!AV29,'TP2'!AV29,MS!AV29,'MC + Vân hồ'!AV29,YC!AV29,PY!AV29,BY!AV29,SM!AV29,SC!AV29,TC!AV29,ML!AV29,QN!AV29,XL!AV29,'XL (BHTP1)'!AV29,'XL (BHTP2)'!AV29)</f>
        <v>2</v>
      </c>
      <c r="AW29" s="13"/>
      <c r="AX29" s="13"/>
      <c r="AY29" s="13"/>
      <c r="AZ29" s="13"/>
      <c r="BA29" s="13"/>
      <c r="BB29" s="13"/>
      <c r="BC29" s="13">
        <f>SUM('TP1'!BC29,'TP2'!BC29,MS!BC29,'MC + Vân hồ'!BC29,YC!BC29,PY!BC29,BY!BC29,SM!BC29,SC!BC29,TC!BC29,ML!BC29,QN!BC29,XL!BC29,'XL (BHTP1)'!BC29,'XL (BHTP2)'!BC29)</f>
        <v>0</v>
      </c>
      <c r="BD29" s="13"/>
      <c r="BE29" s="13"/>
      <c r="BF29" s="13"/>
      <c r="BG29" s="13"/>
      <c r="BH29" s="13"/>
      <c r="BI29" s="13"/>
      <c r="BJ29" s="13">
        <f>SUM('TP1'!BJ29,'TP2'!BJ29,MS!BJ29,'MC + Vân hồ'!BJ29,YC!BJ29,PY!BJ29,BY!BJ29,SM!BJ29,SC!BJ29,TC!BJ29,ML!BJ29,QN!BJ29,XL!BJ29,'XL (BHTP1)'!BJ29,'XL (BHTP2)'!BJ29)</f>
        <v>0</v>
      </c>
      <c r="BK29" s="13"/>
      <c r="BL29" s="13"/>
      <c r="BM29" s="13"/>
      <c r="BN29" s="13"/>
      <c r="BO29" s="13"/>
      <c r="BP29" s="13"/>
      <c r="BQ29" s="13">
        <f>SUM('TP1'!BQ29,'TP2'!BQ29,MS!BQ29,'MC + Vân hồ'!BQ29,YC!BQ29,PY!BQ29,BY!BQ29,SM!BQ29,SC!BQ29,TC!BQ29,ML!BQ29,QN!BQ29,XL!BQ29,'XL (BHTP1)'!BQ29,'XL (BHTP2)'!BQ29)</f>
        <v>0</v>
      </c>
      <c r="BR29" s="13"/>
      <c r="BS29" s="13"/>
      <c r="BT29" s="13"/>
      <c r="BU29" s="13"/>
      <c r="BV29" s="13"/>
      <c r="BW29" s="13"/>
      <c r="BX29" s="13">
        <f>SUM('TP1'!BX29,'TP2'!BX29,MS!BX29,'MC + Vân hồ'!BX29,YC!BX29,PY!BX29,BY!BX29,SM!BX29,SC!BX29,TC!BX29,ML!BX29,QN!BX29,XL!BX29,'XL (BHTP1)'!BX29,'XL (BHTP2)'!BX29)</f>
        <v>0</v>
      </c>
      <c r="BY29" s="13"/>
      <c r="BZ29" s="13"/>
      <c r="CA29" s="13"/>
      <c r="CB29" s="13"/>
      <c r="CC29" s="13"/>
      <c r="CD29" s="13"/>
      <c r="CE29" s="13">
        <f>SUM('TP1'!CE29,'TP2'!CE29,MS!CE29,'MC + Vân hồ'!CE29,YC!CE29,PY!CE29,BY!CE29,SM!CE29,SC!CE29,TC!CE29,ML!CE29,QN!CE29,XL!CE29,'XL (BHTP1)'!CE29,'XL (BHTP2)'!CE29)</f>
        <v>0</v>
      </c>
      <c r="CF29" s="13"/>
      <c r="CG29" s="13"/>
      <c r="CH29" s="13"/>
      <c r="CI29" s="13"/>
      <c r="CJ29" s="13"/>
      <c r="CK29" s="75"/>
      <c r="CL29" s="73">
        <f t="shared" si="24"/>
        <v>15</v>
      </c>
      <c r="CM29" s="75"/>
      <c r="CN29" s="75"/>
      <c r="CO29" s="75"/>
      <c r="CP29" s="75"/>
      <c r="CQ29" s="75"/>
      <c r="CR29" s="76"/>
      <c r="CS29" s="76"/>
    </row>
    <row r="30" ht="15.75" customHeight="1">
      <c r="B30" s="39"/>
      <c r="C30" s="39"/>
      <c r="D30" s="39"/>
      <c r="E30" s="77">
        <f>SUM(E6:E27)</f>
        <v>0</v>
      </c>
      <c r="F30" s="77">
        <f>SUM(F6:F29)</f>
        <v>1119</v>
      </c>
      <c r="G30" s="77">
        <f t="shared" ref="G30:Z30" si="25">SUM(G6:G27)</f>
        <v>816</v>
      </c>
      <c r="H30" s="77">
        <f t="shared" si="25"/>
        <v>0</v>
      </c>
      <c r="I30" s="77">
        <f t="shared" si="25"/>
        <v>0</v>
      </c>
      <c r="J30" s="77">
        <f t="shared" si="25"/>
        <v>0</v>
      </c>
      <c r="K30" s="77">
        <f t="shared" si="25"/>
        <v>0</v>
      </c>
      <c r="L30" s="77">
        <f t="shared" si="25"/>
        <v>0</v>
      </c>
      <c r="M30" s="77">
        <f t="shared" si="25"/>
        <v>984</v>
      </c>
      <c r="N30" s="77">
        <f t="shared" si="25"/>
        <v>473</v>
      </c>
      <c r="O30" s="77">
        <f t="shared" si="25"/>
        <v>0</v>
      </c>
      <c r="P30" s="77">
        <f t="shared" si="25"/>
        <v>0</v>
      </c>
      <c r="Q30" s="77">
        <f t="shared" si="25"/>
        <v>0</v>
      </c>
      <c r="R30" s="77">
        <f t="shared" si="25"/>
        <v>0</v>
      </c>
      <c r="S30" s="77">
        <f t="shared" si="25"/>
        <v>0</v>
      </c>
      <c r="T30" s="77">
        <f t="shared" si="25"/>
        <v>1233</v>
      </c>
      <c r="U30" s="77">
        <f t="shared" si="25"/>
        <v>389</v>
      </c>
      <c r="V30" s="77">
        <f t="shared" si="25"/>
        <v>0</v>
      </c>
      <c r="W30" s="77">
        <f t="shared" si="25"/>
        <v>0</v>
      </c>
      <c r="X30" s="77">
        <f t="shared" si="25"/>
        <v>0</v>
      </c>
      <c r="Y30" s="77">
        <f t="shared" si="25"/>
        <v>0</v>
      </c>
      <c r="Z30" s="77">
        <f t="shared" si="25"/>
        <v>0</v>
      </c>
      <c r="AA30" s="77">
        <f>SUM(AA6:AA29)</f>
        <v>1333</v>
      </c>
      <c r="AB30" s="77">
        <f t="shared" ref="AB30:AG30" si="26">SUM(AB6:AB27)</f>
        <v>1308</v>
      </c>
      <c r="AC30" s="77">
        <f t="shared" si="26"/>
        <v>0</v>
      </c>
      <c r="AD30" s="77">
        <f t="shared" si="26"/>
        <v>0</v>
      </c>
      <c r="AE30" s="77">
        <f t="shared" si="26"/>
        <v>0</v>
      </c>
      <c r="AF30" s="77">
        <f t="shared" si="26"/>
        <v>0</v>
      </c>
      <c r="AG30" s="77">
        <f t="shared" si="26"/>
        <v>0</v>
      </c>
      <c r="AH30" s="77">
        <f>SUM(AH6:AH29)</f>
        <v>521</v>
      </c>
      <c r="AI30" s="77">
        <f t="shared" ref="AI30:AN30" si="27">SUM(AI6:AI27)</f>
        <v>485</v>
      </c>
      <c r="AJ30" s="77">
        <f t="shared" si="27"/>
        <v>0</v>
      </c>
      <c r="AK30" s="77">
        <f t="shared" si="27"/>
        <v>0</v>
      </c>
      <c r="AL30" s="77">
        <f t="shared" si="27"/>
        <v>0</v>
      </c>
      <c r="AM30" s="77">
        <f t="shared" si="27"/>
        <v>0</v>
      </c>
      <c r="AN30" s="77">
        <f t="shared" si="27"/>
        <v>0</v>
      </c>
      <c r="AO30" s="77">
        <f>SUM(AO6:AO29)</f>
        <v>759</v>
      </c>
      <c r="AP30" s="77">
        <f t="shared" ref="AP30:AU30" si="28">SUM(AP6:AP27)</f>
        <v>258</v>
      </c>
      <c r="AQ30" s="77">
        <f t="shared" si="28"/>
        <v>0</v>
      </c>
      <c r="AR30" s="77">
        <f t="shared" si="28"/>
        <v>0</v>
      </c>
      <c r="AS30" s="77">
        <f t="shared" si="28"/>
        <v>0</v>
      </c>
      <c r="AT30" s="77">
        <f t="shared" si="28"/>
        <v>0</v>
      </c>
      <c r="AU30" s="77">
        <f t="shared" si="28"/>
        <v>0</v>
      </c>
      <c r="AV30" s="77">
        <f>SUM(AV6:AV29)</f>
        <v>804</v>
      </c>
      <c r="AW30" s="77">
        <f t="shared" ref="AW30:BB30" si="29">SUM(AW6:AW27)</f>
        <v>507</v>
      </c>
      <c r="AX30" s="77" t="str">
        <f t="shared" si="29"/>
        <v>#REF!</v>
      </c>
      <c r="AY30" s="77">
        <f t="shared" si="29"/>
        <v>0</v>
      </c>
      <c r="AZ30" s="77">
        <f t="shared" si="29"/>
        <v>0</v>
      </c>
      <c r="BA30" s="77">
        <f t="shared" si="29"/>
        <v>0</v>
      </c>
      <c r="BB30" s="77">
        <f t="shared" si="29"/>
        <v>0</v>
      </c>
      <c r="BC30" s="77">
        <f>SUM(BC6:BC29)</f>
        <v>865</v>
      </c>
      <c r="BD30" s="77">
        <f t="shared" ref="BD30:BI30" si="30">SUM(BD6:BD27)</f>
        <v>626</v>
      </c>
      <c r="BE30" s="77">
        <f t="shared" si="30"/>
        <v>0</v>
      </c>
      <c r="BF30" s="77">
        <f t="shared" si="30"/>
        <v>0</v>
      </c>
      <c r="BG30" s="77">
        <f t="shared" si="30"/>
        <v>0</v>
      </c>
      <c r="BH30" s="77">
        <f t="shared" si="30"/>
        <v>0</v>
      </c>
      <c r="BI30" s="77">
        <f t="shared" si="30"/>
        <v>0</v>
      </c>
      <c r="BJ30" s="77">
        <f>SUM(BJ6:BJ29)</f>
        <v>700</v>
      </c>
      <c r="BK30" s="77">
        <f t="shared" ref="BK30:BP30" si="31">SUM(BK6:BK27)</f>
        <v>0</v>
      </c>
      <c r="BL30" s="77">
        <f t="shared" si="31"/>
        <v>0</v>
      </c>
      <c r="BM30" s="77">
        <f t="shared" si="31"/>
        <v>0</v>
      </c>
      <c r="BN30" s="77">
        <f t="shared" si="31"/>
        <v>0</v>
      </c>
      <c r="BO30" s="77">
        <f t="shared" si="31"/>
        <v>0</v>
      </c>
      <c r="BP30" s="77">
        <f t="shared" si="31"/>
        <v>0</v>
      </c>
      <c r="BQ30" s="77">
        <f>SUM(BQ6:BQ29)</f>
        <v>0</v>
      </c>
      <c r="BR30" s="77">
        <f t="shared" ref="BR30:BW30" si="32">SUM(BR6:BR27)</f>
        <v>0</v>
      </c>
      <c r="BS30" s="77">
        <f t="shared" si="32"/>
        <v>0</v>
      </c>
      <c r="BT30" s="77">
        <f t="shared" si="32"/>
        <v>0</v>
      </c>
      <c r="BU30" s="77">
        <f t="shared" si="32"/>
        <v>0</v>
      </c>
      <c r="BV30" s="77">
        <f t="shared" si="32"/>
        <v>0</v>
      </c>
      <c r="BW30" s="77">
        <f t="shared" si="32"/>
        <v>0</v>
      </c>
      <c r="BX30" s="77">
        <f>SUM(BX6:BX29)</f>
        <v>0</v>
      </c>
      <c r="BY30" s="77">
        <f t="shared" ref="BY30:CD30" si="33">SUM(BY6:BY27)</f>
        <v>0</v>
      </c>
      <c r="BZ30" s="77">
        <f t="shared" si="33"/>
        <v>0</v>
      </c>
      <c r="CA30" s="77">
        <f t="shared" si="33"/>
        <v>0</v>
      </c>
      <c r="CB30" s="77">
        <f t="shared" si="33"/>
        <v>0</v>
      </c>
      <c r="CC30" s="77">
        <f t="shared" si="33"/>
        <v>0</v>
      </c>
      <c r="CD30" s="77">
        <f t="shared" si="33"/>
        <v>0</v>
      </c>
      <c r="CE30" s="77">
        <f>SUM(CE6:CE29)</f>
        <v>0</v>
      </c>
      <c r="CF30" s="77">
        <f t="shared" ref="CF30:CK30" si="34">SUM(CF6:CF27)</f>
        <v>0</v>
      </c>
      <c r="CG30" s="77">
        <f t="shared" si="34"/>
        <v>0</v>
      </c>
      <c r="CH30" s="77">
        <f t="shared" si="34"/>
        <v>0</v>
      </c>
      <c r="CI30" s="77">
        <f t="shared" si="34"/>
        <v>0</v>
      </c>
      <c r="CJ30" s="77">
        <f t="shared" si="34"/>
        <v>0</v>
      </c>
      <c r="CK30" s="78">
        <f t="shared" si="34"/>
        <v>0</v>
      </c>
      <c r="CL30" s="78">
        <f>SUM(CL6:CL29)</f>
        <v>8321</v>
      </c>
      <c r="CM30" s="78">
        <f t="shared" ref="CM30:CS30" si="35">SUM(CM6:CM27)</f>
        <v>4862</v>
      </c>
      <c r="CN30" s="78" t="str">
        <f t="shared" si="35"/>
        <v>#REF!</v>
      </c>
      <c r="CO30" s="78">
        <f t="shared" si="35"/>
        <v>0</v>
      </c>
      <c r="CP30" s="78">
        <f t="shared" si="35"/>
        <v>0</v>
      </c>
      <c r="CQ30" s="78">
        <f t="shared" si="35"/>
        <v>0</v>
      </c>
      <c r="CR30" s="78">
        <f t="shared" si="35"/>
        <v>0</v>
      </c>
      <c r="CS30" s="78" t="str">
        <f t="shared" si="35"/>
        <v>#REF!</v>
      </c>
    </row>
    <row r="31" ht="15.75" customHeight="1"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CH31" s="63"/>
      <c r="CR31" s="40"/>
      <c r="CS31" s="4"/>
    </row>
    <row r="32" ht="15.75" customHeight="1"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CH32" s="63"/>
      <c r="CO32" s="17"/>
      <c r="CR32" s="17"/>
      <c r="CS32" s="4"/>
    </row>
    <row r="33" ht="15.75" customHeight="1"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CR33" s="17"/>
      <c r="CS33" s="4"/>
    </row>
    <row r="34" ht="15.75" customHeight="1"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CR34" s="17"/>
      <c r="CS34" s="4"/>
    </row>
    <row r="35" ht="15.75" customHeight="1"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CR35" s="40"/>
      <c r="CS35" s="4"/>
    </row>
    <row r="36" ht="15.75" customHeight="1"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CR36" s="40"/>
      <c r="CS36" s="4"/>
    </row>
    <row r="37" ht="15.75" customHeight="1"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CR37" s="40"/>
      <c r="CS37" s="4"/>
    </row>
    <row r="38" ht="15.75" customHeight="1"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CR38" s="40"/>
      <c r="CS38" s="4"/>
    </row>
    <row r="39" ht="15.75" customHeight="1"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CR39" s="40"/>
      <c r="CS39" s="4"/>
    </row>
    <row r="40" ht="15.75" customHeight="1"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CR40" s="40"/>
      <c r="CS40" s="4"/>
    </row>
    <row r="41" ht="15.75" customHeight="1"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CR41" s="40"/>
      <c r="CS41" s="4"/>
    </row>
    <row r="42" ht="15.75" customHeight="1"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CR42" s="40"/>
      <c r="CS42" s="4"/>
    </row>
    <row r="43" ht="15.75" customHeight="1"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CR43" s="40"/>
      <c r="CS43" s="4"/>
    </row>
    <row r="44" ht="15.75" customHeight="1"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CR44" s="40"/>
      <c r="CS44" s="4"/>
    </row>
    <row r="45" ht="15.75" customHeight="1"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CR45" s="40"/>
      <c r="CS45" s="4"/>
    </row>
    <row r="46" ht="15.75" customHeight="1"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CR46" s="40"/>
      <c r="CS46" s="4"/>
    </row>
    <row r="47" ht="15.75" customHeight="1"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CR47" s="40"/>
      <c r="CS47" s="4"/>
    </row>
    <row r="48" ht="15.75" customHeight="1"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CR48" s="40"/>
      <c r="CS48" s="4"/>
    </row>
    <row r="49" ht="15.75" customHeight="1"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CR49" s="40"/>
      <c r="CS49" s="4"/>
    </row>
    <row r="50" ht="15.75" customHeight="1"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CR50" s="40"/>
      <c r="CS50" s="4"/>
    </row>
    <row r="51" ht="15.75" customHeight="1"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CR51" s="40"/>
      <c r="CS51" s="4"/>
    </row>
    <row r="52" ht="15.75" customHeight="1"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CR52" s="40"/>
      <c r="CS52" s="4"/>
    </row>
    <row r="53" ht="15.75" customHeight="1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CR53" s="40"/>
      <c r="CS53" s="4"/>
    </row>
    <row r="54" ht="15.75" customHeight="1"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CR54" s="40"/>
      <c r="CS54" s="4"/>
    </row>
    <row r="55" ht="15.75" customHeight="1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CR55" s="40"/>
      <c r="CS55" s="4"/>
    </row>
    <row r="56" ht="15.75" customHeight="1"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CR56" s="40"/>
      <c r="CS56" s="4"/>
    </row>
    <row r="57" ht="15.75" customHeight="1"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CR57" s="40"/>
      <c r="CS57" s="4"/>
    </row>
    <row r="58" ht="15.75" customHeight="1"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CR58" s="40"/>
      <c r="CS58" s="4"/>
    </row>
    <row r="59" ht="15.75" customHeight="1"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CR59" s="40"/>
      <c r="CS59" s="4"/>
    </row>
    <row r="60" ht="15.75" customHeight="1"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CR60" s="40"/>
      <c r="CS60" s="4"/>
    </row>
    <row r="61" ht="15.75" customHeight="1"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CR61" s="40"/>
      <c r="CS61" s="4"/>
    </row>
    <row r="62" ht="15.75" customHeight="1"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CR62" s="40"/>
      <c r="CS62" s="4"/>
    </row>
    <row r="63" ht="15.75" customHeight="1"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CR63" s="40"/>
      <c r="CS63" s="4"/>
    </row>
    <row r="64" ht="15.75" customHeight="1"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CR64" s="40"/>
      <c r="CS64" s="4"/>
    </row>
    <row r="65" ht="15.75" customHeight="1"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CR65" s="40"/>
      <c r="CS65" s="4"/>
    </row>
    <row r="66" ht="15.75" customHeight="1"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CR66" s="40"/>
      <c r="CS66" s="4"/>
    </row>
    <row r="67" ht="15.75" customHeight="1"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CR67" s="40"/>
      <c r="CS67" s="4"/>
    </row>
    <row r="68" ht="15.75" customHeight="1"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CR68" s="40"/>
      <c r="CS68" s="4"/>
    </row>
    <row r="69" ht="15.75" customHeight="1"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CR69" s="40"/>
      <c r="CS69" s="4"/>
    </row>
    <row r="70" ht="15.75" customHeight="1"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CR70" s="40"/>
      <c r="CS70" s="4"/>
    </row>
    <row r="71" ht="15.75" customHeight="1"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CR71" s="40"/>
      <c r="CS71" s="4"/>
    </row>
    <row r="72" ht="15.75" customHeight="1"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CR72" s="40"/>
      <c r="CS72" s="4"/>
    </row>
    <row r="73" ht="15.75" customHeight="1"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CR73" s="40"/>
      <c r="CS73" s="4"/>
    </row>
    <row r="74" ht="15.75" customHeight="1"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CR74" s="40"/>
      <c r="CS74" s="4"/>
    </row>
    <row r="75" ht="15.75" customHeight="1"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CR75" s="40"/>
      <c r="CS75" s="4"/>
    </row>
    <row r="76" ht="15.75" customHeight="1"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CR76" s="40"/>
      <c r="CS76" s="4"/>
    </row>
    <row r="77" ht="15.75" customHeight="1"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CR77" s="40"/>
      <c r="CS77" s="4"/>
    </row>
    <row r="78" ht="15.75" customHeight="1"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CR78" s="40"/>
      <c r="CS78" s="4"/>
    </row>
    <row r="79" ht="15.75" customHeight="1"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CR79" s="40"/>
      <c r="CS79" s="4"/>
    </row>
    <row r="80" ht="15.75" customHeight="1"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CR80" s="40"/>
      <c r="CS80" s="4"/>
    </row>
    <row r="81" ht="15.75" customHeight="1"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CR81" s="40"/>
      <c r="CS81" s="4"/>
    </row>
    <row r="82" ht="15.75" customHeight="1"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CR82" s="40"/>
      <c r="CS82" s="4"/>
    </row>
    <row r="83" ht="15.75" customHeight="1"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CR83" s="40"/>
      <c r="CS83" s="4"/>
    </row>
    <row r="84" ht="15.75" customHeight="1"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CR84" s="40"/>
      <c r="CS84" s="4"/>
    </row>
    <row r="85" ht="15.75" customHeight="1"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CR85" s="40"/>
      <c r="CS85" s="4"/>
    </row>
    <row r="86" ht="15.75" customHeight="1"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CR86" s="40"/>
      <c r="CS86" s="4"/>
    </row>
    <row r="87" ht="15.75" customHeight="1"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CR87" s="40"/>
      <c r="CS87" s="4"/>
    </row>
    <row r="88" ht="15.75" customHeight="1"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CR88" s="40"/>
      <c r="CS88" s="4"/>
    </row>
    <row r="89" ht="15.75" customHeight="1"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CR89" s="40"/>
      <c r="CS89" s="4"/>
    </row>
    <row r="90" ht="15.75" customHeight="1"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CR90" s="40"/>
      <c r="CS90" s="4"/>
    </row>
    <row r="91" ht="15.75" customHeight="1"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CR91" s="40"/>
      <c r="CS91" s="4"/>
    </row>
    <row r="92" ht="15.75" customHeight="1"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CR92" s="40"/>
      <c r="CS92" s="4"/>
    </row>
    <row r="93" ht="15.75" customHeight="1"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CR93" s="40"/>
      <c r="CS93" s="4"/>
    </row>
    <row r="94" ht="15.75" customHeight="1"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CR94" s="40"/>
      <c r="CS94" s="4"/>
    </row>
    <row r="95" ht="15.75" customHeight="1"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CR95" s="40"/>
      <c r="CS95" s="4"/>
    </row>
    <row r="96" ht="15.75" customHeight="1"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CR96" s="40"/>
      <c r="CS96" s="4"/>
    </row>
    <row r="97" ht="15.75" customHeight="1"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CR97" s="40"/>
      <c r="CS97" s="4"/>
    </row>
    <row r="98" ht="15.75" customHeight="1"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CR98" s="40"/>
      <c r="CS98" s="4"/>
    </row>
    <row r="99" ht="15.75" customHeight="1"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CR99" s="40"/>
      <c r="CS99" s="4"/>
    </row>
    <row r="100" ht="15.75" customHeight="1"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CR100" s="40"/>
      <c r="CS100" s="4"/>
    </row>
    <row r="101" ht="15.75" customHeight="1"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CR101" s="40"/>
      <c r="CS101" s="4"/>
    </row>
    <row r="102" ht="15.75" customHeight="1"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CR102" s="40"/>
      <c r="CS102" s="4"/>
    </row>
    <row r="103" ht="15.75" customHeight="1"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CR103" s="40"/>
      <c r="CS103" s="4"/>
    </row>
    <row r="104" ht="15.75" customHeight="1"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CR104" s="40"/>
      <c r="CS104" s="4"/>
    </row>
    <row r="105" ht="15.75" customHeight="1"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CR105" s="40"/>
      <c r="CS105" s="4"/>
    </row>
    <row r="106" ht="15.75" customHeight="1"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CR106" s="40"/>
      <c r="CS106" s="4"/>
    </row>
    <row r="107" ht="15.75" customHeight="1"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CR107" s="40"/>
      <c r="CS107" s="4"/>
    </row>
    <row r="108" ht="15.75" customHeight="1"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CR108" s="40"/>
      <c r="CS108" s="4"/>
    </row>
    <row r="109" ht="15.75" customHeight="1"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CR109" s="40"/>
      <c r="CS109" s="4"/>
    </row>
    <row r="110" ht="15.75" customHeight="1"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CR110" s="40"/>
      <c r="CS110" s="4"/>
    </row>
    <row r="111" ht="15.75" customHeight="1"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CR111" s="40"/>
      <c r="CS111" s="4"/>
    </row>
    <row r="112" ht="15.75" customHeight="1"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CR112" s="40"/>
      <c r="CS112" s="4"/>
    </row>
    <row r="113" ht="15.75" customHeight="1"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CR113" s="40"/>
      <c r="CS113" s="4"/>
    </row>
    <row r="114" ht="15.75" customHeight="1"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CR114" s="40"/>
      <c r="CS114" s="4"/>
    </row>
    <row r="115" ht="15.75" customHeight="1"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CR115" s="40"/>
      <c r="CS115" s="4"/>
    </row>
    <row r="116" ht="15.75" customHeight="1"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CR116" s="40"/>
      <c r="CS116" s="4"/>
    </row>
    <row r="117" ht="15.75" customHeight="1"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CR117" s="40"/>
      <c r="CS117" s="4"/>
    </row>
    <row r="118" ht="15.75" customHeight="1"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CR118" s="40"/>
      <c r="CS118" s="4"/>
    </row>
    <row r="119" ht="15.75" customHeight="1"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CR119" s="40"/>
      <c r="CS119" s="4"/>
    </row>
    <row r="120" ht="15.75" customHeight="1"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CR120" s="40"/>
      <c r="CS120" s="4"/>
    </row>
    <row r="121" ht="15.75" customHeight="1"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CR121" s="40"/>
      <c r="CS121" s="4"/>
    </row>
    <row r="122" ht="15.75" customHeight="1"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CR122" s="40"/>
      <c r="CS122" s="4"/>
    </row>
    <row r="123" ht="15.75" customHeight="1"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CR123" s="40"/>
      <c r="CS123" s="4"/>
    </row>
    <row r="124" ht="15.75" customHeight="1"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CR124" s="40"/>
      <c r="CS124" s="4"/>
    </row>
    <row r="125" ht="15.75" customHeight="1"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CR125" s="40"/>
      <c r="CS125" s="4"/>
    </row>
    <row r="126" ht="15.75" customHeight="1"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CR126" s="40"/>
      <c r="CS126" s="4"/>
    </row>
    <row r="127" ht="15.75" customHeight="1"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CR127" s="40"/>
      <c r="CS127" s="4"/>
    </row>
    <row r="128" ht="15.75" customHeight="1"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CR128" s="40"/>
      <c r="CS128" s="4"/>
    </row>
    <row r="129" ht="15.75" customHeight="1"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CR129" s="40"/>
      <c r="CS129" s="4"/>
    </row>
    <row r="130" ht="15.75" customHeight="1"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CR130" s="40"/>
      <c r="CS130" s="4"/>
    </row>
    <row r="131" ht="15.75" customHeight="1"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CR131" s="40"/>
      <c r="CS131" s="4"/>
    </row>
    <row r="132" ht="15.75" customHeight="1"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CR132" s="40"/>
      <c r="CS132" s="4"/>
    </row>
    <row r="133" ht="15.75" customHeight="1"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CR133" s="40"/>
      <c r="CS133" s="4"/>
    </row>
    <row r="134" ht="15.75" customHeight="1"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CR134" s="40"/>
      <c r="CS134" s="4"/>
    </row>
    <row r="135" ht="15.75" customHeight="1"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CR135" s="40"/>
      <c r="CS135" s="4"/>
    </row>
    <row r="136" ht="15.75" customHeight="1"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CR136" s="40"/>
      <c r="CS136" s="4"/>
    </row>
    <row r="137" ht="15.75" customHeight="1"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CR137" s="40"/>
      <c r="CS137" s="4"/>
    </row>
    <row r="138" ht="15.75" customHeight="1"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CR138" s="40"/>
      <c r="CS138" s="4"/>
    </row>
    <row r="139" ht="15.75" customHeight="1"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CR139" s="40"/>
      <c r="CS139" s="4"/>
    </row>
    <row r="140" ht="15.75" customHeight="1"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CR140" s="40"/>
      <c r="CS140" s="4"/>
    </row>
    <row r="141" ht="15.75" customHeight="1"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CR141" s="40"/>
      <c r="CS141" s="4"/>
    </row>
    <row r="142" ht="15.75" customHeight="1"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CR142" s="40"/>
      <c r="CS142" s="4"/>
    </row>
    <row r="143" ht="15.75" customHeight="1"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CR143" s="40"/>
      <c r="CS143" s="4"/>
    </row>
    <row r="144" ht="15.75" customHeight="1"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CR144" s="40"/>
      <c r="CS144" s="4"/>
    </row>
    <row r="145" ht="15.75" customHeight="1"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CR145" s="40"/>
      <c r="CS145" s="4"/>
    </row>
    <row r="146" ht="15.75" customHeight="1"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CR146" s="40"/>
      <c r="CS146" s="4"/>
    </row>
    <row r="147" ht="15.75" customHeight="1"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CR147" s="40"/>
      <c r="CS147" s="4"/>
    </row>
    <row r="148" ht="15.75" customHeight="1"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CR148" s="40"/>
      <c r="CS148" s="4"/>
    </row>
    <row r="149" ht="15.75" customHeight="1"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CR149" s="40"/>
      <c r="CS149" s="4"/>
    </row>
    <row r="150" ht="15.75" customHeight="1"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CR150" s="40"/>
      <c r="CS150" s="4"/>
    </row>
    <row r="151" ht="15.75" customHeight="1"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CR151" s="40"/>
      <c r="CS151" s="4"/>
    </row>
    <row r="152" ht="15.75" customHeight="1"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CR152" s="40"/>
      <c r="CS152" s="4"/>
    </row>
    <row r="153" ht="15.75" customHeight="1"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CR153" s="40"/>
      <c r="CS153" s="4"/>
    </row>
    <row r="154" ht="15.75" customHeight="1"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CR154" s="40"/>
      <c r="CS154" s="4"/>
    </row>
    <row r="155" ht="15.75" customHeight="1"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CR155" s="40"/>
      <c r="CS155" s="4"/>
    </row>
    <row r="156" ht="15.75" customHeight="1"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CR156" s="40"/>
      <c r="CS156" s="4"/>
    </row>
    <row r="157" ht="15.75" customHeight="1"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CR157" s="40"/>
      <c r="CS157" s="4"/>
    </row>
    <row r="158" ht="15.75" customHeight="1"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CR158" s="40"/>
      <c r="CS158" s="4"/>
    </row>
    <row r="159" ht="15.75" customHeight="1"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CR159" s="40"/>
      <c r="CS159" s="4"/>
    </row>
    <row r="160" ht="15.75" customHeight="1"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CR160" s="40"/>
      <c r="CS160" s="4"/>
    </row>
    <row r="161" ht="15.75" customHeight="1"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CR161" s="40"/>
      <c r="CS161" s="4"/>
    </row>
    <row r="162" ht="15.75" customHeight="1"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CR162" s="40"/>
      <c r="CS162" s="4"/>
    </row>
    <row r="163" ht="15.75" customHeight="1"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CR163" s="40"/>
      <c r="CS163" s="4"/>
    </row>
    <row r="164" ht="15.75" customHeight="1"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CR164" s="40"/>
      <c r="CS164" s="4"/>
    </row>
    <row r="165" ht="15.75" customHeight="1"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CR165" s="40"/>
      <c r="CS165" s="4"/>
    </row>
    <row r="166" ht="15.75" customHeight="1"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CR166" s="40"/>
      <c r="CS166" s="4"/>
    </row>
    <row r="167" ht="15.75" customHeight="1"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CR167" s="40"/>
      <c r="CS167" s="4"/>
    </row>
    <row r="168" ht="15.75" customHeight="1"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CR168" s="40"/>
      <c r="CS168" s="4"/>
    </row>
    <row r="169" ht="15.75" customHeight="1"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CR169" s="40"/>
      <c r="CS169" s="4"/>
    </row>
    <row r="170" ht="15.75" customHeight="1"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CR170" s="40"/>
      <c r="CS170" s="4"/>
    </row>
    <row r="171" ht="15.75" customHeight="1"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CR171" s="40"/>
      <c r="CS171" s="4"/>
    </row>
    <row r="172" ht="15.75" customHeight="1"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CR172" s="40"/>
      <c r="CS172" s="4"/>
    </row>
    <row r="173" ht="15.75" customHeight="1"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CR173" s="40"/>
      <c r="CS173" s="4"/>
    </row>
    <row r="174" ht="15.75" customHeight="1"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CR174" s="40"/>
      <c r="CS174" s="4"/>
    </row>
    <row r="175" ht="15.75" customHeight="1"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CR175" s="40"/>
      <c r="CS175" s="4"/>
    </row>
    <row r="176" ht="15.75" customHeight="1"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CR176" s="40"/>
      <c r="CS176" s="4"/>
    </row>
    <row r="177" ht="15.75" customHeight="1"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CR177" s="40"/>
      <c r="CS177" s="4"/>
    </row>
    <row r="178" ht="15.75" customHeight="1"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CR178" s="40"/>
      <c r="CS178" s="4"/>
    </row>
    <row r="179" ht="15.75" customHeight="1"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CR179" s="40"/>
      <c r="CS179" s="4"/>
    </row>
    <row r="180" ht="15.75" customHeight="1"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CR180" s="40"/>
      <c r="CS180" s="4"/>
    </row>
    <row r="181" ht="15.75" customHeight="1"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CR181" s="40"/>
      <c r="CS181" s="4"/>
    </row>
    <row r="182" ht="15.75" customHeight="1"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CR182" s="40"/>
      <c r="CS182" s="4"/>
    </row>
    <row r="183" ht="15.75" customHeight="1"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CR183" s="40"/>
      <c r="CS183" s="4"/>
    </row>
    <row r="184" ht="15.75" customHeight="1"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CR184" s="40"/>
      <c r="CS184" s="4"/>
    </row>
    <row r="185" ht="15.75" customHeight="1"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CR185" s="40"/>
      <c r="CS185" s="4"/>
    </row>
    <row r="186" ht="15.75" customHeight="1"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CR186" s="40"/>
      <c r="CS186" s="4"/>
    </row>
    <row r="187" ht="15.75" customHeight="1"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CR187" s="40"/>
      <c r="CS187" s="4"/>
    </row>
    <row r="188" ht="15.75" customHeight="1"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CR188" s="40"/>
      <c r="CS188" s="4"/>
    </row>
    <row r="189" ht="15.75" customHeight="1"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CR189" s="40"/>
      <c r="CS189" s="4"/>
    </row>
    <row r="190" ht="15.75" customHeight="1"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CR190" s="40"/>
      <c r="CS190" s="4"/>
    </row>
    <row r="191" ht="15.75" customHeight="1"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CR191" s="40"/>
      <c r="CS191" s="4"/>
    </row>
    <row r="192" ht="15.75" customHeight="1"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CR192" s="40"/>
      <c r="CS192" s="4"/>
    </row>
    <row r="193" ht="15.75" customHeight="1"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CR193" s="40"/>
      <c r="CS193" s="4"/>
    </row>
    <row r="194" ht="15.75" customHeight="1"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CR194" s="40"/>
      <c r="CS194" s="4"/>
    </row>
    <row r="195" ht="15.75" customHeight="1"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CR195" s="40"/>
      <c r="CS195" s="4"/>
    </row>
    <row r="196" ht="15.75" customHeight="1"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CR196" s="40"/>
      <c r="CS196" s="4"/>
    </row>
    <row r="197" ht="15.75" customHeight="1"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CR197" s="40"/>
      <c r="CS197" s="4"/>
    </row>
    <row r="198" ht="15.75" customHeight="1"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CR198" s="40"/>
      <c r="CS198" s="4"/>
    </row>
    <row r="199" ht="15.75" customHeight="1"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CR199" s="40"/>
      <c r="CS199" s="4"/>
    </row>
    <row r="200" ht="15.75" customHeight="1"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CR200" s="40"/>
      <c r="CS200" s="4"/>
    </row>
    <row r="201" ht="15.75" customHeight="1"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CR201" s="40"/>
      <c r="CS201" s="4"/>
    </row>
    <row r="202" ht="15.75" customHeight="1"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CR202" s="40"/>
      <c r="CS202" s="4"/>
    </row>
    <row r="203" ht="15.75" customHeight="1"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CR203" s="40"/>
      <c r="CS203" s="4"/>
    </row>
    <row r="204" ht="15.75" customHeight="1"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CR204" s="40"/>
      <c r="CS204" s="4"/>
    </row>
    <row r="205" ht="15.75" customHeight="1"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CR205" s="40"/>
      <c r="CS205" s="4"/>
    </row>
    <row r="206" ht="15.75" customHeight="1"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CR206" s="40"/>
      <c r="CS206" s="4"/>
    </row>
    <row r="207" ht="15.75" customHeight="1"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CR207" s="40"/>
      <c r="CS207" s="4"/>
    </row>
    <row r="208" ht="15.75" customHeight="1"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CR208" s="40"/>
      <c r="CS208" s="4"/>
    </row>
    <row r="209" ht="15.75" customHeight="1"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CR209" s="40"/>
      <c r="CS209" s="4"/>
    </row>
    <row r="210" ht="15.75" customHeight="1"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CR210" s="40"/>
      <c r="CS210" s="4"/>
    </row>
    <row r="211" ht="15.75" customHeight="1"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CR211" s="40"/>
      <c r="CS211" s="4"/>
    </row>
    <row r="212" ht="15.75" customHeight="1"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CR212" s="40"/>
      <c r="CS212" s="4"/>
    </row>
    <row r="213" ht="15.75" customHeight="1"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CR213" s="40"/>
      <c r="CS213" s="4"/>
    </row>
    <row r="214" ht="15.75" customHeight="1"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CR214" s="40"/>
      <c r="CS214" s="4"/>
    </row>
    <row r="215" ht="15.75" customHeight="1"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CR215" s="40"/>
      <c r="CS215" s="4"/>
    </row>
    <row r="216" ht="15.75" customHeight="1"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CR216" s="40"/>
      <c r="CS216" s="4"/>
    </row>
    <row r="217" ht="15.75" customHeight="1"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CR217" s="40"/>
      <c r="CS217" s="4"/>
    </row>
    <row r="218" ht="15.75" customHeight="1"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CR218" s="40"/>
      <c r="CS218" s="4"/>
    </row>
    <row r="219" ht="15.75" customHeight="1"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CR219" s="40"/>
      <c r="CS219" s="4"/>
    </row>
    <row r="220" ht="15.75" customHeight="1"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CR220" s="40"/>
      <c r="CS220" s="4"/>
    </row>
    <row r="221" ht="15.75" customHeight="1"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CR221" s="40"/>
      <c r="CS221" s="4"/>
    </row>
    <row r="222" ht="15.75" customHeight="1"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CR222" s="40"/>
      <c r="CS222" s="4"/>
    </row>
    <row r="223" ht="15.75" customHeight="1"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CR223" s="40"/>
      <c r="CS223" s="4"/>
    </row>
    <row r="224" ht="15.75" customHeight="1"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CR224" s="40"/>
      <c r="CS224" s="4"/>
    </row>
    <row r="225" ht="15.75" customHeight="1"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CR225" s="40"/>
      <c r="CS225" s="4"/>
    </row>
    <row r="226" ht="15.75" customHeight="1"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CR226" s="40"/>
      <c r="CS226" s="4"/>
    </row>
    <row r="227" ht="15.75" customHeight="1"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CR227" s="40"/>
      <c r="CS227" s="4"/>
    </row>
    <row r="228" ht="15.75" customHeight="1"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CR228" s="40"/>
      <c r="CS228" s="4"/>
    </row>
    <row r="229" ht="15.75" customHeight="1"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CR229" s="40"/>
      <c r="CS229" s="4"/>
    </row>
    <row r="230" ht="15.75" customHeight="1"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CR230" s="40"/>
      <c r="CS230" s="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87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S3:Y3"/>
    <mergeCell ref="Z3:AF3"/>
    <mergeCell ref="AG3:AM3"/>
    <mergeCell ref="AN3:AT3"/>
    <mergeCell ref="AU3:BA3"/>
    <mergeCell ref="BB3:BH3"/>
    <mergeCell ref="BI3:BO3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BJ4:BJ5"/>
    <mergeCell ref="BK4:BK5"/>
    <mergeCell ref="BU4:BV4"/>
    <mergeCell ref="BW4:BW5"/>
    <mergeCell ref="CF4:CF5"/>
    <mergeCell ref="CG4:CH4"/>
    <mergeCell ref="CI4:CJ4"/>
    <mergeCell ref="CK4:CK5"/>
    <mergeCell ref="CL4:CL5"/>
    <mergeCell ref="CM4:CM5"/>
    <mergeCell ref="CN4:CO4"/>
    <mergeCell ref="CP4:CQ4"/>
    <mergeCell ref="BP3:BV3"/>
    <mergeCell ref="BW3:CC3"/>
    <mergeCell ref="CD3:CJ3"/>
    <mergeCell ref="CK3:CQ3"/>
    <mergeCell ref="CR3:CR5"/>
    <mergeCell ref="CS3:CS5"/>
    <mergeCell ref="BE4:BF4"/>
    <mergeCell ref="BG4:BH4"/>
    <mergeCell ref="BI4:BI5"/>
    <mergeCell ref="BL4:BM4"/>
    <mergeCell ref="BN4:BO4"/>
    <mergeCell ref="BP4:BP5"/>
    <mergeCell ref="BQ4:BQ5"/>
    <mergeCell ref="BR4:BR5"/>
    <mergeCell ref="BS4:BT4"/>
    <mergeCell ref="BX4:BX5"/>
    <mergeCell ref="BY4:BY5"/>
    <mergeCell ref="BZ4:CA4"/>
    <mergeCell ref="CB4:CC4"/>
    <mergeCell ref="CD4:CD5"/>
    <mergeCell ref="CE4:CE5"/>
    <mergeCell ref="CH31:CJ31"/>
    <mergeCell ref="CH32:CJ32"/>
  </mergeCells>
  <conditionalFormatting sqref="E6:CJ30">
    <cfRule type="cellIs" dxfId="1" priority="1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3"/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3"/>
      <c r="U6" s="13"/>
      <c r="V6" s="13"/>
      <c r="W6" s="13"/>
      <c r="X6" s="13"/>
      <c r="Y6" s="13"/>
      <c r="Z6" s="52"/>
      <c r="AA6" s="52"/>
      <c r="AB6" s="52"/>
      <c r="AC6" s="52"/>
      <c r="AD6" s="52"/>
      <c r="AE6" s="52"/>
      <c r="AF6" s="52"/>
      <c r="AG6" s="13"/>
      <c r="AH6" s="13"/>
      <c r="AI6" s="13"/>
      <c r="AJ6" s="13"/>
      <c r="AK6" s="13"/>
      <c r="AL6" s="13"/>
      <c r="AM6" s="13"/>
      <c r="AN6" s="52"/>
      <c r="AO6" s="52"/>
      <c r="AP6" s="52"/>
      <c r="AQ6" s="52"/>
      <c r="AR6" s="52"/>
      <c r="AS6" s="52"/>
      <c r="AT6" s="52"/>
      <c r="AU6" s="13"/>
      <c r="AV6" s="13"/>
      <c r="AW6" s="13"/>
      <c r="AX6" s="13"/>
      <c r="AY6" s="13"/>
      <c r="AZ6" s="13"/>
      <c r="BA6" s="13"/>
      <c r="BB6" s="52"/>
      <c r="BC6" s="52"/>
      <c r="BD6" s="52"/>
      <c r="BE6" s="52"/>
      <c r="BF6" s="52"/>
      <c r="BG6" s="52"/>
      <c r="BH6" s="52"/>
      <c r="BI6" s="13"/>
      <c r="BJ6" s="13"/>
      <c r="BK6" s="13"/>
      <c r="BL6" s="13"/>
      <c r="BM6" s="13"/>
      <c r="BN6" s="13"/>
      <c r="BO6" s="13"/>
      <c r="BP6" s="52"/>
      <c r="BQ6" s="52"/>
      <c r="BR6" s="52"/>
      <c r="BS6" s="52"/>
      <c r="BT6" s="52"/>
      <c r="BU6" s="52"/>
      <c r="BV6" s="52"/>
      <c r="BW6" s="13"/>
      <c r="BX6" s="13"/>
      <c r="BY6" s="13"/>
      <c r="BZ6" s="13"/>
      <c r="CA6" s="13"/>
      <c r="CB6" s="13"/>
      <c r="CC6" s="13"/>
      <c r="CD6" s="52"/>
      <c r="CE6" s="52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3"/>
      <c r="G7" s="13"/>
      <c r="H7" s="13"/>
      <c r="I7" s="13"/>
      <c r="J7" s="13"/>
      <c r="K7" s="13"/>
      <c r="L7" s="52"/>
      <c r="M7" s="52"/>
      <c r="N7" s="52"/>
      <c r="O7" s="52"/>
      <c r="P7" s="52"/>
      <c r="Q7" s="52"/>
      <c r="R7" s="52"/>
      <c r="S7" s="13"/>
      <c r="T7" s="13"/>
      <c r="U7" s="13"/>
      <c r="V7" s="13"/>
      <c r="W7" s="13"/>
      <c r="X7" s="13"/>
      <c r="Y7" s="13"/>
      <c r="Z7" s="52"/>
      <c r="AA7" s="52"/>
      <c r="AB7" s="52"/>
      <c r="AC7" s="52"/>
      <c r="AD7" s="52"/>
      <c r="AE7" s="52"/>
      <c r="AF7" s="52"/>
      <c r="AG7" s="13"/>
      <c r="AH7" s="13"/>
      <c r="AI7" s="13"/>
      <c r="AJ7" s="13"/>
      <c r="AK7" s="13"/>
      <c r="AL7" s="13"/>
      <c r="AM7" s="13"/>
      <c r="AN7" s="52"/>
      <c r="AO7" s="52"/>
      <c r="AP7" s="52"/>
      <c r="AQ7" s="52"/>
      <c r="AR7" s="52"/>
      <c r="AS7" s="52"/>
      <c r="AT7" s="52"/>
      <c r="AU7" s="13"/>
      <c r="AV7" s="13"/>
      <c r="AW7" s="13"/>
      <c r="AX7" s="13"/>
      <c r="AY7" s="13"/>
      <c r="AZ7" s="13"/>
      <c r="BA7" s="13"/>
      <c r="BB7" s="52"/>
      <c r="BC7" s="52"/>
      <c r="BD7" s="52"/>
      <c r="BE7" s="52"/>
      <c r="BF7" s="52"/>
      <c r="BG7" s="52"/>
      <c r="BH7" s="52"/>
      <c r="BI7" s="13"/>
      <c r="BJ7" s="13"/>
      <c r="BK7" s="13"/>
      <c r="BL7" s="13"/>
      <c r="BM7" s="13"/>
      <c r="BN7" s="13"/>
      <c r="BO7" s="13"/>
      <c r="BP7" s="52"/>
      <c r="BQ7" s="52"/>
      <c r="BR7" s="52"/>
      <c r="BS7" s="52"/>
      <c r="BT7" s="52"/>
      <c r="BU7" s="52"/>
      <c r="BV7" s="52"/>
      <c r="BW7" s="13"/>
      <c r="BX7" s="13"/>
      <c r="BY7" s="13"/>
      <c r="BZ7" s="13"/>
      <c r="CA7" s="13"/>
      <c r="CB7" s="13"/>
      <c r="CC7" s="13"/>
      <c r="CD7" s="52"/>
      <c r="CE7" s="52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0</v>
      </c>
      <c r="CM7" s="56">
        <f t="shared" si="2"/>
        <v>0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2"/>
      <c r="BD8" s="52"/>
      <c r="BE8" s="52"/>
      <c r="BF8" s="52"/>
      <c r="BG8" s="52"/>
      <c r="BH8" s="52"/>
      <c r="BI8" s="13"/>
      <c r="BJ8" s="13"/>
      <c r="BK8" s="13"/>
      <c r="BL8" s="13"/>
      <c r="BM8" s="13"/>
      <c r="BN8" s="13"/>
      <c r="BO8" s="13"/>
      <c r="BP8" s="52"/>
      <c r="BQ8" s="52"/>
      <c r="BR8" s="52"/>
      <c r="BS8" s="52"/>
      <c r="BT8" s="52"/>
      <c r="BU8" s="52"/>
      <c r="BV8" s="52"/>
      <c r="BW8" s="13"/>
      <c r="BX8" s="13"/>
      <c r="BY8" s="13"/>
      <c r="BZ8" s="13"/>
      <c r="CA8" s="13"/>
      <c r="CB8" s="13"/>
      <c r="CC8" s="13"/>
      <c r="CD8" s="52"/>
      <c r="CE8" s="52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2"/>
      <c r="BD9" s="52"/>
      <c r="BE9" s="52"/>
      <c r="BF9" s="52"/>
      <c r="BG9" s="52"/>
      <c r="BH9" s="52"/>
      <c r="BI9" s="13"/>
      <c r="BJ9" s="13"/>
      <c r="BK9" s="13"/>
      <c r="BL9" s="13"/>
      <c r="BM9" s="13"/>
      <c r="BN9" s="13"/>
      <c r="BO9" s="13"/>
      <c r="BP9" s="52"/>
      <c r="BQ9" s="52"/>
      <c r="BR9" s="52"/>
      <c r="BS9" s="52"/>
      <c r="BT9" s="52"/>
      <c r="BU9" s="52"/>
      <c r="BV9" s="52"/>
      <c r="BW9" s="13"/>
      <c r="BX9" s="13"/>
      <c r="BY9" s="13"/>
      <c r="BZ9" s="13"/>
      <c r="CA9" s="13"/>
      <c r="CB9" s="13"/>
      <c r="CC9" s="13"/>
      <c r="CD9" s="52"/>
      <c r="CE9" s="52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2"/>
      <c r="BD10" s="52"/>
      <c r="BE10" s="52"/>
      <c r="BF10" s="52"/>
      <c r="BG10" s="52"/>
      <c r="BH10" s="52"/>
      <c r="BI10" s="13"/>
      <c r="BJ10" s="13"/>
      <c r="BK10" s="13"/>
      <c r="BL10" s="13"/>
      <c r="BM10" s="13"/>
      <c r="BN10" s="13"/>
      <c r="BO10" s="13"/>
      <c r="BP10" s="52"/>
      <c r="BQ10" s="52"/>
      <c r="BR10" s="52"/>
      <c r="BS10" s="52"/>
      <c r="BT10" s="52"/>
      <c r="BU10" s="52"/>
      <c r="BV10" s="52"/>
      <c r="BW10" s="13"/>
      <c r="BX10" s="13"/>
      <c r="BY10" s="13"/>
      <c r="BZ10" s="13"/>
      <c r="CA10" s="13"/>
      <c r="CB10" s="13"/>
      <c r="CC10" s="13"/>
      <c r="CD10" s="52"/>
      <c r="CE10" s="52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3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2"/>
      <c r="BD11" s="52"/>
      <c r="BE11" s="52"/>
      <c r="BF11" s="52"/>
      <c r="BG11" s="52"/>
      <c r="BH11" s="52"/>
      <c r="BI11" s="13"/>
      <c r="BJ11" s="13"/>
      <c r="BK11" s="13"/>
      <c r="BL11" s="13"/>
      <c r="BM11" s="13"/>
      <c r="BN11" s="13"/>
      <c r="BO11" s="13"/>
      <c r="BP11" s="52"/>
      <c r="BQ11" s="52"/>
      <c r="BR11" s="52"/>
      <c r="BS11" s="52"/>
      <c r="BT11" s="52"/>
      <c r="BU11" s="52"/>
      <c r="BV11" s="52"/>
      <c r="BW11" s="13"/>
      <c r="BX11" s="13"/>
      <c r="BY11" s="13"/>
      <c r="BZ11" s="13"/>
      <c r="CA11" s="13"/>
      <c r="CB11" s="13"/>
      <c r="CC11" s="13"/>
      <c r="CD11" s="52"/>
      <c r="CE11" s="52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2"/>
      <c r="BD12" s="52"/>
      <c r="BE12" s="52"/>
      <c r="BF12" s="52"/>
      <c r="BG12" s="52"/>
      <c r="BH12" s="52"/>
      <c r="BI12" s="13"/>
      <c r="BJ12" s="13"/>
      <c r="BK12" s="13"/>
      <c r="BL12" s="13"/>
      <c r="BM12" s="13"/>
      <c r="BN12" s="13"/>
      <c r="BO12" s="13"/>
      <c r="BP12" s="52"/>
      <c r="BQ12" s="52"/>
      <c r="BR12" s="52"/>
      <c r="BS12" s="52"/>
      <c r="BT12" s="52"/>
      <c r="BU12" s="52"/>
      <c r="BV12" s="52"/>
      <c r="BW12" s="13"/>
      <c r="BX12" s="13"/>
      <c r="BY12" s="13"/>
      <c r="BZ12" s="13"/>
      <c r="CA12" s="13"/>
      <c r="CB12" s="13"/>
      <c r="CC12" s="13"/>
      <c r="CD12" s="52"/>
      <c r="CE12" s="52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2"/>
      <c r="BD13" s="52"/>
      <c r="BE13" s="52"/>
      <c r="BF13" s="52"/>
      <c r="BG13" s="52"/>
      <c r="BH13" s="52"/>
      <c r="BI13" s="13"/>
      <c r="BJ13" s="13"/>
      <c r="BK13" s="13"/>
      <c r="BL13" s="13"/>
      <c r="BM13" s="13"/>
      <c r="BN13" s="13"/>
      <c r="BO13" s="13"/>
      <c r="BP13" s="52"/>
      <c r="BQ13" s="52"/>
      <c r="BR13" s="52"/>
      <c r="BS13" s="52"/>
      <c r="BT13" s="52"/>
      <c r="BU13" s="52"/>
      <c r="BV13" s="52"/>
      <c r="BW13" s="13"/>
      <c r="BX13" s="13"/>
      <c r="BY13" s="13"/>
      <c r="BZ13" s="13"/>
      <c r="CA13" s="13"/>
      <c r="CB13" s="13"/>
      <c r="CC13" s="13"/>
      <c r="CD13" s="52"/>
      <c r="CE13" s="52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2"/>
      <c r="BD14" s="52"/>
      <c r="BE14" s="52"/>
      <c r="BF14" s="52"/>
      <c r="BG14" s="52"/>
      <c r="BH14" s="52"/>
      <c r="BI14" s="13"/>
      <c r="BJ14" s="13"/>
      <c r="BK14" s="13"/>
      <c r="BL14" s="13"/>
      <c r="BM14" s="13"/>
      <c r="BN14" s="13"/>
      <c r="BO14" s="13"/>
      <c r="BP14" s="52"/>
      <c r="BQ14" s="52"/>
      <c r="BR14" s="52"/>
      <c r="BS14" s="52"/>
      <c r="BT14" s="52"/>
      <c r="BU14" s="52"/>
      <c r="BV14" s="52"/>
      <c r="BW14" s="13"/>
      <c r="BX14" s="13"/>
      <c r="BY14" s="13"/>
      <c r="BZ14" s="13"/>
      <c r="CA14" s="13"/>
      <c r="CB14" s="13"/>
      <c r="CC14" s="13"/>
      <c r="CD14" s="52"/>
      <c r="CE14" s="52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3"/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2"/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2"/>
      <c r="AP15" s="52"/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2"/>
      <c r="BD15" s="52"/>
      <c r="BE15" s="52"/>
      <c r="BF15" s="52"/>
      <c r="BG15" s="52"/>
      <c r="BH15" s="52"/>
      <c r="BI15" s="13"/>
      <c r="BJ15" s="13"/>
      <c r="BK15" s="13"/>
      <c r="BL15" s="13"/>
      <c r="BM15" s="13"/>
      <c r="BN15" s="13"/>
      <c r="BO15" s="13"/>
      <c r="BP15" s="52"/>
      <c r="BQ15" s="52"/>
      <c r="BR15" s="52"/>
      <c r="BS15" s="52"/>
      <c r="BT15" s="52"/>
      <c r="BU15" s="52"/>
      <c r="BV15" s="52"/>
      <c r="BW15" s="13"/>
      <c r="BX15" s="13"/>
      <c r="BY15" s="13"/>
      <c r="BZ15" s="13"/>
      <c r="CA15" s="13"/>
      <c r="CB15" s="13"/>
      <c r="CC15" s="13"/>
      <c r="CD15" s="52"/>
      <c r="CE15" s="52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0</v>
      </c>
      <c r="CM15" s="56">
        <f t="shared" si="10"/>
        <v>0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3"/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2"/>
      <c r="BD16" s="52"/>
      <c r="BE16" s="52"/>
      <c r="BF16" s="52"/>
      <c r="BG16" s="52"/>
      <c r="BH16" s="52"/>
      <c r="BI16" s="13"/>
      <c r="BJ16" s="13"/>
      <c r="BK16" s="13"/>
      <c r="BL16" s="13"/>
      <c r="BM16" s="13"/>
      <c r="BN16" s="13"/>
      <c r="BO16" s="13"/>
      <c r="BP16" s="52"/>
      <c r="BQ16" s="52"/>
      <c r="BR16" s="52"/>
      <c r="BS16" s="52"/>
      <c r="BT16" s="52"/>
      <c r="BU16" s="52"/>
      <c r="BV16" s="52"/>
      <c r="BW16" s="13"/>
      <c r="BX16" s="13"/>
      <c r="BY16" s="13"/>
      <c r="BZ16" s="13"/>
      <c r="CA16" s="13"/>
      <c r="CB16" s="13"/>
      <c r="CC16" s="13"/>
      <c r="CD16" s="52"/>
      <c r="CE16" s="52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0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2"/>
      <c r="BD17" s="52"/>
      <c r="BE17" s="52"/>
      <c r="BF17" s="52"/>
      <c r="BG17" s="52"/>
      <c r="BH17" s="52"/>
      <c r="BI17" s="13"/>
      <c r="BJ17" s="13"/>
      <c r="BK17" s="13"/>
      <c r="BL17" s="13"/>
      <c r="BM17" s="13"/>
      <c r="BN17" s="13"/>
      <c r="BO17" s="13"/>
      <c r="BP17" s="52"/>
      <c r="BQ17" s="52"/>
      <c r="BR17" s="52"/>
      <c r="BS17" s="52"/>
      <c r="BT17" s="52"/>
      <c r="BU17" s="52"/>
      <c r="BV17" s="52"/>
      <c r="BW17" s="13"/>
      <c r="BX17" s="13"/>
      <c r="BY17" s="13"/>
      <c r="BZ17" s="13"/>
      <c r="CA17" s="13"/>
      <c r="CB17" s="13"/>
      <c r="CC17" s="13"/>
      <c r="CD17" s="52"/>
      <c r="CE17" s="52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2"/>
      <c r="BD18" s="52"/>
      <c r="BE18" s="52"/>
      <c r="BF18" s="52"/>
      <c r="BG18" s="52"/>
      <c r="BH18" s="52"/>
      <c r="BI18" s="13"/>
      <c r="BJ18" s="13"/>
      <c r="BK18" s="13"/>
      <c r="BL18" s="13"/>
      <c r="BM18" s="13"/>
      <c r="BN18" s="13"/>
      <c r="BO18" s="13"/>
      <c r="BP18" s="52"/>
      <c r="BQ18" s="52"/>
      <c r="BR18" s="52"/>
      <c r="BS18" s="52"/>
      <c r="BT18" s="52"/>
      <c r="BU18" s="52"/>
      <c r="BV18" s="52"/>
      <c r="BW18" s="13"/>
      <c r="BX18" s="13"/>
      <c r="BY18" s="13"/>
      <c r="BZ18" s="13"/>
      <c r="CA18" s="13"/>
      <c r="CB18" s="13"/>
      <c r="CC18" s="13"/>
      <c r="CD18" s="52"/>
      <c r="CE18" s="52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2"/>
      <c r="BD19" s="52"/>
      <c r="BE19" s="52"/>
      <c r="BF19" s="52"/>
      <c r="BG19" s="52"/>
      <c r="BH19" s="52"/>
      <c r="BI19" s="13"/>
      <c r="BJ19" s="13"/>
      <c r="BK19" s="13"/>
      <c r="BL19" s="13"/>
      <c r="BM19" s="13"/>
      <c r="BN19" s="13"/>
      <c r="BO19" s="13"/>
      <c r="BP19" s="52"/>
      <c r="BQ19" s="52"/>
      <c r="BR19" s="52"/>
      <c r="BS19" s="52"/>
      <c r="BT19" s="52"/>
      <c r="BU19" s="52"/>
      <c r="BV19" s="52"/>
      <c r="BW19" s="13"/>
      <c r="BX19" s="13"/>
      <c r="BY19" s="13"/>
      <c r="BZ19" s="13"/>
      <c r="CA19" s="13"/>
      <c r="CB19" s="13"/>
      <c r="CC19" s="13"/>
      <c r="CD19" s="52"/>
      <c r="CE19" s="52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2"/>
      <c r="BD20" s="52"/>
      <c r="BE20" s="52"/>
      <c r="BF20" s="52"/>
      <c r="BG20" s="52"/>
      <c r="BH20" s="52"/>
      <c r="BI20" s="13"/>
      <c r="BJ20" s="13"/>
      <c r="BK20" s="13"/>
      <c r="BL20" s="13"/>
      <c r="BM20" s="13"/>
      <c r="BN20" s="13"/>
      <c r="BO20" s="13"/>
      <c r="BP20" s="52"/>
      <c r="BQ20" s="52"/>
      <c r="BR20" s="52"/>
      <c r="BS20" s="52"/>
      <c r="BT20" s="52"/>
      <c r="BU20" s="52"/>
      <c r="BV20" s="52"/>
      <c r="BW20" s="13"/>
      <c r="BX20" s="13"/>
      <c r="BY20" s="13"/>
      <c r="BZ20" s="13"/>
      <c r="CA20" s="13"/>
      <c r="CB20" s="13"/>
      <c r="CC20" s="13"/>
      <c r="CD20" s="52"/>
      <c r="CE20" s="52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2"/>
      <c r="BD21" s="52"/>
      <c r="BE21" s="52"/>
      <c r="BF21" s="52"/>
      <c r="BG21" s="52"/>
      <c r="BH21" s="52"/>
      <c r="BI21" s="13"/>
      <c r="BJ21" s="13"/>
      <c r="BK21" s="13"/>
      <c r="BL21" s="13"/>
      <c r="BM21" s="13"/>
      <c r="BN21" s="13"/>
      <c r="BO21" s="13"/>
      <c r="BP21" s="52"/>
      <c r="BQ21" s="52"/>
      <c r="BR21" s="52"/>
      <c r="BS21" s="52"/>
      <c r="BT21" s="52"/>
      <c r="BU21" s="52"/>
      <c r="BV21" s="52"/>
      <c r="BW21" s="13"/>
      <c r="BX21" s="13"/>
      <c r="BY21" s="13"/>
      <c r="BZ21" s="13"/>
      <c r="CA21" s="13"/>
      <c r="CB21" s="13"/>
      <c r="CC21" s="13"/>
      <c r="CD21" s="52"/>
      <c r="CE21" s="52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2"/>
      <c r="BD22" s="52"/>
      <c r="BE22" s="52"/>
      <c r="BF22" s="52"/>
      <c r="BG22" s="52"/>
      <c r="BH22" s="52"/>
      <c r="BI22" s="13"/>
      <c r="BJ22" s="13"/>
      <c r="BK22" s="13"/>
      <c r="BL22" s="13"/>
      <c r="BM22" s="13"/>
      <c r="BN22" s="13"/>
      <c r="BO22" s="13"/>
      <c r="BP22" s="52"/>
      <c r="BQ22" s="52"/>
      <c r="BR22" s="52"/>
      <c r="BS22" s="52"/>
      <c r="BT22" s="52"/>
      <c r="BU22" s="52"/>
      <c r="BV22" s="52"/>
      <c r="BW22" s="13"/>
      <c r="BX22" s="13"/>
      <c r="BY22" s="13"/>
      <c r="BZ22" s="13"/>
      <c r="CA22" s="13"/>
      <c r="CB22" s="13"/>
      <c r="CC22" s="13"/>
      <c r="CD22" s="52"/>
      <c r="CE22" s="52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2"/>
      <c r="BD23" s="52"/>
      <c r="BE23" s="52"/>
      <c r="BF23" s="52"/>
      <c r="BG23" s="52"/>
      <c r="BH23" s="52"/>
      <c r="BI23" s="13"/>
      <c r="BJ23" s="13"/>
      <c r="BK23" s="13"/>
      <c r="BL23" s="13"/>
      <c r="BM23" s="13"/>
      <c r="BN23" s="13"/>
      <c r="BO23" s="13"/>
      <c r="BP23" s="52"/>
      <c r="BQ23" s="52"/>
      <c r="BR23" s="52"/>
      <c r="BS23" s="52"/>
      <c r="BT23" s="52"/>
      <c r="BU23" s="52"/>
      <c r="BV23" s="52"/>
      <c r="BW23" s="13"/>
      <c r="BX23" s="13"/>
      <c r="BY23" s="13"/>
      <c r="BZ23" s="13"/>
      <c r="CA23" s="13"/>
      <c r="CB23" s="13"/>
      <c r="CC23" s="13"/>
      <c r="CD23" s="52"/>
      <c r="CE23" s="52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2"/>
      <c r="BD24" s="52"/>
      <c r="BE24" s="52"/>
      <c r="BF24" s="52"/>
      <c r="BG24" s="52"/>
      <c r="BH24" s="52"/>
      <c r="BI24" s="13"/>
      <c r="BJ24" s="13"/>
      <c r="BK24" s="13"/>
      <c r="BL24" s="13"/>
      <c r="BM24" s="13"/>
      <c r="BN24" s="13"/>
      <c r="BO24" s="13"/>
      <c r="BP24" s="52"/>
      <c r="BQ24" s="52"/>
      <c r="BR24" s="52"/>
      <c r="BS24" s="52"/>
      <c r="BT24" s="52"/>
      <c r="BU24" s="52"/>
      <c r="BV24" s="52"/>
      <c r="BW24" s="13"/>
      <c r="BX24" s="13"/>
      <c r="BY24" s="13"/>
      <c r="BZ24" s="13"/>
      <c r="CA24" s="13"/>
      <c r="CB24" s="13"/>
      <c r="CC24" s="13"/>
      <c r="CD24" s="52"/>
      <c r="CE24" s="52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0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2"/>
      <c r="BD25" s="52"/>
      <c r="BE25" s="52"/>
      <c r="BF25" s="52"/>
      <c r="BG25" s="52"/>
      <c r="BH25" s="52"/>
      <c r="BI25" s="13"/>
      <c r="BJ25" s="13"/>
      <c r="BK25" s="13"/>
      <c r="BL25" s="13"/>
      <c r="BM25" s="13"/>
      <c r="BN25" s="13"/>
      <c r="BO25" s="13"/>
      <c r="BP25" s="52"/>
      <c r="BQ25" s="52"/>
      <c r="BR25" s="52"/>
      <c r="BS25" s="52"/>
      <c r="BT25" s="52"/>
      <c r="BU25" s="52"/>
      <c r="BV25" s="52"/>
      <c r="BW25" s="13"/>
      <c r="BX25" s="13"/>
      <c r="BY25" s="13"/>
      <c r="BZ25" s="13"/>
      <c r="CA25" s="13"/>
      <c r="CB25" s="13"/>
      <c r="CC25" s="13"/>
      <c r="CD25" s="52"/>
      <c r="CE25" s="52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2"/>
      <c r="BD26" s="52"/>
      <c r="BE26" s="52"/>
      <c r="BF26" s="52"/>
      <c r="BG26" s="52"/>
      <c r="BH26" s="52"/>
      <c r="BI26" s="13"/>
      <c r="BJ26" s="13"/>
      <c r="BK26" s="13"/>
      <c r="BL26" s="13"/>
      <c r="BM26" s="13"/>
      <c r="BN26" s="13"/>
      <c r="BO26" s="13"/>
      <c r="BP26" s="52"/>
      <c r="BQ26" s="52"/>
      <c r="BR26" s="52"/>
      <c r="BS26" s="52"/>
      <c r="BT26" s="52"/>
      <c r="BU26" s="52"/>
      <c r="BV26" s="52"/>
      <c r="BW26" s="13"/>
      <c r="BX26" s="13"/>
      <c r="BY26" s="13"/>
      <c r="BZ26" s="13"/>
      <c r="CA26" s="13"/>
      <c r="CB26" s="13"/>
      <c r="CC26" s="13"/>
      <c r="CD26" s="52"/>
      <c r="CE26" s="52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2"/>
      <c r="BD27" s="52"/>
      <c r="BE27" s="52"/>
      <c r="BF27" s="52"/>
      <c r="BG27" s="52"/>
      <c r="BH27" s="52"/>
      <c r="BI27" s="13"/>
      <c r="BJ27" s="13"/>
      <c r="BK27" s="13"/>
      <c r="BL27" s="13"/>
      <c r="BM27" s="13"/>
      <c r="BN27" s="13"/>
      <c r="BO27" s="13"/>
      <c r="BP27" s="52"/>
      <c r="BQ27" s="52"/>
      <c r="BR27" s="52"/>
      <c r="BS27" s="52"/>
      <c r="BT27" s="52"/>
      <c r="BU27" s="52"/>
      <c r="BV27" s="52"/>
      <c r="BW27" s="13"/>
      <c r="BX27" s="13"/>
      <c r="BY27" s="13"/>
      <c r="BZ27" s="13"/>
      <c r="CA27" s="13"/>
      <c r="CB27" s="13"/>
      <c r="CC27" s="13"/>
      <c r="CD27" s="52"/>
      <c r="CE27" s="52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>
      <c r="A28" s="4"/>
      <c r="B28" s="60"/>
      <c r="C28" s="4"/>
      <c r="D28" s="4"/>
      <c r="E28" s="13">
        <f t="shared" ref="E28:CQ28" si="23">SUM(E6:E27)</f>
        <v>0</v>
      </c>
      <c r="F28" s="13">
        <f t="shared" si="23"/>
        <v>0</v>
      </c>
      <c r="G28" s="13">
        <f t="shared" si="23"/>
        <v>0</v>
      </c>
      <c r="H28" s="13">
        <f t="shared" si="23"/>
        <v>0</v>
      </c>
      <c r="I28" s="17">
        <f t="shared" si="23"/>
        <v>0</v>
      </c>
      <c r="J28" s="17">
        <f t="shared" si="23"/>
        <v>0</v>
      </c>
      <c r="K28" s="17">
        <f t="shared" si="23"/>
        <v>0</v>
      </c>
      <c r="L28" s="52">
        <f t="shared" si="23"/>
        <v>0</v>
      </c>
      <c r="M28" s="52">
        <f t="shared" si="23"/>
        <v>0</v>
      </c>
      <c r="N28" s="52">
        <f t="shared" si="23"/>
        <v>0</v>
      </c>
      <c r="O28" s="52">
        <f t="shared" si="23"/>
        <v>0</v>
      </c>
      <c r="P28" s="61">
        <f t="shared" si="23"/>
        <v>0</v>
      </c>
      <c r="Q28" s="61">
        <f t="shared" si="23"/>
        <v>0</v>
      </c>
      <c r="R28" s="61">
        <f t="shared" si="23"/>
        <v>0</v>
      </c>
      <c r="S28" s="13">
        <f t="shared" si="23"/>
        <v>0</v>
      </c>
      <c r="T28" s="13">
        <f t="shared" si="23"/>
        <v>0</v>
      </c>
      <c r="U28" s="13">
        <f t="shared" si="23"/>
        <v>0</v>
      </c>
      <c r="V28" s="13">
        <f t="shared" si="23"/>
        <v>0</v>
      </c>
      <c r="W28" s="17">
        <f t="shared" si="23"/>
        <v>0</v>
      </c>
      <c r="X28" s="17">
        <f t="shared" si="23"/>
        <v>0</v>
      </c>
      <c r="Y28" s="17">
        <f t="shared" si="23"/>
        <v>0</v>
      </c>
      <c r="Z28" s="52">
        <f t="shared" si="23"/>
        <v>0</v>
      </c>
      <c r="AA28" s="52">
        <f t="shared" si="23"/>
        <v>0</v>
      </c>
      <c r="AB28" s="52">
        <f t="shared" si="23"/>
        <v>0</v>
      </c>
      <c r="AC28" s="52">
        <f t="shared" si="23"/>
        <v>0</v>
      </c>
      <c r="AD28" s="61">
        <f t="shared" si="23"/>
        <v>0</v>
      </c>
      <c r="AE28" s="61">
        <f t="shared" si="23"/>
        <v>0</v>
      </c>
      <c r="AF28" s="61">
        <f t="shared" si="23"/>
        <v>0</v>
      </c>
      <c r="AG28" s="13">
        <f t="shared" si="23"/>
        <v>0</v>
      </c>
      <c r="AH28" s="13">
        <f t="shared" si="23"/>
        <v>0</v>
      </c>
      <c r="AI28" s="13">
        <f t="shared" si="23"/>
        <v>0</v>
      </c>
      <c r="AJ28" s="13">
        <f t="shared" si="23"/>
        <v>0</v>
      </c>
      <c r="AK28" s="17">
        <f t="shared" si="23"/>
        <v>0</v>
      </c>
      <c r="AL28" s="17">
        <f t="shared" si="23"/>
        <v>0</v>
      </c>
      <c r="AM28" s="17">
        <f t="shared" si="23"/>
        <v>0</v>
      </c>
      <c r="AN28" s="52">
        <f t="shared" si="23"/>
        <v>0</v>
      </c>
      <c r="AO28" s="52">
        <f t="shared" si="23"/>
        <v>0</v>
      </c>
      <c r="AP28" s="52">
        <f t="shared" si="23"/>
        <v>0</v>
      </c>
      <c r="AQ28" s="52">
        <f t="shared" si="23"/>
        <v>0</v>
      </c>
      <c r="AR28" s="61">
        <f t="shared" si="23"/>
        <v>0</v>
      </c>
      <c r="AS28" s="61">
        <f t="shared" si="23"/>
        <v>0</v>
      </c>
      <c r="AT28" s="61">
        <f t="shared" si="23"/>
        <v>0</v>
      </c>
      <c r="AU28" s="13">
        <f t="shared" si="23"/>
        <v>0</v>
      </c>
      <c r="AV28" s="13">
        <f t="shared" si="23"/>
        <v>0</v>
      </c>
      <c r="AW28" s="13">
        <f t="shared" si="23"/>
        <v>0</v>
      </c>
      <c r="AX28" s="13">
        <f t="shared" si="23"/>
        <v>0</v>
      </c>
      <c r="AY28" s="17">
        <f t="shared" si="23"/>
        <v>0</v>
      </c>
      <c r="AZ28" s="17">
        <f t="shared" si="23"/>
        <v>0</v>
      </c>
      <c r="BA28" s="17">
        <f t="shared" si="23"/>
        <v>0</v>
      </c>
      <c r="BB28" s="52">
        <f t="shared" si="23"/>
        <v>0</v>
      </c>
      <c r="BC28" s="52">
        <f t="shared" si="23"/>
        <v>0</v>
      </c>
      <c r="BD28" s="52">
        <f t="shared" si="23"/>
        <v>0</v>
      </c>
      <c r="BE28" s="52">
        <f t="shared" si="23"/>
        <v>0</v>
      </c>
      <c r="BF28" s="61">
        <f t="shared" si="23"/>
        <v>0</v>
      </c>
      <c r="BG28" s="61">
        <f t="shared" si="23"/>
        <v>0</v>
      </c>
      <c r="BH28" s="61">
        <f t="shared" si="23"/>
        <v>0</v>
      </c>
      <c r="BI28" s="13">
        <f t="shared" si="23"/>
        <v>0</v>
      </c>
      <c r="BJ28" s="13">
        <f t="shared" si="23"/>
        <v>0</v>
      </c>
      <c r="BK28" s="13">
        <f t="shared" si="23"/>
        <v>0</v>
      </c>
      <c r="BL28" s="13">
        <f t="shared" si="23"/>
        <v>0</v>
      </c>
      <c r="BM28" s="17">
        <f t="shared" si="23"/>
        <v>0</v>
      </c>
      <c r="BN28" s="17">
        <f t="shared" si="23"/>
        <v>0</v>
      </c>
      <c r="BO28" s="17">
        <f t="shared" si="23"/>
        <v>0</v>
      </c>
      <c r="BP28" s="52">
        <f t="shared" si="23"/>
        <v>0</v>
      </c>
      <c r="BQ28" s="52">
        <f t="shared" si="23"/>
        <v>0</v>
      </c>
      <c r="BR28" s="52">
        <f t="shared" si="23"/>
        <v>0</v>
      </c>
      <c r="BS28" s="52">
        <f t="shared" si="23"/>
        <v>0</v>
      </c>
      <c r="BT28" s="61">
        <f t="shared" si="23"/>
        <v>0</v>
      </c>
      <c r="BU28" s="61">
        <f t="shared" si="23"/>
        <v>0</v>
      </c>
      <c r="BV28" s="61">
        <f t="shared" si="23"/>
        <v>0</v>
      </c>
      <c r="BW28" s="13">
        <f t="shared" si="23"/>
        <v>0</v>
      </c>
      <c r="BX28" s="13">
        <f t="shared" si="23"/>
        <v>0</v>
      </c>
      <c r="BY28" s="13">
        <f t="shared" si="23"/>
        <v>0</v>
      </c>
      <c r="BZ28" s="13">
        <f t="shared" si="23"/>
        <v>0</v>
      </c>
      <c r="CA28" s="17">
        <f t="shared" si="23"/>
        <v>0</v>
      </c>
      <c r="CB28" s="17">
        <f t="shared" si="23"/>
        <v>0</v>
      </c>
      <c r="CC28" s="17">
        <f t="shared" si="23"/>
        <v>0</v>
      </c>
      <c r="CD28" s="52">
        <f t="shared" si="23"/>
        <v>0</v>
      </c>
      <c r="CE28" s="52">
        <f t="shared" si="23"/>
        <v>0</v>
      </c>
      <c r="CF28" s="52">
        <f t="shared" si="23"/>
        <v>0</v>
      </c>
      <c r="CG28" s="52">
        <f t="shared" si="23"/>
        <v>0</v>
      </c>
      <c r="CH28" s="61">
        <f t="shared" si="23"/>
        <v>0</v>
      </c>
      <c r="CI28" s="61">
        <f t="shared" si="23"/>
        <v>0</v>
      </c>
      <c r="CJ28" s="61">
        <f t="shared" si="23"/>
        <v>0</v>
      </c>
      <c r="CK28" s="62">
        <f t="shared" si="23"/>
        <v>0</v>
      </c>
      <c r="CL28" s="62">
        <f t="shared" si="23"/>
        <v>0</v>
      </c>
      <c r="CM28" s="62">
        <f t="shared" si="23"/>
        <v>0</v>
      </c>
      <c r="CN28" s="62">
        <f t="shared" si="23"/>
        <v>0</v>
      </c>
      <c r="CO28" s="62">
        <f t="shared" si="23"/>
        <v>0</v>
      </c>
      <c r="CP28" s="62">
        <f t="shared" si="23"/>
        <v>0</v>
      </c>
      <c r="CQ28" s="62">
        <f t="shared" si="23"/>
        <v>0</v>
      </c>
    </row>
    <row r="29" ht="15.75" customHeight="1">
      <c r="A29" s="4"/>
      <c r="B29" s="4"/>
      <c r="C29" s="4"/>
      <c r="D29" s="4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"/>
      <c r="AB29" s="4"/>
      <c r="AC29" s="4"/>
      <c r="AD29" s="40"/>
      <c r="AE29" s="40"/>
      <c r="AF29" s="40"/>
      <c r="AG29" s="4"/>
      <c r="AH29" s="4"/>
      <c r="AI29" s="4"/>
      <c r="AJ29" s="4"/>
      <c r="AK29" s="40"/>
      <c r="AL29" s="40"/>
      <c r="AM29" s="40"/>
      <c r="AN29" s="4"/>
      <c r="AO29" s="4"/>
      <c r="AP29" s="4"/>
      <c r="AQ29" s="4"/>
      <c r="AR29" s="40"/>
      <c r="AS29" s="40"/>
      <c r="AT29" s="40"/>
      <c r="AU29" s="4"/>
      <c r="AV29" s="4"/>
      <c r="AW29" s="4"/>
      <c r="AX29" s="4"/>
      <c r="AY29" s="40"/>
      <c r="AZ29" s="40"/>
      <c r="BA29" s="40"/>
      <c r="BB29" s="4"/>
      <c r="BC29" s="4"/>
      <c r="BD29" s="4"/>
      <c r="BE29" s="4"/>
      <c r="BF29" s="40"/>
      <c r="BG29" s="40"/>
      <c r="BH29" s="40"/>
      <c r="BI29" s="4"/>
      <c r="BJ29" s="4"/>
      <c r="BK29" s="4"/>
      <c r="BL29" s="4"/>
      <c r="BM29" s="40"/>
      <c r="BN29" s="40"/>
      <c r="BO29" s="40"/>
      <c r="BP29" s="4"/>
      <c r="BQ29" s="4"/>
      <c r="BR29" s="4"/>
      <c r="BS29" s="4"/>
      <c r="BT29" s="40"/>
      <c r="BU29" s="40"/>
      <c r="BV29" s="40"/>
      <c r="BW29" s="4"/>
      <c r="BX29" s="4"/>
      <c r="BY29" s="4"/>
      <c r="BZ29" s="4"/>
      <c r="CA29" s="40"/>
      <c r="CB29" s="40"/>
      <c r="CC29" s="40"/>
      <c r="CD29" s="4"/>
      <c r="CE29" s="63"/>
      <c r="CH29" s="40"/>
      <c r="CI29" s="40"/>
      <c r="CJ29" s="40"/>
      <c r="CK29" s="4"/>
      <c r="CL29" s="4"/>
      <c r="CM29" s="4"/>
      <c r="CN29" s="4"/>
      <c r="CO29" s="40"/>
      <c r="CP29" s="40"/>
      <c r="CQ29" s="40"/>
    </row>
    <row r="30" ht="15.75" customHeight="1">
      <c r="A30" s="4"/>
      <c r="B30" s="4"/>
      <c r="C30" s="4"/>
      <c r="D30" s="4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"/>
      <c r="AB30" s="4"/>
      <c r="AC30" s="4"/>
      <c r="AD30" s="40"/>
      <c r="AE30" s="40"/>
      <c r="AF30" s="40"/>
      <c r="AG30" s="4"/>
      <c r="AH30" s="4"/>
      <c r="AI30" s="4"/>
      <c r="AJ30" s="4"/>
      <c r="AK30" s="40"/>
      <c r="AL30" s="40"/>
      <c r="AM30" s="40"/>
      <c r="AN30" s="4"/>
      <c r="AO30" s="4"/>
      <c r="AP30" s="4"/>
      <c r="AQ30" s="4"/>
      <c r="AR30" s="40"/>
      <c r="AS30" s="40"/>
      <c r="AT30" s="40"/>
      <c r="AU30" s="4"/>
      <c r="AV30" s="4"/>
      <c r="AW30" s="4"/>
      <c r="AX30" s="4"/>
      <c r="AY30" s="40"/>
      <c r="AZ30" s="40"/>
      <c r="BA30" s="40"/>
      <c r="BB30" s="4"/>
      <c r="BC30" s="4"/>
      <c r="BD30" s="4"/>
      <c r="BE30" s="4"/>
      <c r="BF30" s="40"/>
      <c r="BG30" s="40"/>
      <c r="BH30" s="40"/>
      <c r="BI30" s="4"/>
      <c r="BJ30" s="4"/>
      <c r="BK30" s="4"/>
      <c r="BL30" s="4"/>
      <c r="BM30" s="40"/>
      <c r="BN30" s="40"/>
      <c r="BO30" s="40"/>
      <c r="BP30" s="4"/>
      <c r="BQ30" s="4"/>
      <c r="BR30" s="4"/>
      <c r="BS30" s="4"/>
      <c r="BT30" s="40"/>
      <c r="BU30" s="40"/>
      <c r="BV30" s="40"/>
      <c r="BW30" s="4"/>
      <c r="BX30" s="4"/>
      <c r="BY30" s="4"/>
      <c r="BZ30" s="4"/>
      <c r="CA30" s="40"/>
      <c r="CB30" s="40"/>
      <c r="CC30" s="40"/>
      <c r="CD30" s="4"/>
      <c r="CE30" s="63"/>
      <c r="CH30" s="40"/>
      <c r="CI30" s="40"/>
      <c r="CJ30" s="40"/>
      <c r="CK30" s="4"/>
      <c r="CL30" s="17"/>
      <c r="CM30" s="4"/>
      <c r="CN30" s="4"/>
      <c r="CO30" s="40"/>
      <c r="CP30" s="17"/>
      <c r="CQ30" s="40"/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4"/>
      <c r="CF31" s="4"/>
      <c r="CG31" s="4"/>
      <c r="CH31" s="40"/>
      <c r="CI31" s="40"/>
      <c r="CJ31" s="40"/>
      <c r="CK31" s="4"/>
      <c r="CL31" s="4"/>
      <c r="CM31" s="4"/>
      <c r="CN31" s="4"/>
      <c r="CO31" s="40"/>
      <c r="CP31" s="17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4"/>
      <c r="CF32" s="4"/>
      <c r="CG32" s="4"/>
      <c r="CH32" s="40"/>
      <c r="CI32" s="40"/>
      <c r="CJ32" s="40"/>
      <c r="CK32" s="4"/>
      <c r="CL32" s="4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40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40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29:CG29"/>
    <mergeCell ref="CE30:CG30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I6:K27">
    <cfRule type="cellIs" dxfId="0" priority="1" operator="greaterThan">
      <formula>0</formula>
    </cfRule>
  </conditionalFormatting>
  <conditionalFormatting sqref="W6:Y27">
    <cfRule type="cellIs" dxfId="0" priority="2" operator="greaterThan">
      <formula>0</formula>
    </cfRule>
  </conditionalFormatting>
  <conditionalFormatting sqref="AY6:BA27">
    <cfRule type="cellIs" dxfId="0" priority="3" operator="greaterThan">
      <formula>0</formula>
    </cfRule>
  </conditionalFormatting>
  <conditionalFormatting sqref="CA6:CC27">
    <cfRule type="cellIs" dxfId="0" priority="4" operator="greaterThan">
      <formula>0</formula>
    </cfRule>
  </conditionalFormatting>
  <conditionalFormatting sqref="AD6:AF27">
    <cfRule type="cellIs" dxfId="0" priority="5" operator="greaterThan">
      <formula>0</formula>
    </cfRule>
  </conditionalFormatting>
  <conditionalFormatting sqref="AR6:AT27">
    <cfRule type="cellIs" dxfId="0" priority="6" operator="greaterThan">
      <formula>0</formula>
    </cfRule>
  </conditionalFormatting>
  <conditionalFormatting sqref="BF6:BH27">
    <cfRule type="cellIs" dxfId="0" priority="7" operator="greaterThan">
      <formula>0</formula>
    </cfRule>
  </conditionalFormatting>
  <conditionalFormatting sqref="BT6:BV27">
    <cfRule type="cellIs" dxfId="0" priority="8" operator="greaterThan">
      <formula>0</formula>
    </cfRule>
  </conditionalFormatting>
  <conditionalFormatting sqref="CH6:CJ27">
    <cfRule type="cellIs" dxfId="0" priority="9" operator="greaterThan">
      <formula>0</formula>
    </cfRule>
  </conditionalFormatting>
  <conditionalFormatting sqref="P6:R27">
    <cfRule type="cellIs" dxfId="0" priority="10" operator="greaterThan">
      <formula>0</formula>
    </cfRule>
  </conditionalFormatting>
  <conditionalFormatting sqref="AK6:AM27">
    <cfRule type="cellIs" dxfId="0" priority="11" operator="greaterThan">
      <formula>0</formula>
    </cfRule>
  </conditionalFormatting>
  <conditionalFormatting sqref="BM6:BO27">
    <cfRule type="cellIs" dxfId="0" priority="12" operator="greaterThan">
      <formula>0</formula>
    </cfRule>
  </conditionalFormatting>
  <conditionalFormatting sqref="E6:H28 L6:O28 S6:V28 AG6:AJ28 AU6:AX28 BI6:BL28 BW6:BZ28">
    <cfRule type="cellIs" dxfId="0" priority="13" operator="greaterThan">
      <formula>0</formula>
    </cfRule>
  </conditionalFormatting>
  <conditionalFormatting sqref="Z6:AC28">
    <cfRule type="cellIs" dxfId="0" priority="14" operator="greaterThan">
      <formula>0</formula>
    </cfRule>
  </conditionalFormatting>
  <conditionalFormatting sqref="AN6:AQ28">
    <cfRule type="cellIs" dxfId="0" priority="15" operator="greaterThan">
      <formula>0</formula>
    </cfRule>
  </conditionalFormatting>
  <conditionalFormatting sqref="BB6:BE28">
    <cfRule type="cellIs" dxfId="0" priority="16" operator="greaterThan">
      <formula>0</formula>
    </cfRule>
  </conditionalFormatting>
  <conditionalFormatting sqref="BP6:BS28">
    <cfRule type="cellIs" dxfId="0" priority="17" operator="greaterThan">
      <formula>0</formula>
    </cfRule>
  </conditionalFormatting>
  <conditionalFormatting sqref="CD6:CG28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6.14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96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3"/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3"/>
      <c r="U6" s="13"/>
      <c r="V6" s="13"/>
      <c r="W6" s="13"/>
      <c r="X6" s="13"/>
      <c r="Y6" s="13"/>
      <c r="Z6" s="52"/>
      <c r="AA6" s="52"/>
      <c r="AB6" s="52"/>
      <c r="AC6" s="52"/>
      <c r="AD6" s="52"/>
      <c r="AE6" s="52"/>
      <c r="AF6" s="52"/>
      <c r="AG6" s="13"/>
      <c r="AH6" s="13"/>
      <c r="AI6" s="13"/>
      <c r="AJ6" s="13"/>
      <c r="AK6" s="13"/>
      <c r="AL6" s="13"/>
      <c r="AM6" s="13"/>
      <c r="AN6" s="52"/>
      <c r="AO6" s="52"/>
      <c r="AP6" s="52"/>
      <c r="AQ6" s="52"/>
      <c r="AR6" s="52"/>
      <c r="AS6" s="52"/>
      <c r="AT6" s="52"/>
      <c r="AU6" s="13"/>
      <c r="AV6" s="13"/>
      <c r="AW6" s="13"/>
      <c r="AX6" s="13"/>
      <c r="AY6" s="13"/>
      <c r="AZ6" s="13"/>
      <c r="BA6" s="13"/>
      <c r="BB6" s="52"/>
      <c r="BC6" s="52"/>
      <c r="BD6" s="52"/>
      <c r="BE6" s="52"/>
      <c r="BF6" s="52"/>
      <c r="BG6" s="52"/>
      <c r="BH6" s="52"/>
      <c r="BI6" s="13"/>
      <c r="BJ6" s="13"/>
      <c r="BK6" s="13"/>
      <c r="BL6" s="13"/>
      <c r="BM6" s="13"/>
      <c r="BN6" s="13"/>
      <c r="BO6" s="13"/>
      <c r="BP6" s="52"/>
      <c r="BQ6" s="52"/>
      <c r="BR6" s="52"/>
      <c r="BS6" s="52"/>
      <c r="BT6" s="52"/>
      <c r="BU6" s="52"/>
      <c r="BV6" s="52"/>
      <c r="BW6" s="13"/>
      <c r="BX6" s="13"/>
      <c r="BY6" s="13"/>
      <c r="BZ6" s="13"/>
      <c r="CA6" s="13"/>
      <c r="CB6" s="13"/>
      <c r="CC6" s="13"/>
      <c r="CD6" s="52"/>
      <c r="CE6" s="52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3"/>
      <c r="G7" s="13"/>
      <c r="H7" s="13"/>
      <c r="I7" s="13"/>
      <c r="J7" s="13"/>
      <c r="K7" s="13"/>
      <c r="L7" s="52"/>
      <c r="M7" s="52"/>
      <c r="N7" s="52"/>
      <c r="O7" s="52"/>
      <c r="P7" s="52"/>
      <c r="Q7" s="52"/>
      <c r="R7" s="52"/>
      <c r="S7" s="13"/>
      <c r="T7" s="13"/>
      <c r="U7" s="13"/>
      <c r="V7" s="13"/>
      <c r="W7" s="13"/>
      <c r="X7" s="13"/>
      <c r="Y7" s="13"/>
      <c r="Z7" s="52"/>
      <c r="AA7" s="52"/>
      <c r="AB7" s="52"/>
      <c r="AC7" s="52"/>
      <c r="AD7" s="52"/>
      <c r="AE7" s="52"/>
      <c r="AF7" s="52"/>
      <c r="AG7" s="13"/>
      <c r="AH7" s="13"/>
      <c r="AI7" s="13"/>
      <c r="AJ7" s="13"/>
      <c r="AK7" s="13"/>
      <c r="AL7" s="13"/>
      <c r="AM7" s="13"/>
      <c r="AN7" s="52"/>
      <c r="AO7" s="4"/>
      <c r="AP7" s="52"/>
      <c r="AQ7" s="52"/>
      <c r="AR7" s="52"/>
      <c r="AS7" s="52"/>
      <c r="AT7" s="52"/>
      <c r="AU7" s="13"/>
      <c r="AV7" s="13"/>
      <c r="AW7" s="13"/>
      <c r="AX7" s="13"/>
      <c r="AY7" s="13"/>
      <c r="AZ7" s="13"/>
      <c r="BA7" s="13"/>
      <c r="BB7" s="52"/>
      <c r="BC7" s="52"/>
      <c r="BD7" s="52"/>
      <c r="BE7" s="52"/>
      <c r="BF7" s="52"/>
      <c r="BG7" s="52"/>
      <c r="BH7" s="52"/>
      <c r="BI7" s="13"/>
      <c r="BJ7" s="13"/>
      <c r="BK7" s="13"/>
      <c r="BL7" s="13"/>
      <c r="BM7" s="13"/>
      <c r="BN7" s="13"/>
      <c r="BO7" s="13"/>
      <c r="BP7" s="52"/>
      <c r="BQ7" s="52"/>
      <c r="BR7" s="52"/>
      <c r="BS7" s="52"/>
      <c r="BT7" s="52"/>
      <c r="BU7" s="52"/>
      <c r="BV7" s="52"/>
      <c r="BW7" s="13"/>
      <c r="BX7" s="13"/>
      <c r="BY7" s="13"/>
      <c r="BZ7" s="13"/>
      <c r="CA7" s="13"/>
      <c r="CB7" s="13"/>
      <c r="CC7" s="13"/>
      <c r="CD7" s="52"/>
      <c r="CE7" s="52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0</v>
      </c>
      <c r="CM7" s="56">
        <f t="shared" si="2"/>
        <v>0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2"/>
      <c r="BD8" s="52"/>
      <c r="BE8" s="52"/>
      <c r="BF8" s="52"/>
      <c r="BG8" s="52"/>
      <c r="BH8" s="52"/>
      <c r="BI8" s="13"/>
      <c r="BJ8" s="13"/>
      <c r="BK8" s="13"/>
      <c r="BL8" s="13"/>
      <c r="BM8" s="13"/>
      <c r="BN8" s="13"/>
      <c r="BO8" s="13"/>
      <c r="BP8" s="52"/>
      <c r="BQ8" s="52"/>
      <c r="BR8" s="52"/>
      <c r="BS8" s="52"/>
      <c r="BT8" s="52"/>
      <c r="BU8" s="52"/>
      <c r="BV8" s="52"/>
      <c r="BW8" s="13"/>
      <c r="BX8" s="13"/>
      <c r="BY8" s="13"/>
      <c r="BZ8" s="13"/>
      <c r="CA8" s="13"/>
      <c r="CB8" s="13"/>
      <c r="CC8" s="13"/>
      <c r="CD8" s="52"/>
      <c r="CE8" s="52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2"/>
      <c r="BD9" s="52"/>
      <c r="BE9" s="52"/>
      <c r="BF9" s="52"/>
      <c r="BG9" s="52"/>
      <c r="BH9" s="52"/>
      <c r="BI9" s="13"/>
      <c r="BJ9" s="13"/>
      <c r="BK9" s="13"/>
      <c r="BL9" s="13"/>
      <c r="BM9" s="13"/>
      <c r="BN9" s="13"/>
      <c r="BO9" s="13"/>
      <c r="BP9" s="52"/>
      <c r="BQ9" s="52"/>
      <c r="BR9" s="52"/>
      <c r="BS9" s="52"/>
      <c r="BT9" s="52"/>
      <c r="BU9" s="52"/>
      <c r="BV9" s="52"/>
      <c r="BW9" s="13"/>
      <c r="BX9" s="13"/>
      <c r="BY9" s="13"/>
      <c r="BZ9" s="13"/>
      <c r="CA9" s="13"/>
      <c r="CB9" s="13"/>
      <c r="CC9" s="13"/>
      <c r="CD9" s="52"/>
      <c r="CE9" s="52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2"/>
      <c r="BD10" s="52"/>
      <c r="BE10" s="52"/>
      <c r="BF10" s="52"/>
      <c r="BG10" s="52"/>
      <c r="BH10" s="52"/>
      <c r="BI10" s="13"/>
      <c r="BJ10" s="13"/>
      <c r="BK10" s="13"/>
      <c r="BL10" s="13"/>
      <c r="BM10" s="13"/>
      <c r="BN10" s="13"/>
      <c r="BO10" s="13"/>
      <c r="BP10" s="52"/>
      <c r="BQ10" s="52"/>
      <c r="BR10" s="52"/>
      <c r="BS10" s="52"/>
      <c r="BT10" s="52"/>
      <c r="BU10" s="52"/>
      <c r="BV10" s="52"/>
      <c r="BW10" s="13"/>
      <c r="BX10" s="13"/>
      <c r="BY10" s="13"/>
      <c r="BZ10" s="13"/>
      <c r="CA10" s="13"/>
      <c r="CB10" s="13"/>
      <c r="CC10" s="13"/>
      <c r="CD10" s="52"/>
      <c r="CE10" s="52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3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2"/>
      <c r="BD11" s="52"/>
      <c r="BE11" s="52"/>
      <c r="BF11" s="52"/>
      <c r="BG11" s="52"/>
      <c r="BH11" s="52"/>
      <c r="BI11" s="13"/>
      <c r="BJ11" s="13"/>
      <c r="BK11" s="13"/>
      <c r="BL11" s="13"/>
      <c r="BM11" s="13"/>
      <c r="BN11" s="13"/>
      <c r="BO11" s="13"/>
      <c r="BP11" s="52"/>
      <c r="BQ11" s="52"/>
      <c r="BR11" s="52"/>
      <c r="BS11" s="52"/>
      <c r="BT11" s="52"/>
      <c r="BU11" s="52"/>
      <c r="BV11" s="52"/>
      <c r="BW11" s="13"/>
      <c r="BX11" s="13"/>
      <c r="BY11" s="13"/>
      <c r="BZ11" s="13"/>
      <c r="CA11" s="13"/>
      <c r="CB11" s="13"/>
      <c r="CC11" s="13"/>
      <c r="CD11" s="52"/>
      <c r="CE11" s="52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2"/>
      <c r="BD12" s="52"/>
      <c r="BE12" s="52"/>
      <c r="BF12" s="52"/>
      <c r="BG12" s="52"/>
      <c r="BH12" s="52"/>
      <c r="BI12" s="13"/>
      <c r="BJ12" s="13"/>
      <c r="BK12" s="13"/>
      <c r="BL12" s="13"/>
      <c r="BM12" s="13"/>
      <c r="BN12" s="13"/>
      <c r="BO12" s="13"/>
      <c r="BP12" s="52"/>
      <c r="BQ12" s="52"/>
      <c r="BR12" s="52"/>
      <c r="BS12" s="52"/>
      <c r="BT12" s="52"/>
      <c r="BU12" s="52"/>
      <c r="BV12" s="52"/>
      <c r="BW12" s="13"/>
      <c r="BX12" s="13"/>
      <c r="BY12" s="13"/>
      <c r="BZ12" s="13"/>
      <c r="CA12" s="13"/>
      <c r="CB12" s="13"/>
      <c r="CC12" s="13"/>
      <c r="CD12" s="52"/>
      <c r="CE12" s="52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2"/>
      <c r="BD13" s="52"/>
      <c r="BE13" s="52"/>
      <c r="BF13" s="52"/>
      <c r="BG13" s="52"/>
      <c r="BH13" s="52"/>
      <c r="BI13" s="13"/>
      <c r="BJ13" s="13"/>
      <c r="BK13" s="13"/>
      <c r="BL13" s="13"/>
      <c r="BM13" s="13"/>
      <c r="BN13" s="13"/>
      <c r="BO13" s="13"/>
      <c r="BP13" s="52"/>
      <c r="BQ13" s="52"/>
      <c r="BR13" s="52"/>
      <c r="BS13" s="52"/>
      <c r="BT13" s="52"/>
      <c r="BU13" s="52"/>
      <c r="BV13" s="52"/>
      <c r="BW13" s="13"/>
      <c r="BX13" s="13"/>
      <c r="BY13" s="13"/>
      <c r="BZ13" s="13"/>
      <c r="CA13" s="13"/>
      <c r="CB13" s="13"/>
      <c r="CC13" s="13"/>
      <c r="CD13" s="52"/>
      <c r="CE13" s="52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2"/>
      <c r="BD14" s="52"/>
      <c r="BE14" s="52"/>
      <c r="BF14" s="52"/>
      <c r="BG14" s="52"/>
      <c r="BH14" s="52"/>
      <c r="BI14" s="13"/>
      <c r="BJ14" s="13"/>
      <c r="BK14" s="13"/>
      <c r="BL14" s="13"/>
      <c r="BM14" s="13"/>
      <c r="BN14" s="13"/>
      <c r="BO14" s="13"/>
      <c r="BP14" s="52"/>
      <c r="BQ14" s="52"/>
      <c r="BR14" s="52"/>
      <c r="BS14" s="52"/>
      <c r="BT14" s="52"/>
      <c r="BU14" s="52"/>
      <c r="BV14" s="52"/>
      <c r="BW14" s="13"/>
      <c r="BX14" s="13"/>
      <c r="BY14" s="13"/>
      <c r="BZ14" s="13"/>
      <c r="CA14" s="13"/>
      <c r="CB14" s="13"/>
      <c r="CC14" s="13"/>
      <c r="CD14" s="52"/>
      <c r="CE14" s="52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3"/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2"/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2"/>
      <c r="AP15" s="52"/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2"/>
      <c r="BD15" s="52"/>
      <c r="BE15" s="52"/>
      <c r="BF15" s="52"/>
      <c r="BG15" s="52"/>
      <c r="BH15" s="52"/>
      <c r="BI15" s="13"/>
      <c r="BJ15" s="13"/>
      <c r="BK15" s="13"/>
      <c r="BL15" s="13"/>
      <c r="BM15" s="13"/>
      <c r="BN15" s="13"/>
      <c r="BO15" s="13"/>
      <c r="BP15" s="52"/>
      <c r="BQ15" s="52"/>
      <c r="BR15" s="52"/>
      <c r="BS15" s="52"/>
      <c r="BT15" s="52"/>
      <c r="BU15" s="52"/>
      <c r="BV15" s="52"/>
      <c r="BW15" s="13"/>
      <c r="BX15" s="13"/>
      <c r="BY15" s="13"/>
      <c r="BZ15" s="13"/>
      <c r="CA15" s="13"/>
      <c r="CB15" s="13"/>
      <c r="CC15" s="13"/>
      <c r="CD15" s="52"/>
      <c r="CE15" s="52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0</v>
      </c>
      <c r="CM15" s="56">
        <f t="shared" si="10"/>
        <v>0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3"/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2"/>
      <c r="BD16" s="52"/>
      <c r="BE16" s="52"/>
      <c r="BF16" s="52"/>
      <c r="BG16" s="52"/>
      <c r="BH16" s="52"/>
      <c r="BI16" s="13"/>
      <c r="BJ16" s="13"/>
      <c r="BK16" s="13"/>
      <c r="BL16" s="13"/>
      <c r="BM16" s="13"/>
      <c r="BN16" s="13"/>
      <c r="BO16" s="13"/>
      <c r="BP16" s="52"/>
      <c r="BQ16" s="52"/>
      <c r="BR16" s="52"/>
      <c r="BS16" s="52"/>
      <c r="BT16" s="52"/>
      <c r="BU16" s="52"/>
      <c r="BV16" s="52"/>
      <c r="BW16" s="13"/>
      <c r="BX16" s="13"/>
      <c r="BY16" s="13"/>
      <c r="BZ16" s="13"/>
      <c r="CA16" s="13"/>
      <c r="CB16" s="13"/>
      <c r="CC16" s="13"/>
      <c r="CD16" s="52"/>
      <c r="CE16" s="52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0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2"/>
      <c r="BD17" s="52"/>
      <c r="BE17" s="52"/>
      <c r="BF17" s="52"/>
      <c r="BG17" s="52"/>
      <c r="BH17" s="52"/>
      <c r="BI17" s="13"/>
      <c r="BJ17" s="13"/>
      <c r="BK17" s="13"/>
      <c r="BL17" s="13"/>
      <c r="BM17" s="13"/>
      <c r="BN17" s="13"/>
      <c r="BO17" s="13"/>
      <c r="BP17" s="52"/>
      <c r="BQ17" s="52"/>
      <c r="BR17" s="52"/>
      <c r="BS17" s="52"/>
      <c r="BT17" s="52"/>
      <c r="BU17" s="52"/>
      <c r="BV17" s="52"/>
      <c r="BW17" s="13"/>
      <c r="BX17" s="13"/>
      <c r="BY17" s="13"/>
      <c r="BZ17" s="13"/>
      <c r="CA17" s="13"/>
      <c r="CB17" s="13"/>
      <c r="CC17" s="13"/>
      <c r="CD17" s="52"/>
      <c r="CE17" s="52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2"/>
      <c r="BD18" s="52"/>
      <c r="BE18" s="52"/>
      <c r="BF18" s="52"/>
      <c r="BG18" s="52"/>
      <c r="BH18" s="52"/>
      <c r="BI18" s="13"/>
      <c r="BJ18" s="13"/>
      <c r="BK18" s="13"/>
      <c r="BL18" s="13"/>
      <c r="BM18" s="13"/>
      <c r="BN18" s="13"/>
      <c r="BO18" s="13"/>
      <c r="BP18" s="52"/>
      <c r="BQ18" s="52"/>
      <c r="BR18" s="52"/>
      <c r="BS18" s="52"/>
      <c r="BT18" s="52"/>
      <c r="BU18" s="52"/>
      <c r="BV18" s="52"/>
      <c r="BW18" s="13"/>
      <c r="BX18" s="13"/>
      <c r="BY18" s="13"/>
      <c r="BZ18" s="13"/>
      <c r="CA18" s="13"/>
      <c r="CB18" s="13"/>
      <c r="CC18" s="13"/>
      <c r="CD18" s="52"/>
      <c r="CE18" s="52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2"/>
      <c r="BD19" s="52"/>
      <c r="BE19" s="52"/>
      <c r="BF19" s="52"/>
      <c r="BG19" s="52"/>
      <c r="BH19" s="52"/>
      <c r="BI19" s="13"/>
      <c r="BJ19" s="13"/>
      <c r="BK19" s="13"/>
      <c r="BL19" s="13"/>
      <c r="BM19" s="13"/>
      <c r="BN19" s="13"/>
      <c r="BO19" s="13"/>
      <c r="BP19" s="52"/>
      <c r="BQ19" s="52"/>
      <c r="BR19" s="52"/>
      <c r="BS19" s="52"/>
      <c r="BT19" s="52"/>
      <c r="BU19" s="52"/>
      <c r="BV19" s="52"/>
      <c r="BW19" s="13"/>
      <c r="BX19" s="13"/>
      <c r="BY19" s="13"/>
      <c r="BZ19" s="13"/>
      <c r="CA19" s="13"/>
      <c r="CB19" s="13"/>
      <c r="CC19" s="13"/>
      <c r="CD19" s="52"/>
      <c r="CE19" s="52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2"/>
      <c r="BD20" s="52"/>
      <c r="BE20" s="52"/>
      <c r="BF20" s="52"/>
      <c r="BG20" s="52"/>
      <c r="BH20" s="52"/>
      <c r="BI20" s="13"/>
      <c r="BJ20" s="13"/>
      <c r="BK20" s="13"/>
      <c r="BL20" s="13"/>
      <c r="BM20" s="13"/>
      <c r="BN20" s="13"/>
      <c r="BO20" s="13"/>
      <c r="BP20" s="52"/>
      <c r="BQ20" s="52"/>
      <c r="BR20" s="52"/>
      <c r="BS20" s="52"/>
      <c r="BT20" s="52"/>
      <c r="BU20" s="52"/>
      <c r="BV20" s="52"/>
      <c r="BW20" s="13"/>
      <c r="BX20" s="13"/>
      <c r="BY20" s="13"/>
      <c r="BZ20" s="13"/>
      <c r="CA20" s="13"/>
      <c r="CB20" s="13"/>
      <c r="CC20" s="13"/>
      <c r="CD20" s="52"/>
      <c r="CE20" s="52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2"/>
      <c r="BD21" s="52"/>
      <c r="BE21" s="52"/>
      <c r="BF21" s="52"/>
      <c r="BG21" s="52"/>
      <c r="BH21" s="52"/>
      <c r="BI21" s="13"/>
      <c r="BJ21" s="13"/>
      <c r="BK21" s="13"/>
      <c r="BL21" s="13"/>
      <c r="BM21" s="13"/>
      <c r="BN21" s="13"/>
      <c r="BO21" s="13"/>
      <c r="BP21" s="52"/>
      <c r="BQ21" s="52"/>
      <c r="BR21" s="52"/>
      <c r="BS21" s="52"/>
      <c r="BT21" s="52"/>
      <c r="BU21" s="52"/>
      <c r="BV21" s="52"/>
      <c r="BW21" s="13"/>
      <c r="BX21" s="13"/>
      <c r="BY21" s="13"/>
      <c r="BZ21" s="13"/>
      <c r="CA21" s="13"/>
      <c r="CB21" s="13"/>
      <c r="CC21" s="13"/>
      <c r="CD21" s="52"/>
      <c r="CE21" s="52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2"/>
      <c r="BD22" s="52"/>
      <c r="BE22" s="52"/>
      <c r="BF22" s="52"/>
      <c r="BG22" s="52"/>
      <c r="BH22" s="52"/>
      <c r="BI22" s="13"/>
      <c r="BJ22" s="13"/>
      <c r="BK22" s="13"/>
      <c r="BL22" s="13"/>
      <c r="BM22" s="13"/>
      <c r="BN22" s="13"/>
      <c r="BO22" s="13"/>
      <c r="BP22" s="52"/>
      <c r="BQ22" s="52"/>
      <c r="BR22" s="52"/>
      <c r="BS22" s="52"/>
      <c r="BT22" s="52"/>
      <c r="BU22" s="52"/>
      <c r="BV22" s="52"/>
      <c r="BW22" s="13"/>
      <c r="BX22" s="13"/>
      <c r="BY22" s="13"/>
      <c r="BZ22" s="13"/>
      <c r="CA22" s="13"/>
      <c r="CB22" s="13"/>
      <c r="CC22" s="13"/>
      <c r="CD22" s="52"/>
      <c r="CE22" s="52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2"/>
      <c r="BD23" s="52"/>
      <c r="BE23" s="52"/>
      <c r="BF23" s="52"/>
      <c r="BG23" s="52"/>
      <c r="BH23" s="52"/>
      <c r="BI23" s="13"/>
      <c r="BJ23" s="13"/>
      <c r="BK23" s="13"/>
      <c r="BL23" s="13"/>
      <c r="BM23" s="13"/>
      <c r="BN23" s="13"/>
      <c r="BO23" s="13"/>
      <c r="BP23" s="52"/>
      <c r="BQ23" s="52"/>
      <c r="BR23" s="52"/>
      <c r="BS23" s="52"/>
      <c r="BT23" s="52"/>
      <c r="BU23" s="52"/>
      <c r="BV23" s="52"/>
      <c r="BW23" s="13"/>
      <c r="BX23" s="13"/>
      <c r="BY23" s="13"/>
      <c r="BZ23" s="13"/>
      <c r="CA23" s="13"/>
      <c r="CB23" s="13"/>
      <c r="CC23" s="13"/>
      <c r="CD23" s="52"/>
      <c r="CE23" s="52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2"/>
      <c r="BD24" s="52"/>
      <c r="BE24" s="52"/>
      <c r="BF24" s="52"/>
      <c r="BG24" s="52"/>
      <c r="BH24" s="52"/>
      <c r="BI24" s="13"/>
      <c r="BJ24" s="13"/>
      <c r="BK24" s="13"/>
      <c r="BL24" s="13"/>
      <c r="BM24" s="13"/>
      <c r="BN24" s="13"/>
      <c r="BO24" s="13"/>
      <c r="BP24" s="52"/>
      <c r="BQ24" s="52"/>
      <c r="BR24" s="52"/>
      <c r="BS24" s="52"/>
      <c r="BT24" s="52"/>
      <c r="BU24" s="52"/>
      <c r="BV24" s="52"/>
      <c r="BW24" s="13"/>
      <c r="BX24" s="13"/>
      <c r="BY24" s="13"/>
      <c r="BZ24" s="13"/>
      <c r="CA24" s="13"/>
      <c r="CB24" s="13"/>
      <c r="CC24" s="13"/>
      <c r="CD24" s="52"/>
      <c r="CE24" s="52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0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2"/>
      <c r="BD25" s="52"/>
      <c r="BE25" s="52"/>
      <c r="BF25" s="52"/>
      <c r="BG25" s="52"/>
      <c r="BH25" s="52"/>
      <c r="BI25" s="13"/>
      <c r="BJ25" s="13"/>
      <c r="BK25" s="13"/>
      <c r="BL25" s="13"/>
      <c r="BM25" s="13"/>
      <c r="BN25" s="13"/>
      <c r="BO25" s="13"/>
      <c r="BP25" s="52"/>
      <c r="BQ25" s="52"/>
      <c r="BR25" s="52"/>
      <c r="BS25" s="52"/>
      <c r="BT25" s="52"/>
      <c r="BU25" s="52"/>
      <c r="BV25" s="52"/>
      <c r="BW25" s="13"/>
      <c r="BX25" s="13"/>
      <c r="BY25" s="13"/>
      <c r="BZ25" s="13"/>
      <c r="CA25" s="13"/>
      <c r="CB25" s="13"/>
      <c r="CC25" s="13"/>
      <c r="CD25" s="52"/>
      <c r="CE25" s="52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2"/>
      <c r="BD26" s="52"/>
      <c r="BE26" s="52"/>
      <c r="BF26" s="52"/>
      <c r="BG26" s="52"/>
      <c r="BH26" s="52"/>
      <c r="BI26" s="13"/>
      <c r="BJ26" s="13"/>
      <c r="BK26" s="13"/>
      <c r="BL26" s="13"/>
      <c r="BM26" s="13"/>
      <c r="BN26" s="13"/>
      <c r="BO26" s="13"/>
      <c r="BP26" s="52"/>
      <c r="BQ26" s="52"/>
      <c r="BR26" s="52"/>
      <c r="BS26" s="52"/>
      <c r="BT26" s="52"/>
      <c r="BU26" s="52"/>
      <c r="BV26" s="52"/>
      <c r="BW26" s="13"/>
      <c r="BX26" s="13"/>
      <c r="BY26" s="13"/>
      <c r="BZ26" s="13"/>
      <c r="CA26" s="13"/>
      <c r="CB26" s="13"/>
      <c r="CC26" s="13"/>
      <c r="CD26" s="52"/>
      <c r="CE26" s="52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2"/>
      <c r="BD27" s="52"/>
      <c r="BE27" s="52"/>
      <c r="BF27" s="52"/>
      <c r="BG27" s="52"/>
      <c r="BH27" s="52"/>
      <c r="BI27" s="13"/>
      <c r="BJ27" s="13"/>
      <c r="BK27" s="13"/>
      <c r="BL27" s="13"/>
      <c r="BM27" s="13"/>
      <c r="BN27" s="13"/>
      <c r="BO27" s="13"/>
      <c r="BP27" s="52"/>
      <c r="BQ27" s="52"/>
      <c r="BR27" s="52"/>
      <c r="BS27" s="52"/>
      <c r="BT27" s="52"/>
      <c r="BU27" s="52"/>
      <c r="BV27" s="52"/>
      <c r="BW27" s="13"/>
      <c r="BX27" s="13"/>
      <c r="BY27" s="13"/>
      <c r="BZ27" s="13"/>
      <c r="CA27" s="13"/>
      <c r="CB27" s="13"/>
      <c r="CC27" s="13"/>
      <c r="CD27" s="52"/>
      <c r="CE27" s="52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>
      <c r="A28" s="4"/>
      <c r="B28" s="60"/>
      <c r="C28" s="4"/>
      <c r="D28" s="4"/>
      <c r="E28" s="13">
        <f t="shared" ref="E28:CQ28" si="23">SUM(E6:E27)</f>
        <v>0</v>
      </c>
      <c r="F28" s="13">
        <f t="shared" si="23"/>
        <v>0</v>
      </c>
      <c r="G28" s="13">
        <f t="shared" si="23"/>
        <v>0</v>
      </c>
      <c r="H28" s="13">
        <f t="shared" si="23"/>
        <v>0</v>
      </c>
      <c r="I28" s="17">
        <f t="shared" si="23"/>
        <v>0</v>
      </c>
      <c r="J28" s="17">
        <f t="shared" si="23"/>
        <v>0</v>
      </c>
      <c r="K28" s="17">
        <f t="shared" si="23"/>
        <v>0</v>
      </c>
      <c r="L28" s="52">
        <f t="shared" si="23"/>
        <v>0</v>
      </c>
      <c r="M28" s="52">
        <f t="shared" si="23"/>
        <v>0</v>
      </c>
      <c r="N28" s="52">
        <f t="shared" si="23"/>
        <v>0</v>
      </c>
      <c r="O28" s="52">
        <f t="shared" si="23"/>
        <v>0</v>
      </c>
      <c r="P28" s="61">
        <f t="shared" si="23"/>
        <v>0</v>
      </c>
      <c r="Q28" s="61">
        <f t="shared" si="23"/>
        <v>0</v>
      </c>
      <c r="R28" s="61">
        <f t="shared" si="23"/>
        <v>0</v>
      </c>
      <c r="S28" s="13">
        <f t="shared" si="23"/>
        <v>0</v>
      </c>
      <c r="T28" s="13">
        <f t="shared" si="23"/>
        <v>0</v>
      </c>
      <c r="U28" s="13">
        <f t="shared" si="23"/>
        <v>0</v>
      </c>
      <c r="V28" s="13">
        <f t="shared" si="23"/>
        <v>0</v>
      </c>
      <c r="W28" s="17">
        <f t="shared" si="23"/>
        <v>0</v>
      </c>
      <c r="X28" s="17">
        <f t="shared" si="23"/>
        <v>0</v>
      </c>
      <c r="Y28" s="17">
        <f t="shared" si="23"/>
        <v>0</v>
      </c>
      <c r="Z28" s="52">
        <f t="shared" si="23"/>
        <v>0</v>
      </c>
      <c r="AA28" s="52">
        <f t="shared" si="23"/>
        <v>0</v>
      </c>
      <c r="AB28" s="52">
        <f t="shared" si="23"/>
        <v>0</v>
      </c>
      <c r="AC28" s="52">
        <f t="shared" si="23"/>
        <v>0</v>
      </c>
      <c r="AD28" s="61">
        <f t="shared" si="23"/>
        <v>0</v>
      </c>
      <c r="AE28" s="61">
        <f t="shared" si="23"/>
        <v>0</v>
      </c>
      <c r="AF28" s="61">
        <f t="shared" si="23"/>
        <v>0</v>
      </c>
      <c r="AG28" s="13">
        <f t="shared" si="23"/>
        <v>0</v>
      </c>
      <c r="AH28" s="13">
        <f t="shared" si="23"/>
        <v>0</v>
      </c>
      <c r="AI28" s="13">
        <f t="shared" si="23"/>
        <v>0</v>
      </c>
      <c r="AJ28" s="13">
        <f t="shared" si="23"/>
        <v>0</v>
      </c>
      <c r="AK28" s="17">
        <f t="shared" si="23"/>
        <v>0</v>
      </c>
      <c r="AL28" s="17">
        <f t="shared" si="23"/>
        <v>0</v>
      </c>
      <c r="AM28" s="17">
        <f t="shared" si="23"/>
        <v>0</v>
      </c>
      <c r="AN28" s="52">
        <f t="shared" si="23"/>
        <v>0</v>
      </c>
      <c r="AO28" s="52">
        <f t="shared" si="23"/>
        <v>0</v>
      </c>
      <c r="AP28" s="52">
        <f t="shared" si="23"/>
        <v>0</v>
      </c>
      <c r="AQ28" s="52">
        <f t="shared" si="23"/>
        <v>0</v>
      </c>
      <c r="AR28" s="61">
        <f t="shared" si="23"/>
        <v>0</v>
      </c>
      <c r="AS28" s="61">
        <f t="shared" si="23"/>
        <v>0</v>
      </c>
      <c r="AT28" s="61">
        <f t="shared" si="23"/>
        <v>0</v>
      </c>
      <c r="AU28" s="13">
        <f t="shared" si="23"/>
        <v>0</v>
      </c>
      <c r="AV28" s="13">
        <f t="shared" si="23"/>
        <v>0</v>
      </c>
      <c r="AW28" s="13">
        <f t="shared" si="23"/>
        <v>0</v>
      </c>
      <c r="AX28" s="13">
        <f t="shared" si="23"/>
        <v>0</v>
      </c>
      <c r="AY28" s="17">
        <f t="shared" si="23"/>
        <v>0</v>
      </c>
      <c r="AZ28" s="17">
        <f t="shared" si="23"/>
        <v>0</v>
      </c>
      <c r="BA28" s="17">
        <f t="shared" si="23"/>
        <v>0</v>
      </c>
      <c r="BB28" s="52">
        <f t="shared" si="23"/>
        <v>0</v>
      </c>
      <c r="BC28" s="52">
        <f t="shared" si="23"/>
        <v>0</v>
      </c>
      <c r="BD28" s="52">
        <f t="shared" si="23"/>
        <v>0</v>
      </c>
      <c r="BE28" s="52">
        <f t="shared" si="23"/>
        <v>0</v>
      </c>
      <c r="BF28" s="61">
        <f t="shared" si="23"/>
        <v>0</v>
      </c>
      <c r="BG28" s="61">
        <f t="shared" si="23"/>
        <v>0</v>
      </c>
      <c r="BH28" s="61">
        <f t="shared" si="23"/>
        <v>0</v>
      </c>
      <c r="BI28" s="13">
        <f t="shared" si="23"/>
        <v>0</v>
      </c>
      <c r="BJ28" s="13">
        <f t="shared" si="23"/>
        <v>0</v>
      </c>
      <c r="BK28" s="13">
        <f t="shared" si="23"/>
        <v>0</v>
      </c>
      <c r="BL28" s="13">
        <f t="shared" si="23"/>
        <v>0</v>
      </c>
      <c r="BM28" s="17">
        <f t="shared" si="23"/>
        <v>0</v>
      </c>
      <c r="BN28" s="17">
        <f t="shared" si="23"/>
        <v>0</v>
      </c>
      <c r="BO28" s="17">
        <f t="shared" si="23"/>
        <v>0</v>
      </c>
      <c r="BP28" s="52">
        <f t="shared" si="23"/>
        <v>0</v>
      </c>
      <c r="BQ28" s="52">
        <f t="shared" si="23"/>
        <v>0</v>
      </c>
      <c r="BR28" s="52">
        <f t="shared" si="23"/>
        <v>0</v>
      </c>
      <c r="BS28" s="52">
        <f t="shared" si="23"/>
        <v>0</v>
      </c>
      <c r="BT28" s="61">
        <f t="shared" si="23"/>
        <v>0</v>
      </c>
      <c r="BU28" s="61">
        <f t="shared" si="23"/>
        <v>0</v>
      </c>
      <c r="BV28" s="61">
        <f t="shared" si="23"/>
        <v>0</v>
      </c>
      <c r="BW28" s="13">
        <f t="shared" si="23"/>
        <v>0</v>
      </c>
      <c r="BX28" s="13">
        <f t="shared" si="23"/>
        <v>0</v>
      </c>
      <c r="BY28" s="13">
        <f t="shared" si="23"/>
        <v>0</v>
      </c>
      <c r="BZ28" s="13">
        <f t="shared" si="23"/>
        <v>0</v>
      </c>
      <c r="CA28" s="17">
        <f t="shared" si="23"/>
        <v>0</v>
      </c>
      <c r="CB28" s="17">
        <f t="shared" si="23"/>
        <v>0</v>
      </c>
      <c r="CC28" s="17">
        <f t="shared" si="23"/>
        <v>0</v>
      </c>
      <c r="CD28" s="52">
        <f t="shared" si="23"/>
        <v>0</v>
      </c>
      <c r="CE28" s="52">
        <f t="shared" si="23"/>
        <v>0</v>
      </c>
      <c r="CF28" s="52">
        <f t="shared" si="23"/>
        <v>0</v>
      </c>
      <c r="CG28" s="52">
        <f t="shared" si="23"/>
        <v>0</v>
      </c>
      <c r="CH28" s="61">
        <f t="shared" si="23"/>
        <v>0</v>
      </c>
      <c r="CI28" s="61">
        <f t="shared" si="23"/>
        <v>0</v>
      </c>
      <c r="CJ28" s="61">
        <f t="shared" si="23"/>
        <v>0</v>
      </c>
      <c r="CK28" s="62">
        <f t="shared" si="23"/>
        <v>0</v>
      </c>
      <c r="CL28" s="62">
        <f t="shared" si="23"/>
        <v>0</v>
      </c>
      <c r="CM28" s="62">
        <f t="shared" si="23"/>
        <v>0</v>
      </c>
      <c r="CN28" s="62">
        <f t="shared" si="23"/>
        <v>0</v>
      </c>
      <c r="CO28" s="62">
        <f t="shared" si="23"/>
        <v>0</v>
      </c>
      <c r="CP28" s="62">
        <f t="shared" si="23"/>
        <v>0</v>
      </c>
      <c r="CQ28" s="62">
        <f t="shared" si="23"/>
        <v>0</v>
      </c>
    </row>
    <row r="29" ht="15.75" customHeight="1">
      <c r="A29" s="4"/>
      <c r="B29" s="4"/>
      <c r="C29" s="4"/>
      <c r="D29" s="4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"/>
      <c r="AB29" s="4"/>
      <c r="AC29" s="4"/>
      <c r="AD29" s="40"/>
      <c r="AE29" s="40"/>
      <c r="AF29" s="40"/>
      <c r="AG29" s="4"/>
      <c r="AH29" s="4"/>
      <c r="AI29" s="4"/>
      <c r="AJ29" s="4"/>
      <c r="AK29" s="40"/>
      <c r="AL29" s="40"/>
      <c r="AM29" s="40"/>
      <c r="AN29" s="4"/>
      <c r="AO29" s="4"/>
      <c r="AP29" s="4"/>
      <c r="AQ29" s="4"/>
      <c r="AR29" s="40"/>
      <c r="AS29" s="40"/>
      <c r="AT29" s="40"/>
      <c r="AU29" s="4"/>
      <c r="AV29" s="4"/>
      <c r="AW29" s="4"/>
      <c r="AX29" s="4"/>
      <c r="AY29" s="40"/>
      <c r="AZ29" s="40"/>
      <c r="BA29" s="40"/>
      <c r="BB29" s="4"/>
      <c r="BC29" s="4"/>
      <c r="BD29" s="4"/>
      <c r="BE29" s="4"/>
      <c r="BF29" s="40"/>
      <c r="BG29" s="40"/>
      <c r="BH29" s="40"/>
      <c r="BI29" s="4"/>
      <c r="BJ29" s="4"/>
      <c r="BK29" s="4"/>
      <c r="BL29" s="4"/>
      <c r="BM29" s="40"/>
      <c r="BN29" s="40"/>
      <c r="BO29" s="40"/>
      <c r="BP29" s="4"/>
      <c r="BQ29" s="4"/>
      <c r="BR29" s="4"/>
      <c r="BS29" s="4"/>
      <c r="BT29" s="40"/>
      <c r="BU29" s="40"/>
      <c r="BV29" s="40"/>
      <c r="BW29" s="4"/>
      <c r="BX29" s="4"/>
      <c r="BY29" s="4"/>
      <c r="BZ29" s="4"/>
      <c r="CA29" s="40"/>
      <c r="CB29" s="40"/>
      <c r="CC29" s="40"/>
      <c r="CD29" s="4"/>
      <c r="CE29" s="63"/>
      <c r="CH29" s="40"/>
      <c r="CI29" s="40"/>
      <c r="CJ29" s="40"/>
      <c r="CK29" s="4"/>
      <c r="CL29" s="4"/>
      <c r="CM29" s="4"/>
      <c r="CN29" s="4"/>
      <c r="CO29" s="40"/>
      <c r="CP29" s="40"/>
      <c r="CQ29" s="40"/>
    </row>
    <row r="30" ht="15.75" customHeight="1">
      <c r="A30" s="4"/>
      <c r="B30" s="4"/>
      <c r="C30" s="4"/>
      <c r="D30" s="4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"/>
      <c r="AB30" s="4"/>
      <c r="AC30" s="4"/>
      <c r="AD30" s="40"/>
      <c r="AE30" s="40"/>
      <c r="AF30" s="40"/>
      <c r="AG30" s="4"/>
      <c r="AH30" s="4"/>
      <c r="AI30" s="4"/>
      <c r="AJ30" s="4"/>
      <c r="AK30" s="40"/>
      <c r="AL30" s="40"/>
      <c r="AM30" s="40"/>
      <c r="AN30" s="4"/>
      <c r="AO30" s="4"/>
      <c r="AP30" s="4"/>
      <c r="AQ30" s="4"/>
      <c r="AR30" s="40"/>
      <c r="AS30" s="40"/>
      <c r="AT30" s="40"/>
      <c r="AU30" s="4"/>
      <c r="AV30" s="4"/>
      <c r="AW30" s="4"/>
      <c r="AX30" s="4"/>
      <c r="AY30" s="40"/>
      <c r="AZ30" s="40"/>
      <c r="BA30" s="40"/>
      <c r="BB30" s="4"/>
      <c r="BC30" s="4"/>
      <c r="BD30" s="4"/>
      <c r="BE30" s="4"/>
      <c r="BF30" s="40"/>
      <c r="BG30" s="40"/>
      <c r="BH30" s="40"/>
      <c r="BI30" s="4"/>
      <c r="BJ30" s="4"/>
      <c r="BK30" s="4"/>
      <c r="BL30" s="4"/>
      <c r="BM30" s="40"/>
      <c r="BN30" s="40"/>
      <c r="BO30" s="40"/>
      <c r="BP30" s="4"/>
      <c r="BQ30" s="4"/>
      <c r="BR30" s="4"/>
      <c r="BS30" s="4"/>
      <c r="BT30" s="40"/>
      <c r="BU30" s="40"/>
      <c r="BV30" s="40"/>
      <c r="BW30" s="4"/>
      <c r="BX30" s="4"/>
      <c r="BY30" s="4"/>
      <c r="BZ30" s="4"/>
      <c r="CA30" s="40"/>
      <c r="CB30" s="40"/>
      <c r="CC30" s="40"/>
      <c r="CD30" s="4"/>
      <c r="CE30" s="63"/>
      <c r="CH30" s="40"/>
      <c r="CI30" s="40"/>
      <c r="CJ30" s="40"/>
      <c r="CK30" s="4"/>
      <c r="CL30" s="17"/>
      <c r="CM30" s="4"/>
      <c r="CN30" s="4"/>
      <c r="CO30" s="40"/>
      <c r="CP30" s="17"/>
      <c r="CQ30" s="40"/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4"/>
      <c r="CF31" s="4"/>
      <c r="CG31" s="4"/>
      <c r="CH31" s="40"/>
      <c r="CI31" s="40"/>
      <c r="CJ31" s="40"/>
      <c r="CK31" s="4"/>
      <c r="CL31" s="4"/>
      <c r="CM31" s="4"/>
      <c r="CN31" s="4"/>
      <c r="CO31" s="40"/>
      <c r="CP31" s="17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4"/>
      <c r="CF32" s="4"/>
      <c r="CG32" s="4"/>
      <c r="CH32" s="40"/>
      <c r="CI32" s="40"/>
      <c r="CJ32" s="40"/>
      <c r="CK32" s="4"/>
      <c r="CL32" s="4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40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40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29:CG29"/>
    <mergeCell ref="CE30:CG30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E6:H28 L6:O28 S6:V28 AG6:AJ28 AU6:AX28 BI6:BL28 BW6:BZ28">
    <cfRule type="cellIs" dxfId="0" priority="1" operator="greaterThan">
      <formula>0</formula>
    </cfRule>
  </conditionalFormatting>
  <conditionalFormatting sqref="I6:K27">
    <cfRule type="cellIs" dxfId="0" priority="2" operator="greaterThan">
      <formula>0</formula>
    </cfRule>
  </conditionalFormatting>
  <conditionalFormatting sqref="P6:R27">
    <cfRule type="cellIs" dxfId="0" priority="3" operator="greaterThan">
      <formula>0</formula>
    </cfRule>
  </conditionalFormatting>
  <conditionalFormatting sqref="W6:Y27">
    <cfRule type="cellIs" dxfId="0" priority="4" operator="greaterThan">
      <formula>0</formula>
    </cfRule>
  </conditionalFormatting>
  <conditionalFormatting sqref="Z6:AC28">
    <cfRule type="cellIs" dxfId="0" priority="5" operator="greaterThan">
      <formula>0</formula>
    </cfRule>
  </conditionalFormatting>
  <conditionalFormatting sqref="AK6:AM27">
    <cfRule type="cellIs" dxfId="0" priority="6" operator="greaterThan">
      <formula>0</formula>
    </cfRule>
  </conditionalFormatting>
  <conditionalFormatting sqref="AY6:BA27">
    <cfRule type="cellIs" dxfId="0" priority="7" operator="greaterThan">
      <formula>0</formula>
    </cfRule>
  </conditionalFormatting>
  <conditionalFormatting sqref="BM6:BO27">
    <cfRule type="cellIs" dxfId="0" priority="8" operator="greaterThan">
      <formula>0</formula>
    </cfRule>
  </conditionalFormatting>
  <conditionalFormatting sqref="CA6:CC27">
    <cfRule type="cellIs" dxfId="0" priority="9" operator="greaterThan">
      <formula>0</formula>
    </cfRule>
  </conditionalFormatting>
  <conditionalFormatting sqref="CH6:CJ27">
    <cfRule type="cellIs" dxfId="0" priority="10" operator="greaterThan">
      <formula>0</formula>
    </cfRule>
  </conditionalFormatting>
  <conditionalFormatting sqref="AD6:AF27">
    <cfRule type="cellIs" dxfId="0" priority="11" operator="greaterThan">
      <formula>0</formula>
    </cfRule>
  </conditionalFormatting>
  <conditionalFormatting sqref="AN6:AN28 AO6 AO8:AO28 AP6:AQ28">
    <cfRule type="cellIs" dxfId="0" priority="12" operator="greaterThan">
      <formula>0</formula>
    </cfRule>
  </conditionalFormatting>
  <conditionalFormatting sqref="AR6:AT27">
    <cfRule type="cellIs" dxfId="0" priority="13" operator="greaterThan">
      <formula>0</formula>
    </cfRule>
  </conditionalFormatting>
  <conditionalFormatting sqref="BB6:BE28">
    <cfRule type="cellIs" dxfId="0" priority="14" operator="greaterThan">
      <formula>0</formula>
    </cfRule>
  </conditionalFormatting>
  <conditionalFormatting sqref="BF6:BH27">
    <cfRule type="cellIs" dxfId="0" priority="15" operator="greaterThan">
      <formula>0</formula>
    </cfRule>
  </conditionalFormatting>
  <conditionalFormatting sqref="BP6:BS28">
    <cfRule type="cellIs" dxfId="0" priority="16" operator="greaterThan">
      <formula>0</formula>
    </cfRule>
  </conditionalFormatting>
  <conditionalFormatting sqref="BT6:BV27">
    <cfRule type="cellIs" dxfId="0" priority="17" operator="greaterThan">
      <formula>0</formula>
    </cfRule>
  </conditionalFormatting>
  <conditionalFormatting sqref="CD6:CG28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Row="1"/>
  <cols>
    <col customWidth="1" min="1" max="1" width="1.43"/>
    <col customWidth="1" min="2" max="2" width="10.57"/>
    <col customWidth="1" min="3" max="3" width="22.0"/>
    <col customWidth="1" min="4" max="4" width="4.14"/>
    <col customWidth="1" min="5" max="5" width="7.0"/>
    <col customWidth="1" min="6" max="6" width="5.0"/>
    <col customWidth="1" min="7" max="7" width="8.57"/>
    <col customWidth="1" min="8" max="8" width="7.0"/>
    <col customWidth="1" min="9" max="9" width="6.0"/>
    <col customWidth="1" min="10" max="10" width="6.57"/>
    <col customWidth="1" min="11" max="11" width="6.0"/>
    <col customWidth="1" min="12" max="15" width="7.0"/>
    <col customWidth="1" min="16" max="16" width="6.0"/>
    <col customWidth="1" min="17" max="17" width="6.57"/>
    <col customWidth="1" min="18" max="18" width="6.0"/>
    <col customWidth="1" min="19" max="22" width="7.0"/>
    <col customWidth="1" min="23" max="23" width="6.0"/>
    <col customWidth="1" min="24" max="24" width="6.57"/>
    <col customWidth="1" min="25" max="25" width="6.0"/>
    <col customWidth="1" min="26" max="29" width="7.0"/>
    <col customWidth="1" min="30" max="30" width="6.0"/>
    <col customWidth="1" min="31" max="31" width="6.57"/>
    <col customWidth="1" min="32" max="32" width="6.0"/>
    <col customWidth="1" min="33" max="36" width="7.0"/>
    <col customWidth="1" min="37" max="37" width="6.0"/>
    <col customWidth="1" min="38" max="38" width="6.57"/>
    <col customWidth="1" min="39" max="39" width="6.0"/>
    <col customWidth="1" min="40" max="43" width="7.0"/>
    <col customWidth="1" min="44" max="44" width="6.0"/>
    <col customWidth="1" min="45" max="45" width="6.57"/>
    <col customWidth="1" min="46" max="46" width="6.0"/>
    <col customWidth="1" min="47" max="50" width="7.0"/>
    <col customWidth="1" min="51" max="51" width="6.0"/>
    <col customWidth="1" min="52" max="52" width="6.57"/>
    <col customWidth="1" min="53" max="53" width="6.0"/>
    <col customWidth="1" min="54" max="57" width="7.0"/>
    <col customWidth="1" min="58" max="58" width="6.0"/>
    <col customWidth="1" min="59" max="59" width="6.57"/>
    <col customWidth="1" min="60" max="60" width="6.0"/>
    <col customWidth="1" min="61" max="64" width="7.0"/>
    <col customWidth="1" min="65" max="65" width="6.0"/>
    <col customWidth="1" min="66" max="66" width="6.57"/>
    <col customWidth="1" min="67" max="67" width="6.0"/>
    <col customWidth="1" min="68" max="71" width="7.0"/>
    <col customWidth="1" min="72" max="72" width="6.0"/>
    <col customWidth="1" min="73" max="73" width="6.57"/>
    <col customWidth="1" min="74" max="74" width="6.0"/>
    <col customWidth="1" min="75" max="78" width="7.0"/>
    <col customWidth="1" min="79" max="79" width="6.0"/>
    <col customWidth="1" min="80" max="80" width="6.57"/>
    <col customWidth="1" min="81" max="81" width="6.0"/>
    <col customWidth="1" min="82" max="85" width="7.0"/>
    <col customWidth="1" min="86" max="86" width="6.0"/>
    <col customWidth="1" min="87" max="87" width="6.57"/>
    <col customWidth="1" min="88" max="88" width="6.0"/>
    <col customWidth="1" min="89" max="92" width="7.0"/>
    <col customWidth="1" min="93" max="93" width="6.0"/>
    <col customWidth="1" min="94" max="94" width="8.0"/>
    <col customWidth="1" min="95" max="95" width="6.0"/>
  </cols>
  <sheetData>
    <row r="1">
      <c r="A1" s="1" t="s">
        <v>92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>
      <c r="A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ht="16.5" customHeight="1">
      <c r="A3" s="4"/>
      <c r="B3" s="16" t="s">
        <v>1</v>
      </c>
      <c r="C3" s="16" t="s">
        <v>3</v>
      </c>
      <c r="D3" s="16" t="s">
        <v>4</v>
      </c>
      <c r="E3" s="20" t="s">
        <v>6</v>
      </c>
      <c r="F3" s="21"/>
      <c r="G3" s="21"/>
      <c r="H3" s="21"/>
      <c r="I3" s="21"/>
      <c r="J3" s="21"/>
      <c r="K3" s="22"/>
      <c r="L3" s="20" t="s">
        <v>8</v>
      </c>
      <c r="M3" s="21"/>
      <c r="N3" s="21"/>
      <c r="O3" s="21"/>
      <c r="P3" s="21"/>
      <c r="Q3" s="21"/>
      <c r="R3" s="22"/>
      <c r="S3" s="20" t="s">
        <v>10</v>
      </c>
      <c r="T3" s="21"/>
      <c r="U3" s="21"/>
      <c r="V3" s="21"/>
      <c r="W3" s="21"/>
      <c r="X3" s="21"/>
      <c r="Y3" s="22"/>
      <c r="Z3" s="20" t="s">
        <v>11</v>
      </c>
      <c r="AA3" s="21"/>
      <c r="AB3" s="21"/>
      <c r="AC3" s="21"/>
      <c r="AD3" s="21"/>
      <c r="AE3" s="21"/>
      <c r="AF3" s="22"/>
      <c r="AG3" s="20" t="s">
        <v>13</v>
      </c>
      <c r="AH3" s="21"/>
      <c r="AI3" s="21"/>
      <c r="AJ3" s="21"/>
      <c r="AK3" s="21"/>
      <c r="AL3" s="21"/>
      <c r="AM3" s="22"/>
      <c r="AN3" s="20" t="s">
        <v>14</v>
      </c>
      <c r="AO3" s="21"/>
      <c r="AP3" s="21"/>
      <c r="AQ3" s="21"/>
      <c r="AR3" s="21"/>
      <c r="AS3" s="21"/>
      <c r="AT3" s="22"/>
      <c r="AU3" s="20" t="s">
        <v>15</v>
      </c>
      <c r="AV3" s="21"/>
      <c r="AW3" s="21"/>
      <c r="AX3" s="21"/>
      <c r="AY3" s="21"/>
      <c r="AZ3" s="21"/>
      <c r="BA3" s="22"/>
      <c r="BB3" s="20" t="s">
        <v>16</v>
      </c>
      <c r="BC3" s="21"/>
      <c r="BD3" s="21"/>
      <c r="BE3" s="21"/>
      <c r="BF3" s="21"/>
      <c r="BG3" s="21"/>
      <c r="BH3" s="22"/>
      <c r="BI3" s="20" t="s">
        <v>17</v>
      </c>
      <c r="BJ3" s="21"/>
      <c r="BK3" s="21"/>
      <c r="BL3" s="21"/>
      <c r="BM3" s="21"/>
      <c r="BN3" s="21"/>
      <c r="BO3" s="22"/>
      <c r="BP3" s="20" t="s">
        <v>18</v>
      </c>
      <c r="BQ3" s="21"/>
      <c r="BR3" s="21"/>
      <c r="BS3" s="21"/>
      <c r="BT3" s="21"/>
      <c r="BU3" s="21"/>
      <c r="BV3" s="22"/>
      <c r="BW3" s="20" t="s">
        <v>19</v>
      </c>
      <c r="BX3" s="21"/>
      <c r="BY3" s="21"/>
      <c r="BZ3" s="21"/>
      <c r="CA3" s="21"/>
      <c r="CB3" s="21"/>
      <c r="CC3" s="22"/>
      <c r="CD3" s="20" t="s">
        <v>20</v>
      </c>
      <c r="CE3" s="21"/>
      <c r="CF3" s="21"/>
      <c r="CG3" s="21"/>
      <c r="CH3" s="21"/>
      <c r="CI3" s="21"/>
      <c r="CJ3" s="22"/>
      <c r="CK3" s="24" t="s">
        <v>12</v>
      </c>
      <c r="CL3" s="25"/>
      <c r="CM3" s="25"/>
      <c r="CN3" s="25"/>
      <c r="CO3" s="25"/>
      <c r="CP3" s="25"/>
      <c r="CQ3" s="26"/>
    </row>
    <row r="4" ht="21.0" customHeight="1">
      <c r="A4" s="4"/>
      <c r="B4" s="7"/>
      <c r="C4" s="7"/>
      <c r="D4" s="7"/>
      <c r="E4" s="28" t="s">
        <v>50</v>
      </c>
      <c r="F4" s="28" t="s">
        <v>52</v>
      </c>
      <c r="G4" s="28" t="s">
        <v>55</v>
      </c>
      <c r="H4" s="29" t="s">
        <v>56</v>
      </c>
      <c r="I4" s="22"/>
      <c r="J4" s="29" t="s">
        <v>59</v>
      </c>
      <c r="K4" s="22"/>
      <c r="L4" s="28" t="s">
        <v>50</v>
      </c>
      <c r="M4" s="28" t="s">
        <v>52</v>
      </c>
      <c r="N4" s="28" t="s">
        <v>55</v>
      </c>
      <c r="O4" s="29" t="s">
        <v>56</v>
      </c>
      <c r="P4" s="22"/>
      <c r="Q4" s="29" t="s">
        <v>59</v>
      </c>
      <c r="R4" s="22"/>
      <c r="S4" s="28" t="s">
        <v>50</v>
      </c>
      <c r="T4" s="28" t="s">
        <v>52</v>
      </c>
      <c r="U4" s="28" t="s">
        <v>55</v>
      </c>
      <c r="V4" s="29" t="s">
        <v>56</v>
      </c>
      <c r="W4" s="22"/>
      <c r="X4" s="29" t="s">
        <v>59</v>
      </c>
      <c r="Y4" s="22"/>
      <c r="Z4" s="28" t="s">
        <v>50</v>
      </c>
      <c r="AA4" s="28" t="s">
        <v>52</v>
      </c>
      <c r="AB4" s="28" t="s">
        <v>55</v>
      </c>
      <c r="AC4" s="29" t="s">
        <v>56</v>
      </c>
      <c r="AD4" s="22"/>
      <c r="AE4" s="29" t="s">
        <v>59</v>
      </c>
      <c r="AF4" s="22"/>
      <c r="AG4" s="28" t="s">
        <v>50</v>
      </c>
      <c r="AH4" s="28" t="s">
        <v>52</v>
      </c>
      <c r="AI4" s="28" t="s">
        <v>55</v>
      </c>
      <c r="AJ4" s="29" t="s">
        <v>56</v>
      </c>
      <c r="AK4" s="22"/>
      <c r="AL4" s="29" t="s">
        <v>59</v>
      </c>
      <c r="AM4" s="22"/>
      <c r="AN4" s="28" t="s">
        <v>50</v>
      </c>
      <c r="AO4" s="28" t="s">
        <v>52</v>
      </c>
      <c r="AP4" s="28" t="s">
        <v>55</v>
      </c>
      <c r="AQ4" s="29" t="s">
        <v>56</v>
      </c>
      <c r="AR4" s="22"/>
      <c r="AS4" s="29" t="s">
        <v>59</v>
      </c>
      <c r="AT4" s="22"/>
      <c r="AU4" s="28" t="s">
        <v>50</v>
      </c>
      <c r="AV4" s="28" t="s">
        <v>52</v>
      </c>
      <c r="AW4" s="28" t="s">
        <v>55</v>
      </c>
      <c r="AX4" s="29" t="s">
        <v>56</v>
      </c>
      <c r="AY4" s="22"/>
      <c r="AZ4" s="29" t="s">
        <v>59</v>
      </c>
      <c r="BA4" s="22"/>
      <c r="BB4" s="28" t="s">
        <v>50</v>
      </c>
      <c r="BC4" s="28" t="s">
        <v>52</v>
      </c>
      <c r="BD4" s="28" t="s">
        <v>55</v>
      </c>
      <c r="BE4" s="29" t="s">
        <v>56</v>
      </c>
      <c r="BF4" s="22"/>
      <c r="BG4" s="29" t="s">
        <v>59</v>
      </c>
      <c r="BH4" s="22"/>
      <c r="BI4" s="28" t="s">
        <v>50</v>
      </c>
      <c r="BJ4" s="28" t="s">
        <v>52</v>
      </c>
      <c r="BK4" s="28" t="s">
        <v>55</v>
      </c>
      <c r="BL4" s="29" t="s">
        <v>56</v>
      </c>
      <c r="BM4" s="22"/>
      <c r="BN4" s="29" t="s">
        <v>59</v>
      </c>
      <c r="BO4" s="22"/>
      <c r="BP4" s="28" t="s">
        <v>50</v>
      </c>
      <c r="BQ4" s="28" t="s">
        <v>52</v>
      </c>
      <c r="BR4" s="28" t="s">
        <v>55</v>
      </c>
      <c r="BS4" s="29" t="s">
        <v>56</v>
      </c>
      <c r="BT4" s="22"/>
      <c r="BU4" s="29" t="s">
        <v>59</v>
      </c>
      <c r="BV4" s="22"/>
      <c r="BW4" s="28" t="s">
        <v>50</v>
      </c>
      <c r="BX4" s="28" t="s">
        <v>52</v>
      </c>
      <c r="BY4" s="28" t="s">
        <v>55</v>
      </c>
      <c r="BZ4" s="29" t="s">
        <v>56</v>
      </c>
      <c r="CA4" s="22"/>
      <c r="CB4" s="29" t="s">
        <v>59</v>
      </c>
      <c r="CC4" s="22"/>
      <c r="CD4" s="28" t="s">
        <v>50</v>
      </c>
      <c r="CE4" s="28" t="s">
        <v>52</v>
      </c>
      <c r="CF4" s="28" t="s">
        <v>55</v>
      </c>
      <c r="CG4" s="29" t="s">
        <v>56</v>
      </c>
      <c r="CH4" s="22"/>
      <c r="CI4" s="29" t="s">
        <v>59</v>
      </c>
      <c r="CJ4" s="22"/>
      <c r="CK4" s="28" t="s">
        <v>50</v>
      </c>
      <c r="CL4" s="28" t="s">
        <v>52</v>
      </c>
      <c r="CM4" s="28" t="s">
        <v>55</v>
      </c>
      <c r="CN4" s="29" t="s">
        <v>56</v>
      </c>
      <c r="CO4" s="22"/>
      <c r="CP4" s="29" t="s">
        <v>59</v>
      </c>
      <c r="CQ4" s="22"/>
    </row>
    <row r="5">
      <c r="A5" s="42" t="s">
        <v>84</v>
      </c>
      <c r="B5" s="43"/>
      <c r="C5" s="43"/>
      <c r="D5" s="43"/>
      <c r="E5" s="44"/>
      <c r="F5" s="44"/>
      <c r="G5" s="44"/>
      <c r="H5" s="45" t="s">
        <v>85</v>
      </c>
      <c r="I5" s="45" t="s">
        <v>87</v>
      </c>
      <c r="J5" s="45" t="s">
        <v>85</v>
      </c>
      <c r="K5" s="47" t="s">
        <v>87</v>
      </c>
      <c r="L5" s="44"/>
      <c r="M5" s="44"/>
      <c r="N5" s="44"/>
      <c r="O5" s="45" t="s">
        <v>85</v>
      </c>
      <c r="P5" s="45" t="s">
        <v>87</v>
      </c>
      <c r="Q5" s="45" t="s">
        <v>85</v>
      </c>
      <c r="R5" s="47" t="s">
        <v>87</v>
      </c>
      <c r="S5" s="44"/>
      <c r="T5" s="44"/>
      <c r="U5" s="44"/>
      <c r="V5" s="45" t="s">
        <v>85</v>
      </c>
      <c r="W5" s="45" t="s">
        <v>87</v>
      </c>
      <c r="X5" s="45" t="s">
        <v>85</v>
      </c>
      <c r="Y5" s="47" t="s">
        <v>87</v>
      </c>
      <c r="Z5" s="44"/>
      <c r="AA5" s="44"/>
      <c r="AB5" s="44"/>
      <c r="AC5" s="45" t="s">
        <v>85</v>
      </c>
      <c r="AD5" s="45" t="s">
        <v>87</v>
      </c>
      <c r="AE5" s="45" t="s">
        <v>85</v>
      </c>
      <c r="AF5" s="47" t="s">
        <v>87</v>
      </c>
      <c r="AG5" s="44"/>
      <c r="AH5" s="44"/>
      <c r="AI5" s="44"/>
      <c r="AJ5" s="45" t="s">
        <v>85</v>
      </c>
      <c r="AK5" s="45" t="s">
        <v>87</v>
      </c>
      <c r="AL5" s="45" t="s">
        <v>85</v>
      </c>
      <c r="AM5" s="47" t="s">
        <v>87</v>
      </c>
      <c r="AN5" s="44"/>
      <c r="AO5" s="44"/>
      <c r="AP5" s="44"/>
      <c r="AQ5" s="45" t="s">
        <v>85</v>
      </c>
      <c r="AR5" s="45" t="s">
        <v>87</v>
      </c>
      <c r="AS5" s="45" t="s">
        <v>85</v>
      </c>
      <c r="AT5" s="47" t="s">
        <v>87</v>
      </c>
      <c r="AU5" s="44"/>
      <c r="AV5" s="44"/>
      <c r="AW5" s="44"/>
      <c r="AX5" s="45" t="s">
        <v>85</v>
      </c>
      <c r="AY5" s="45" t="s">
        <v>87</v>
      </c>
      <c r="AZ5" s="45" t="s">
        <v>85</v>
      </c>
      <c r="BA5" s="47" t="s">
        <v>87</v>
      </c>
      <c r="BB5" s="44"/>
      <c r="BC5" s="44"/>
      <c r="BD5" s="44"/>
      <c r="BE5" s="45" t="s">
        <v>85</v>
      </c>
      <c r="BF5" s="45" t="s">
        <v>87</v>
      </c>
      <c r="BG5" s="45" t="s">
        <v>85</v>
      </c>
      <c r="BH5" s="47" t="s">
        <v>87</v>
      </c>
      <c r="BI5" s="44"/>
      <c r="BJ5" s="44"/>
      <c r="BK5" s="44"/>
      <c r="BL5" s="45" t="s">
        <v>85</v>
      </c>
      <c r="BM5" s="45" t="s">
        <v>87</v>
      </c>
      <c r="BN5" s="45" t="s">
        <v>85</v>
      </c>
      <c r="BO5" s="47" t="s">
        <v>87</v>
      </c>
      <c r="BP5" s="44"/>
      <c r="BQ5" s="44"/>
      <c r="BR5" s="44"/>
      <c r="BS5" s="45" t="s">
        <v>85</v>
      </c>
      <c r="BT5" s="45" t="s">
        <v>87</v>
      </c>
      <c r="BU5" s="45" t="s">
        <v>85</v>
      </c>
      <c r="BV5" s="47" t="s">
        <v>87</v>
      </c>
      <c r="BW5" s="44"/>
      <c r="BX5" s="44"/>
      <c r="BY5" s="44"/>
      <c r="BZ5" s="45" t="s">
        <v>85</v>
      </c>
      <c r="CA5" s="45" t="s">
        <v>87</v>
      </c>
      <c r="CB5" s="45" t="s">
        <v>85</v>
      </c>
      <c r="CC5" s="47" t="s">
        <v>87</v>
      </c>
      <c r="CD5" s="44"/>
      <c r="CE5" s="44"/>
      <c r="CF5" s="44"/>
      <c r="CG5" s="45" t="s">
        <v>85</v>
      </c>
      <c r="CH5" s="45" t="s">
        <v>87</v>
      </c>
      <c r="CI5" s="45" t="s">
        <v>85</v>
      </c>
      <c r="CJ5" s="47" t="s">
        <v>87</v>
      </c>
      <c r="CK5" s="44"/>
      <c r="CL5" s="44"/>
      <c r="CM5" s="44"/>
      <c r="CN5" s="45" t="s">
        <v>85</v>
      </c>
      <c r="CO5" s="45" t="s">
        <v>87</v>
      </c>
      <c r="CP5" s="45" t="s">
        <v>85</v>
      </c>
      <c r="CQ5" s="47" t="s">
        <v>87</v>
      </c>
    </row>
    <row r="6" outlineLevel="1">
      <c r="A6" s="4"/>
      <c r="B6" s="12" t="s">
        <v>24</v>
      </c>
      <c r="C6" s="12" t="s">
        <v>25</v>
      </c>
      <c r="D6" s="12" t="s">
        <v>26</v>
      </c>
      <c r="E6" s="13"/>
      <c r="F6" s="13"/>
      <c r="G6" s="13"/>
      <c r="H6" s="13"/>
      <c r="I6" s="13"/>
      <c r="J6" s="13"/>
      <c r="K6" s="51"/>
      <c r="L6" s="52"/>
      <c r="M6" s="52"/>
      <c r="N6" s="52"/>
      <c r="O6" s="52"/>
      <c r="P6" s="52"/>
      <c r="Q6" s="52"/>
      <c r="R6" s="52"/>
      <c r="S6" s="13"/>
      <c r="T6" s="13"/>
      <c r="U6" s="13"/>
      <c r="V6" s="13"/>
      <c r="W6" s="13"/>
      <c r="X6" s="13"/>
      <c r="Y6" s="13"/>
      <c r="Z6" s="52"/>
      <c r="AA6" s="52"/>
      <c r="AB6" s="52"/>
      <c r="AC6" s="52"/>
      <c r="AD6" s="52"/>
      <c r="AE6" s="52"/>
      <c r="AF6" s="52"/>
      <c r="AG6" s="13"/>
      <c r="AH6" s="13"/>
      <c r="AI6" s="13"/>
      <c r="AJ6" s="13"/>
      <c r="AK6" s="13"/>
      <c r="AL6" s="13"/>
      <c r="AM6" s="13"/>
      <c r="AN6" s="52"/>
      <c r="AO6" s="52"/>
      <c r="AP6" s="52"/>
      <c r="AQ6" s="52"/>
      <c r="AR6" s="52"/>
      <c r="AS6" s="52"/>
      <c r="AT6" s="52"/>
      <c r="AU6" s="13"/>
      <c r="AV6" s="13"/>
      <c r="AW6" s="13"/>
      <c r="AX6" s="13"/>
      <c r="AY6" s="13"/>
      <c r="AZ6" s="13"/>
      <c r="BA6" s="13"/>
      <c r="BB6" s="52"/>
      <c r="BC6" s="52"/>
      <c r="BD6" s="52"/>
      <c r="BE6" s="52"/>
      <c r="BF6" s="52"/>
      <c r="BG6" s="52"/>
      <c r="BH6" s="52"/>
      <c r="BI6" s="13"/>
      <c r="BJ6" s="13"/>
      <c r="BK6" s="13"/>
      <c r="BL6" s="13"/>
      <c r="BM6" s="13"/>
      <c r="BN6" s="13"/>
      <c r="BO6" s="13"/>
      <c r="BP6" s="52"/>
      <c r="BQ6" s="52"/>
      <c r="BR6" s="52"/>
      <c r="BS6" s="52"/>
      <c r="BT6" s="52"/>
      <c r="BU6" s="52"/>
      <c r="BV6" s="52"/>
      <c r="BW6" s="13"/>
      <c r="BX6" s="13"/>
      <c r="BY6" s="13"/>
      <c r="BZ6" s="13"/>
      <c r="CA6" s="13"/>
      <c r="CB6" s="13"/>
      <c r="CC6" s="13"/>
      <c r="CD6" s="52"/>
      <c r="CE6" s="52"/>
      <c r="CF6" s="52"/>
      <c r="CG6" s="52"/>
      <c r="CH6" s="52"/>
      <c r="CI6" s="52"/>
      <c r="CJ6" s="52"/>
      <c r="CK6" s="56">
        <f t="shared" ref="CK6:CQ6" si="1">SUM(E6,L6,S6,Z6,AG6,AN6,AU6,BB6,BI6,BP6,BW6,CD6)</f>
        <v>0</v>
      </c>
      <c r="CL6" s="56">
        <f t="shared" si="1"/>
        <v>0</v>
      </c>
      <c r="CM6" s="56">
        <f t="shared" si="1"/>
        <v>0</v>
      </c>
      <c r="CN6" s="56">
        <f t="shared" si="1"/>
        <v>0</v>
      </c>
      <c r="CO6" s="56">
        <f t="shared" si="1"/>
        <v>0</v>
      </c>
      <c r="CP6" s="56">
        <f t="shared" si="1"/>
        <v>0</v>
      </c>
      <c r="CQ6" s="56">
        <f t="shared" si="1"/>
        <v>0</v>
      </c>
    </row>
    <row r="7" outlineLevel="1">
      <c r="A7" s="4"/>
      <c r="B7" s="12" t="s">
        <v>27</v>
      </c>
      <c r="C7" s="12" t="s">
        <v>28</v>
      </c>
      <c r="D7" s="12" t="s">
        <v>26</v>
      </c>
      <c r="E7" s="13"/>
      <c r="F7" s="13"/>
      <c r="G7" s="13"/>
      <c r="H7" s="13"/>
      <c r="I7" s="13"/>
      <c r="J7" s="13"/>
      <c r="K7" s="13"/>
      <c r="L7" s="52"/>
      <c r="M7" s="52"/>
      <c r="N7" s="52"/>
      <c r="O7" s="52"/>
      <c r="P7" s="52"/>
      <c r="Q7" s="52"/>
      <c r="R7" s="52"/>
      <c r="S7" s="13"/>
      <c r="T7" s="13"/>
      <c r="U7" s="13"/>
      <c r="V7" s="13"/>
      <c r="W7" s="13"/>
      <c r="X7" s="13"/>
      <c r="Y7" s="13"/>
      <c r="Z7" s="52"/>
      <c r="AA7" s="52"/>
      <c r="AB7" s="52"/>
      <c r="AC7" s="52"/>
      <c r="AD7" s="52"/>
      <c r="AE7" s="52"/>
      <c r="AF7" s="52"/>
      <c r="AG7" s="13"/>
      <c r="AH7" s="13"/>
      <c r="AI7" s="13"/>
      <c r="AJ7" s="13"/>
      <c r="AK7" s="13"/>
      <c r="AL7" s="13"/>
      <c r="AM7" s="13"/>
      <c r="AN7" s="52"/>
      <c r="AO7" s="52"/>
      <c r="AP7" s="52"/>
      <c r="AQ7" s="52"/>
      <c r="AR7" s="52"/>
      <c r="AS7" s="52"/>
      <c r="AT7" s="52"/>
      <c r="AU7" s="13"/>
      <c r="AV7" s="13"/>
      <c r="AW7" s="13"/>
      <c r="AX7" s="13"/>
      <c r="AY7" s="13"/>
      <c r="AZ7" s="13"/>
      <c r="BA7" s="13"/>
      <c r="BB7" s="52"/>
      <c r="BC7" s="52"/>
      <c r="BD7" s="52"/>
      <c r="BE7" s="52"/>
      <c r="BF7" s="52"/>
      <c r="BG7" s="52"/>
      <c r="BH7" s="52"/>
      <c r="BI7" s="13"/>
      <c r="BJ7" s="13"/>
      <c r="BK7" s="13"/>
      <c r="BL7" s="13"/>
      <c r="BM7" s="13"/>
      <c r="BN7" s="13"/>
      <c r="BO7" s="13"/>
      <c r="BP7" s="52"/>
      <c r="BQ7" s="52"/>
      <c r="BR7" s="52"/>
      <c r="BS7" s="52"/>
      <c r="BT7" s="52"/>
      <c r="BU7" s="52"/>
      <c r="BV7" s="52"/>
      <c r="BW7" s="13"/>
      <c r="BX7" s="13"/>
      <c r="BY7" s="13"/>
      <c r="BZ7" s="13"/>
      <c r="CA7" s="13"/>
      <c r="CB7" s="13"/>
      <c r="CC7" s="13"/>
      <c r="CD7" s="52"/>
      <c r="CE7" s="52"/>
      <c r="CF7" s="52"/>
      <c r="CG7" s="52"/>
      <c r="CH7" s="52"/>
      <c r="CI7" s="52"/>
      <c r="CJ7" s="52"/>
      <c r="CK7" s="56">
        <f t="shared" ref="CK7:CQ7" si="2">SUM(E7,L7,S7,Z7,AG7,AN7,AU7,BB7,BI7,BP7,BW7,CD7)</f>
        <v>0</v>
      </c>
      <c r="CL7" s="56">
        <f t="shared" si="2"/>
        <v>0</v>
      </c>
      <c r="CM7" s="56">
        <f t="shared" si="2"/>
        <v>0</v>
      </c>
      <c r="CN7" s="56">
        <f t="shared" si="2"/>
        <v>0</v>
      </c>
      <c r="CO7" s="56">
        <f t="shared" si="2"/>
        <v>0</v>
      </c>
      <c r="CP7" s="56">
        <f t="shared" si="2"/>
        <v>0</v>
      </c>
      <c r="CQ7" s="56">
        <f t="shared" si="2"/>
        <v>0</v>
      </c>
    </row>
    <row r="8" outlineLevel="1">
      <c r="A8" s="4"/>
      <c r="B8" s="12" t="s">
        <v>27</v>
      </c>
      <c r="C8" s="23" t="s">
        <v>29</v>
      </c>
      <c r="D8" s="12" t="s">
        <v>26</v>
      </c>
      <c r="E8" s="13"/>
      <c r="F8" s="13"/>
      <c r="G8" s="13"/>
      <c r="H8" s="13"/>
      <c r="I8" s="13"/>
      <c r="J8" s="13"/>
      <c r="K8" s="13"/>
      <c r="L8" s="52"/>
      <c r="M8" s="52"/>
      <c r="N8" s="52"/>
      <c r="O8" s="52"/>
      <c r="P8" s="52"/>
      <c r="Q8" s="52"/>
      <c r="R8" s="52"/>
      <c r="S8" s="13"/>
      <c r="T8" s="13"/>
      <c r="U8" s="13"/>
      <c r="V8" s="13"/>
      <c r="W8" s="13"/>
      <c r="X8" s="13"/>
      <c r="Y8" s="13"/>
      <c r="Z8" s="52"/>
      <c r="AA8" s="52"/>
      <c r="AB8" s="52"/>
      <c r="AC8" s="52"/>
      <c r="AD8" s="52"/>
      <c r="AE8" s="52"/>
      <c r="AF8" s="52"/>
      <c r="AG8" s="13"/>
      <c r="AH8" s="13"/>
      <c r="AI8" s="13"/>
      <c r="AJ8" s="13"/>
      <c r="AK8" s="13"/>
      <c r="AL8" s="13"/>
      <c r="AM8" s="13"/>
      <c r="AN8" s="52"/>
      <c r="AO8" s="52"/>
      <c r="AP8" s="52"/>
      <c r="AQ8" s="52"/>
      <c r="AR8" s="52"/>
      <c r="AS8" s="52"/>
      <c r="AT8" s="52"/>
      <c r="AU8" s="13"/>
      <c r="AV8" s="13"/>
      <c r="AW8" s="13"/>
      <c r="AX8" s="13"/>
      <c r="AY8" s="13"/>
      <c r="AZ8" s="13"/>
      <c r="BA8" s="13"/>
      <c r="BB8" s="52"/>
      <c r="BC8" s="52"/>
      <c r="BD8" s="52"/>
      <c r="BE8" s="52"/>
      <c r="BF8" s="52"/>
      <c r="BG8" s="52"/>
      <c r="BH8" s="52"/>
      <c r="BI8" s="13"/>
      <c r="BJ8" s="13"/>
      <c r="BK8" s="13"/>
      <c r="BL8" s="13"/>
      <c r="BM8" s="13"/>
      <c r="BN8" s="13"/>
      <c r="BO8" s="13"/>
      <c r="BP8" s="52"/>
      <c r="BQ8" s="52"/>
      <c r="BR8" s="52"/>
      <c r="BS8" s="52"/>
      <c r="BT8" s="52"/>
      <c r="BU8" s="52"/>
      <c r="BV8" s="52"/>
      <c r="BW8" s="13"/>
      <c r="BX8" s="13"/>
      <c r="BY8" s="13"/>
      <c r="BZ8" s="13"/>
      <c r="CA8" s="13"/>
      <c r="CB8" s="13"/>
      <c r="CC8" s="13"/>
      <c r="CD8" s="52"/>
      <c r="CE8" s="52"/>
      <c r="CF8" s="52"/>
      <c r="CG8" s="52"/>
      <c r="CH8" s="52"/>
      <c r="CI8" s="52"/>
      <c r="CJ8" s="52"/>
      <c r="CK8" s="56">
        <f t="shared" ref="CK8:CQ8" si="3">SUM(E8,L8,S8,Z8,AG8,AN8,AU8,BB8,BI8,BP8,BW8,CD8)</f>
        <v>0</v>
      </c>
      <c r="CL8" s="56">
        <f t="shared" si="3"/>
        <v>0</v>
      </c>
      <c r="CM8" s="56">
        <f t="shared" si="3"/>
        <v>0</v>
      </c>
      <c r="CN8" s="56">
        <f t="shared" si="3"/>
        <v>0</v>
      </c>
      <c r="CO8" s="56">
        <f t="shared" si="3"/>
        <v>0</v>
      </c>
      <c r="CP8" s="56">
        <f t="shared" si="3"/>
        <v>0</v>
      </c>
      <c r="CQ8" s="56">
        <f t="shared" si="3"/>
        <v>0</v>
      </c>
    </row>
    <row r="9" outlineLevel="1">
      <c r="A9" s="4"/>
      <c r="B9" s="12" t="s">
        <v>30</v>
      </c>
      <c r="C9" s="23" t="s">
        <v>31</v>
      </c>
      <c r="D9" s="12" t="s">
        <v>26</v>
      </c>
      <c r="E9" s="13"/>
      <c r="F9" s="13"/>
      <c r="G9" s="13"/>
      <c r="H9" s="13"/>
      <c r="I9" s="13"/>
      <c r="J9" s="13"/>
      <c r="K9" s="13"/>
      <c r="L9" s="52"/>
      <c r="M9" s="52"/>
      <c r="N9" s="52"/>
      <c r="O9" s="52"/>
      <c r="P9" s="52"/>
      <c r="Q9" s="52"/>
      <c r="R9" s="52"/>
      <c r="S9" s="13"/>
      <c r="T9" s="13"/>
      <c r="U9" s="13"/>
      <c r="V9" s="13"/>
      <c r="W9" s="13"/>
      <c r="X9" s="13"/>
      <c r="Y9" s="13"/>
      <c r="Z9" s="52"/>
      <c r="AA9" s="52"/>
      <c r="AB9" s="52"/>
      <c r="AC9" s="52"/>
      <c r="AD9" s="52"/>
      <c r="AE9" s="52"/>
      <c r="AF9" s="52"/>
      <c r="AG9" s="13"/>
      <c r="AH9" s="13"/>
      <c r="AI9" s="13"/>
      <c r="AJ9" s="13"/>
      <c r="AK9" s="13"/>
      <c r="AL9" s="13"/>
      <c r="AM9" s="13"/>
      <c r="AN9" s="52"/>
      <c r="AO9" s="52"/>
      <c r="AP9" s="52"/>
      <c r="AQ9" s="52"/>
      <c r="AR9" s="52"/>
      <c r="AS9" s="52"/>
      <c r="AT9" s="52"/>
      <c r="AU9" s="13"/>
      <c r="AV9" s="13"/>
      <c r="AW9" s="13"/>
      <c r="AX9" s="13"/>
      <c r="AY9" s="13"/>
      <c r="AZ9" s="13"/>
      <c r="BA9" s="13"/>
      <c r="BB9" s="52"/>
      <c r="BC9" s="52"/>
      <c r="BD9" s="52"/>
      <c r="BE9" s="52"/>
      <c r="BF9" s="52"/>
      <c r="BG9" s="52"/>
      <c r="BH9" s="52"/>
      <c r="BI9" s="13"/>
      <c r="BJ9" s="13"/>
      <c r="BK9" s="13"/>
      <c r="BL9" s="13"/>
      <c r="BM9" s="13"/>
      <c r="BN9" s="13"/>
      <c r="BO9" s="13"/>
      <c r="BP9" s="52"/>
      <c r="BQ9" s="52"/>
      <c r="BR9" s="52"/>
      <c r="BS9" s="52"/>
      <c r="BT9" s="52"/>
      <c r="BU9" s="52"/>
      <c r="BV9" s="52"/>
      <c r="BW9" s="13"/>
      <c r="BX9" s="13"/>
      <c r="BY9" s="13"/>
      <c r="BZ9" s="13"/>
      <c r="CA9" s="13"/>
      <c r="CB9" s="13"/>
      <c r="CC9" s="13"/>
      <c r="CD9" s="52"/>
      <c r="CE9" s="52"/>
      <c r="CF9" s="52"/>
      <c r="CG9" s="52"/>
      <c r="CH9" s="52"/>
      <c r="CI9" s="52"/>
      <c r="CJ9" s="52"/>
      <c r="CK9" s="56">
        <f t="shared" ref="CK9:CQ9" si="4">SUM(E9,L9,S9,Z9,AG9,AN9,AU9,BB9,BI9,BP9,BW9,CD9)</f>
        <v>0</v>
      </c>
      <c r="CL9" s="56">
        <f t="shared" si="4"/>
        <v>0</v>
      </c>
      <c r="CM9" s="56">
        <f t="shared" si="4"/>
        <v>0</v>
      </c>
      <c r="CN9" s="56">
        <f t="shared" si="4"/>
        <v>0</v>
      </c>
      <c r="CO9" s="56">
        <f t="shared" si="4"/>
        <v>0</v>
      </c>
      <c r="CP9" s="56">
        <f t="shared" si="4"/>
        <v>0</v>
      </c>
      <c r="CQ9" s="56">
        <f t="shared" si="4"/>
        <v>0</v>
      </c>
    </row>
    <row r="10" outlineLevel="1">
      <c r="A10" s="4"/>
      <c r="B10" s="12" t="s">
        <v>32</v>
      </c>
      <c r="C10" s="12" t="s">
        <v>33</v>
      </c>
      <c r="D10" s="12" t="s">
        <v>26</v>
      </c>
      <c r="E10" s="13"/>
      <c r="F10" s="13"/>
      <c r="G10" s="13"/>
      <c r="H10" s="13"/>
      <c r="I10" s="13"/>
      <c r="J10" s="13"/>
      <c r="K10" s="13"/>
      <c r="L10" s="52"/>
      <c r="M10" s="52"/>
      <c r="N10" s="52"/>
      <c r="O10" s="52"/>
      <c r="P10" s="52"/>
      <c r="Q10" s="52"/>
      <c r="R10" s="52"/>
      <c r="S10" s="13"/>
      <c r="T10" s="13"/>
      <c r="U10" s="13"/>
      <c r="V10" s="13"/>
      <c r="W10" s="13"/>
      <c r="X10" s="13"/>
      <c r="Y10" s="13"/>
      <c r="Z10" s="52"/>
      <c r="AA10" s="52"/>
      <c r="AB10" s="52"/>
      <c r="AC10" s="52"/>
      <c r="AD10" s="52"/>
      <c r="AE10" s="52"/>
      <c r="AF10" s="52"/>
      <c r="AG10" s="13"/>
      <c r="AH10" s="13"/>
      <c r="AI10" s="13"/>
      <c r="AJ10" s="13"/>
      <c r="AK10" s="13"/>
      <c r="AL10" s="13"/>
      <c r="AM10" s="13"/>
      <c r="AN10" s="52"/>
      <c r="AO10" s="52"/>
      <c r="AP10" s="52"/>
      <c r="AQ10" s="52"/>
      <c r="AR10" s="52"/>
      <c r="AS10" s="52"/>
      <c r="AT10" s="52"/>
      <c r="AU10" s="13"/>
      <c r="AV10" s="13"/>
      <c r="AW10" s="13"/>
      <c r="AX10" s="13"/>
      <c r="AY10" s="13"/>
      <c r="AZ10" s="13"/>
      <c r="BA10" s="13"/>
      <c r="BB10" s="52"/>
      <c r="BC10" s="52"/>
      <c r="BD10" s="52"/>
      <c r="BE10" s="52"/>
      <c r="BF10" s="52"/>
      <c r="BG10" s="52"/>
      <c r="BH10" s="52"/>
      <c r="BI10" s="13"/>
      <c r="BJ10" s="13"/>
      <c r="BK10" s="13"/>
      <c r="BL10" s="13"/>
      <c r="BM10" s="13"/>
      <c r="BN10" s="13"/>
      <c r="BO10" s="13"/>
      <c r="BP10" s="52"/>
      <c r="BQ10" s="52"/>
      <c r="BR10" s="52"/>
      <c r="BS10" s="52"/>
      <c r="BT10" s="52"/>
      <c r="BU10" s="52"/>
      <c r="BV10" s="52"/>
      <c r="BW10" s="13"/>
      <c r="BX10" s="13"/>
      <c r="BY10" s="13"/>
      <c r="BZ10" s="13"/>
      <c r="CA10" s="13"/>
      <c r="CB10" s="13"/>
      <c r="CC10" s="13"/>
      <c r="CD10" s="52"/>
      <c r="CE10" s="52"/>
      <c r="CF10" s="52"/>
      <c r="CG10" s="52"/>
      <c r="CH10" s="52"/>
      <c r="CI10" s="52"/>
      <c r="CJ10" s="52"/>
      <c r="CK10" s="56">
        <f t="shared" ref="CK10:CQ10" si="5">SUM(E10,L10,S10,Z10,AG10,AN10,AU10,BB10,BI10,BP10,BW10,CD10)</f>
        <v>0</v>
      </c>
      <c r="CL10" s="56">
        <f t="shared" si="5"/>
        <v>0</v>
      </c>
      <c r="CM10" s="56">
        <f t="shared" si="5"/>
        <v>0</v>
      </c>
      <c r="CN10" s="56">
        <f t="shared" si="5"/>
        <v>0</v>
      </c>
      <c r="CO10" s="56">
        <f t="shared" si="5"/>
        <v>0</v>
      </c>
      <c r="CP10" s="56">
        <f t="shared" si="5"/>
        <v>0</v>
      </c>
      <c r="CQ10" s="56">
        <f t="shared" si="5"/>
        <v>0</v>
      </c>
    </row>
    <row r="11" outlineLevel="1">
      <c r="A11" s="4"/>
      <c r="B11" s="12" t="s">
        <v>34</v>
      </c>
      <c r="C11" s="12" t="s">
        <v>35</v>
      </c>
      <c r="D11" s="12" t="s">
        <v>26</v>
      </c>
      <c r="E11" s="13"/>
      <c r="F11" s="13"/>
      <c r="G11" s="13"/>
      <c r="H11" s="13"/>
      <c r="I11" s="13"/>
      <c r="J11" s="13"/>
      <c r="K11" s="13"/>
      <c r="L11" s="52"/>
      <c r="M11" s="52"/>
      <c r="N11" s="52"/>
      <c r="O11" s="52"/>
      <c r="P11" s="52"/>
      <c r="Q11" s="52"/>
      <c r="R11" s="52"/>
      <c r="S11" s="13"/>
      <c r="T11" s="13"/>
      <c r="U11" s="13"/>
      <c r="V11" s="13"/>
      <c r="W11" s="13"/>
      <c r="X11" s="13"/>
      <c r="Y11" s="13"/>
      <c r="Z11" s="52"/>
      <c r="AA11" s="52"/>
      <c r="AB11" s="52"/>
      <c r="AC11" s="52"/>
      <c r="AD11" s="52"/>
      <c r="AE11" s="52"/>
      <c r="AF11" s="52"/>
      <c r="AG11" s="13"/>
      <c r="AH11" s="13"/>
      <c r="AI11" s="13"/>
      <c r="AJ11" s="13"/>
      <c r="AK11" s="13"/>
      <c r="AL11" s="13"/>
      <c r="AM11" s="13"/>
      <c r="AN11" s="52"/>
      <c r="AO11" s="52"/>
      <c r="AP11" s="52"/>
      <c r="AQ11" s="52"/>
      <c r="AR11" s="52"/>
      <c r="AS11" s="52"/>
      <c r="AT11" s="52"/>
      <c r="AU11" s="13"/>
      <c r="AV11" s="13"/>
      <c r="AW11" s="13"/>
      <c r="AX11" s="13"/>
      <c r="AY11" s="13"/>
      <c r="AZ11" s="13"/>
      <c r="BA11" s="13"/>
      <c r="BB11" s="52"/>
      <c r="BC11" s="52"/>
      <c r="BD11" s="52"/>
      <c r="BE11" s="52"/>
      <c r="BF11" s="52"/>
      <c r="BG11" s="52"/>
      <c r="BH11" s="52"/>
      <c r="BI11" s="13"/>
      <c r="BJ11" s="13"/>
      <c r="BK11" s="13"/>
      <c r="BL11" s="13"/>
      <c r="BM11" s="13"/>
      <c r="BN11" s="13"/>
      <c r="BO11" s="13"/>
      <c r="BP11" s="52"/>
      <c r="BQ11" s="52"/>
      <c r="BR11" s="52"/>
      <c r="BS11" s="52"/>
      <c r="BT11" s="52"/>
      <c r="BU11" s="52"/>
      <c r="BV11" s="52"/>
      <c r="BW11" s="13"/>
      <c r="BX11" s="13"/>
      <c r="BY11" s="13"/>
      <c r="BZ11" s="13"/>
      <c r="CA11" s="13"/>
      <c r="CB11" s="13"/>
      <c r="CC11" s="13"/>
      <c r="CD11" s="52"/>
      <c r="CE11" s="52"/>
      <c r="CF11" s="52"/>
      <c r="CG11" s="52"/>
      <c r="CH11" s="52"/>
      <c r="CI11" s="52"/>
      <c r="CJ11" s="52"/>
      <c r="CK11" s="56">
        <f t="shared" ref="CK11:CQ11" si="6">SUM(E11,L11,S11,Z11,AG11,AN11,AU11,BB11,BI11,BP11,BW11,CD11)</f>
        <v>0</v>
      </c>
      <c r="CL11" s="56">
        <f t="shared" si="6"/>
        <v>0</v>
      </c>
      <c r="CM11" s="56">
        <f t="shared" si="6"/>
        <v>0</v>
      </c>
      <c r="CN11" s="56">
        <f t="shared" si="6"/>
        <v>0</v>
      </c>
      <c r="CO11" s="56">
        <f t="shared" si="6"/>
        <v>0</v>
      </c>
      <c r="CP11" s="56">
        <f t="shared" si="6"/>
        <v>0</v>
      </c>
      <c r="CQ11" s="56">
        <f t="shared" si="6"/>
        <v>0</v>
      </c>
    </row>
    <row r="12" outlineLevel="1">
      <c r="A12" s="4"/>
      <c r="B12" s="12" t="s">
        <v>36</v>
      </c>
      <c r="C12" s="12" t="s">
        <v>37</v>
      </c>
      <c r="D12" s="12" t="s">
        <v>26</v>
      </c>
      <c r="E12" s="13"/>
      <c r="F12" s="13"/>
      <c r="G12" s="13"/>
      <c r="H12" s="13"/>
      <c r="I12" s="13"/>
      <c r="J12" s="13"/>
      <c r="K12" s="13"/>
      <c r="L12" s="52"/>
      <c r="M12" s="52"/>
      <c r="N12" s="52"/>
      <c r="O12" s="52"/>
      <c r="P12" s="52"/>
      <c r="Q12" s="52"/>
      <c r="R12" s="52"/>
      <c r="S12" s="13"/>
      <c r="T12" s="13"/>
      <c r="U12" s="13"/>
      <c r="V12" s="13"/>
      <c r="W12" s="13"/>
      <c r="X12" s="13"/>
      <c r="Y12" s="13"/>
      <c r="Z12" s="52"/>
      <c r="AA12" s="52"/>
      <c r="AB12" s="52"/>
      <c r="AC12" s="52"/>
      <c r="AD12" s="52"/>
      <c r="AE12" s="52"/>
      <c r="AF12" s="52"/>
      <c r="AG12" s="13"/>
      <c r="AH12" s="13"/>
      <c r="AI12" s="13"/>
      <c r="AJ12" s="13"/>
      <c r="AK12" s="13"/>
      <c r="AL12" s="13"/>
      <c r="AM12" s="13"/>
      <c r="AN12" s="52"/>
      <c r="AO12" s="52"/>
      <c r="AP12" s="52"/>
      <c r="AQ12" s="52"/>
      <c r="AR12" s="52"/>
      <c r="AS12" s="52"/>
      <c r="AT12" s="52"/>
      <c r="AU12" s="13"/>
      <c r="AV12" s="13"/>
      <c r="AW12" s="13"/>
      <c r="AX12" s="13"/>
      <c r="AY12" s="13"/>
      <c r="AZ12" s="13"/>
      <c r="BA12" s="13"/>
      <c r="BB12" s="52"/>
      <c r="BC12" s="52"/>
      <c r="BD12" s="52"/>
      <c r="BE12" s="52"/>
      <c r="BF12" s="52"/>
      <c r="BG12" s="52"/>
      <c r="BH12" s="52"/>
      <c r="BI12" s="13"/>
      <c r="BJ12" s="13"/>
      <c r="BK12" s="13"/>
      <c r="BL12" s="13"/>
      <c r="BM12" s="13"/>
      <c r="BN12" s="13"/>
      <c r="BO12" s="13"/>
      <c r="BP12" s="52"/>
      <c r="BQ12" s="52"/>
      <c r="BR12" s="52"/>
      <c r="BS12" s="52"/>
      <c r="BT12" s="52"/>
      <c r="BU12" s="52"/>
      <c r="BV12" s="52"/>
      <c r="BW12" s="13"/>
      <c r="BX12" s="13"/>
      <c r="BY12" s="13"/>
      <c r="BZ12" s="13"/>
      <c r="CA12" s="13"/>
      <c r="CB12" s="13"/>
      <c r="CC12" s="13"/>
      <c r="CD12" s="52"/>
      <c r="CE12" s="52"/>
      <c r="CF12" s="52"/>
      <c r="CG12" s="52"/>
      <c r="CH12" s="52"/>
      <c r="CI12" s="52"/>
      <c r="CJ12" s="52"/>
      <c r="CK12" s="56">
        <f t="shared" ref="CK12:CQ12" si="7">SUM(E12,L12,S12,Z12,AG12,AN12,AU12,BB12,BI12,BP12,BW12,CD12)</f>
        <v>0</v>
      </c>
      <c r="CL12" s="56">
        <f t="shared" si="7"/>
        <v>0</v>
      </c>
      <c r="CM12" s="56">
        <f t="shared" si="7"/>
        <v>0</v>
      </c>
      <c r="CN12" s="56">
        <f t="shared" si="7"/>
        <v>0</v>
      </c>
      <c r="CO12" s="56">
        <f t="shared" si="7"/>
        <v>0</v>
      </c>
      <c r="CP12" s="56">
        <f t="shared" si="7"/>
        <v>0</v>
      </c>
      <c r="CQ12" s="56">
        <f t="shared" si="7"/>
        <v>0</v>
      </c>
    </row>
    <row r="13" outlineLevel="1">
      <c r="A13" s="4"/>
      <c r="B13" s="12" t="s">
        <v>38</v>
      </c>
      <c r="C13" s="12" t="s">
        <v>39</v>
      </c>
      <c r="D13" s="12" t="s">
        <v>26</v>
      </c>
      <c r="E13" s="13"/>
      <c r="F13" s="13"/>
      <c r="G13" s="13"/>
      <c r="H13" s="13"/>
      <c r="I13" s="13"/>
      <c r="J13" s="13"/>
      <c r="K13" s="13"/>
      <c r="L13" s="52"/>
      <c r="M13" s="52"/>
      <c r="N13" s="52"/>
      <c r="O13" s="52"/>
      <c r="P13" s="52"/>
      <c r="Q13" s="52"/>
      <c r="R13" s="52"/>
      <c r="S13" s="13"/>
      <c r="T13" s="13"/>
      <c r="U13" s="13"/>
      <c r="V13" s="13"/>
      <c r="W13" s="13"/>
      <c r="X13" s="13"/>
      <c r="Y13" s="13"/>
      <c r="Z13" s="52"/>
      <c r="AA13" s="52"/>
      <c r="AB13" s="52"/>
      <c r="AC13" s="52"/>
      <c r="AD13" s="52"/>
      <c r="AE13" s="52"/>
      <c r="AF13" s="52"/>
      <c r="AG13" s="13"/>
      <c r="AH13" s="13"/>
      <c r="AI13" s="13"/>
      <c r="AJ13" s="13"/>
      <c r="AK13" s="13"/>
      <c r="AL13" s="13"/>
      <c r="AM13" s="13"/>
      <c r="AN13" s="52"/>
      <c r="AO13" s="52"/>
      <c r="AP13" s="52"/>
      <c r="AQ13" s="52"/>
      <c r="AR13" s="52"/>
      <c r="AS13" s="52"/>
      <c r="AT13" s="52"/>
      <c r="AU13" s="13"/>
      <c r="AV13" s="13"/>
      <c r="AW13" s="13"/>
      <c r="AX13" s="13"/>
      <c r="AY13" s="13"/>
      <c r="AZ13" s="13"/>
      <c r="BA13" s="13"/>
      <c r="BB13" s="52"/>
      <c r="BC13" s="52"/>
      <c r="BD13" s="52"/>
      <c r="BE13" s="52"/>
      <c r="BF13" s="52"/>
      <c r="BG13" s="52"/>
      <c r="BH13" s="52"/>
      <c r="BI13" s="13"/>
      <c r="BJ13" s="13"/>
      <c r="BK13" s="13"/>
      <c r="BL13" s="13"/>
      <c r="BM13" s="13"/>
      <c r="BN13" s="13"/>
      <c r="BO13" s="13"/>
      <c r="BP13" s="52"/>
      <c r="BQ13" s="52"/>
      <c r="BR13" s="52"/>
      <c r="BS13" s="52"/>
      <c r="BT13" s="52"/>
      <c r="BU13" s="52"/>
      <c r="BV13" s="52"/>
      <c r="BW13" s="13"/>
      <c r="BX13" s="13"/>
      <c r="BY13" s="13"/>
      <c r="BZ13" s="13"/>
      <c r="CA13" s="13"/>
      <c r="CB13" s="13"/>
      <c r="CC13" s="13"/>
      <c r="CD13" s="52"/>
      <c r="CE13" s="52"/>
      <c r="CF13" s="52"/>
      <c r="CG13" s="52"/>
      <c r="CH13" s="52"/>
      <c r="CI13" s="52"/>
      <c r="CJ13" s="52"/>
      <c r="CK13" s="56">
        <f t="shared" ref="CK13:CQ13" si="8">SUM(E13,L13,S13,Z13,AG13,AN13,AU13,BB13,BI13,BP13,BW13,CD13)</f>
        <v>0</v>
      </c>
      <c r="CL13" s="56">
        <f t="shared" si="8"/>
        <v>0</v>
      </c>
      <c r="CM13" s="56">
        <f t="shared" si="8"/>
        <v>0</v>
      </c>
      <c r="CN13" s="56">
        <f t="shared" si="8"/>
        <v>0</v>
      </c>
      <c r="CO13" s="56">
        <f t="shared" si="8"/>
        <v>0</v>
      </c>
      <c r="CP13" s="56">
        <f t="shared" si="8"/>
        <v>0</v>
      </c>
      <c r="CQ13" s="56">
        <f t="shared" si="8"/>
        <v>0</v>
      </c>
    </row>
    <row r="14" outlineLevel="1">
      <c r="A14" s="4"/>
      <c r="B14" s="12" t="s">
        <v>40</v>
      </c>
      <c r="C14" s="12" t="s">
        <v>41</v>
      </c>
      <c r="D14" s="12" t="s">
        <v>26</v>
      </c>
      <c r="E14" s="13"/>
      <c r="F14" s="13"/>
      <c r="G14" s="13"/>
      <c r="H14" s="13"/>
      <c r="I14" s="13"/>
      <c r="J14" s="13"/>
      <c r="K14" s="13"/>
      <c r="L14" s="52"/>
      <c r="M14" s="52"/>
      <c r="N14" s="52"/>
      <c r="O14" s="52"/>
      <c r="P14" s="52"/>
      <c r="Q14" s="52"/>
      <c r="R14" s="52"/>
      <c r="S14" s="13"/>
      <c r="T14" s="13"/>
      <c r="U14" s="13"/>
      <c r="V14" s="13"/>
      <c r="W14" s="13"/>
      <c r="X14" s="13"/>
      <c r="Y14" s="13"/>
      <c r="Z14" s="52"/>
      <c r="AA14" s="52"/>
      <c r="AB14" s="52"/>
      <c r="AC14" s="52"/>
      <c r="AD14" s="52"/>
      <c r="AE14" s="52"/>
      <c r="AF14" s="52"/>
      <c r="AG14" s="13"/>
      <c r="AH14" s="13"/>
      <c r="AI14" s="13"/>
      <c r="AJ14" s="13"/>
      <c r="AK14" s="13"/>
      <c r="AL14" s="13"/>
      <c r="AM14" s="13"/>
      <c r="AN14" s="52"/>
      <c r="AO14" s="52"/>
      <c r="AP14" s="52"/>
      <c r="AQ14" s="52"/>
      <c r="AR14" s="52"/>
      <c r="AS14" s="52"/>
      <c r="AT14" s="52"/>
      <c r="AU14" s="13"/>
      <c r="AV14" s="13"/>
      <c r="AW14" s="13"/>
      <c r="AX14" s="13"/>
      <c r="AY14" s="13"/>
      <c r="AZ14" s="13"/>
      <c r="BA14" s="13"/>
      <c r="BB14" s="52"/>
      <c r="BC14" s="52"/>
      <c r="BD14" s="52"/>
      <c r="BE14" s="52"/>
      <c r="BF14" s="52"/>
      <c r="BG14" s="52"/>
      <c r="BH14" s="52"/>
      <c r="BI14" s="13"/>
      <c r="BJ14" s="13"/>
      <c r="BK14" s="13"/>
      <c r="BL14" s="13"/>
      <c r="BM14" s="13"/>
      <c r="BN14" s="13"/>
      <c r="BO14" s="13"/>
      <c r="BP14" s="52"/>
      <c r="BQ14" s="52"/>
      <c r="BR14" s="52"/>
      <c r="BS14" s="52"/>
      <c r="BT14" s="52"/>
      <c r="BU14" s="52"/>
      <c r="BV14" s="52"/>
      <c r="BW14" s="13"/>
      <c r="BX14" s="13"/>
      <c r="BY14" s="13"/>
      <c r="BZ14" s="13"/>
      <c r="CA14" s="13"/>
      <c r="CB14" s="13"/>
      <c r="CC14" s="13"/>
      <c r="CD14" s="52"/>
      <c r="CE14" s="52"/>
      <c r="CF14" s="52"/>
      <c r="CG14" s="52"/>
      <c r="CH14" s="52"/>
      <c r="CI14" s="52"/>
      <c r="CJ14" s="52"/>
      <c r="CK14" s="56">
        <f t="shared" ref="CK14:CQ14" si="9">SUM(E14,L14,S14,Z14,AG14,AN14,AU14,BB14,BI14,BP14,BW14,CD14)</f>
        <v>0</v>
      </c>
      <c r="CL14" s="56">
        <f t="shared" si="9"/>
        <v>0</v>
      </c>
      <c r="CM14" s="56">
        <f t="shared" si="9"/>
        <v>0</v>
      </c>
      <c r="CN14" s="56">
        <f t="shared" si="9"/>
        <v>0</v>
      </c>
      <c r="CO14" s="56">
        <f t="shared" si="9"/>
        <v>0</v>
      </c>
      <c r="CP14" s="56">
        <f t="shared" si="9"/>
        <v>0</v>
      </c>
      <c r="CQ14" s="56">
        <f t="shared" si="9"/>
        <v>0</v>
      </c>
    </row>
    <row r="15" outlineLevel="1">
      <c r="A15" s="4"/>
      <c r="B15" s="12" t="s">
        <v>42</v>
      </c>
      <c r="C15" s="12" t="s">
        <v>43</v>
      </c>
      <c r="D15" s="12" t="s">
        <v>26</v>
      </c>
      <c r="E15" s="13"/>
      <c r="F15" s="13"/>
      <c r="G15" s="13"/>
      <c r="H15" s="13"/>
      <c r="I15" s="13"/>
      <c r="J15" s="13"/>
      <c r="K15" s="13"/>
      <c r="L15" s="52"/>
      <c r="M15" s="52"/>
      <c r="N15" s="52"/>
      <c r="O15" s="52"/>
      <c r="P15" s="52"/>
      <c r="Q15" s="52"/>
      <c r="R15" s="52"/>
      <c r="S15" s="13"/>
      <c r="T15" s="13"/>
      <c r="U15" s="13"/>
      <c r="V15" s="13"/>
      <c r="W15" s="13"/>
      <c r="X15" s="13"/>
      <c r="Y15" s="13"/>
      <c r="Z15" s="52"/>
      <c r="AA15" s="52"/>
      <c r="AB15" s="52"/>
      <c r="AC15" s="52"/>
      <c r="AD15" s="52"/>
      <c r="AE15" s="52"/>
      <c r="AF15" s="52"/>
      <c r="AG15" s="13"/>
      <c r="AH15" s="13"/>
      <c r="AI15" s="13"/>
      <c r="AJ15" s="13"/>
      <c r="AK15" s="13"/>
      <c r="AL15" s="13"/>
      <c r="AM15" s="13"/>
      <c r="AN15" s="52"/>
      <c r="AO15" s="52"/>
      <c r="AP15" s="52"/>
      <c r="AQ15" s="52"/>
      <c r="AR15" s="52"/>
      <c r="AS15" s="52"/>
      <c r="AT15" s="52"/>
      <c r="AU15" s="13"/>
      <c r="AV15" s="13"/>
      <c r="AW15" s="13"/>
      <c r="AX15" s="13"/>
      <c r="AY15" s="13"/>
      <c r="AZ15" s="13"/>
      <c r="BA15" s="13"/>
      <c r="BB15" s="52"/>
      <c r="BC15" s="52"/>
      <c r="BD15" s="52"/>
      <c r="BE15" s="52"/>
      <c r="BF15" s="52"/>
      <c r="BG15" s="52"/>
      <c r="BH15" s="52"/>
      <c r="BI15" s="13"/>
      <c r="BJ15" s="13"/>
      <c r="BK15" s="13"/>
      <c r="BL15" s="13"/>
      <c r="BM15" s="13"/>
      <c r="BN15" s="13"/>
      <c r="BO15" s="13"/>
      <c r="BP15" s="52"/>
      <c r="BQ15" s="52"/>
      <c r="BR15" s="52"/>
      <c r="BS15" s="52"/>
      <c r="BT15" s="52"/>
      <c r="BU15" s="52"/>
      <c r="BV15" s="52"/>
      <c r="BW15" s="13"/>
      <c r="BX15" s="13"/>
      <c r="BY15" s="13"/>
      <c r="BZ15" s="13"/>
      <c r="CA15" s="13"/>
      <c r="CB15" s="13"/>
      <c r="CC15" s="13"/>
      <c r="CD15" s="52"/>
      <c r="CE15" s="52"/>
      <c r="CF15" s="52"/>
      <c r="CG15" s="52"/>
      <c r="CH15" s="52"/>
      <c r="CI15" s="52"/>
      <c r="CJ15" s="52"/>
      <c r="CK15" s="56">
        <f t="shared" ref="CK15:CQ15" si="10">SUM(E15,L15,S15,Z15,AG15,AN15,AU15,BB15,BI15,BP15,BW15,CD15)</f>
        <v>0</v>
      </c>
      <c r="CL15" s="56">
        <f t="shared" si="10"/>
        <v>0</v>
      </c>
      <c r="CM15" s="56">
        <f t="shared" si="10"/>
        <v>0</v>
      </c>
      <c r="CN15" s="56">
        <f t="shared" si="10"/>
        <v>0</v>
      </c>
      <c r="CO15" s="56">
        <f t="shared" si="10"/>
        <v>0</v>
      </c>
      <c r="CP15" s="56">
        <f t="shared" si="10"/>
        <v>0</v>
      </c>
      <c r="CQ15" s="56">
        <f t="shared" si="10"/>
        <v>0</v>
      </c>
    </row>
    <row r="16" outlineLevel="1">
      <c r="A16" s="4"/>
      <c r="B16" s="12" t="s">
        <v>44</v>
      </c>
      <c r="C16" s="12" t="s">
        <v>45</v>
      </c>
      <c r="D16" s="12" t="s">
        <v>26</v>
      </c>
      <c r="E16" s="13"/>
      <c r="F16" s="13"/>
      <c r="G16" s="13"/>
      <c r="H16" s="13"/>
      <c r="I16" s="13"/>
      <c r="J16" s="13"/>
      <c r="K16" s="13"/>
      <c r="L16" s="52"/>
      <c r="M16" s="52"/>
      <c r="N16" s="52"/>
      <c r="O16" s="52"/>
      <c r="P16" s="52"/>
      <c r="Q16" s="52"/>
      <c r="R16" s="52"/>
      <c r="S16" s="13"/>
      <c r="T16" s="13"/>
      <c r="U16" s="13"/>
      <c r="V16" s="13"/>
      <c r="W16" s="13"/>
      <c r="X16" s="13"/>
      <c r="Y16" s="13"/>
      <c r="Z16" s="52"/>
      <c r="AA16" s="52"/>
      <c r="AB16" s="52"/>
      <c r="AC16" s="52"/>
      <c r="AD16" s="52"/>
      <c r="AE16" s="52"/>
      <c r="AF16" s="52"/>
      <c r="AG16" s="13"/>
      <c r="AH16" s="13"/>
      <c r="AI16" s="13"/>
      <c r="AJ16" s="13"/>
      <c r="AK16" s="13"/>
      <c r="AL16" s="13"/>
      <c r="AM16" s="13"/>
      <c r="AN16" s="52"/>
      <c r="AO16" s="52"/>
      <c r="AP16" s="52"/>
      <c r="AQ16" s="52"/>
      <c r="AR16" s="52"/>
      <c r="AS16" s="52"/>
      <c r="AT16" s="52"/>
      <c r="AU16" s="13"/>
      <c r="AV16" s="13"/>
      <c r="AW16" s="13"/>
      <c r="AX16" s="13"/>
      <c r="AY16" s="13"/>
      <c r="AZ16" s="13"/>
      <c r="BA16" s="13"/>
      <c r="BB16" s="52"/>
      <c r="BC16" s="52"/>
      <c r="BD16" s="52"/>
      <c r="BE16" s="52"/>
      <c r="BF16" s="52"/>
      <c r="BG16" s="52"/>
      <c r="BH16" s="52"/>
      <c r="BI16" s="13"/>
      <c r="BJ16" s="13"/>
      <c r="BK16" s="13"/>
      <c r="BL16" s="13"/>
      <c r="BM16" s="13"/>
      <c r="BN16" s="13"/>
      <c r="BO16" s="13"/>
      <c r="BP16" s="52"/>
      <c r="BQ16" s="52"/>
      <c r="BR16" s="52"/>
      <c r="BS16" s="52"/>
      <c r="BT16" s="52"/>
      <c r="BU16" s="52"/>
      <c r="BV16" s="52"/>
      <c r="BW16" s="13"/>
      <c r="BX16" s="13"/>
      <c r="BY16" s="13"/>
      <c r="BZ16" s="13"/>
      <c r="CA16" s="13"/>
      <c r="CB16" s="13"/>
      <c r="CC16" s="13"/>
      <c r="CD16" s="52"/>
      <c r="CE16" s="52"/>
      <c r="CF16" s="52"/>
      <c r="CG16" s="52"/>
      <c r="CH16" s="52"/>
      <c r="CI16" s="52"/>
      <c r="CJ16" s="52"/>
      <c r="CK16" s="56">
        <f t="shared" ref="CK16:CQ16" si="11">SUM(E16,L16,S16,Z16,AG16,AN16,AU16,BB16,BI16,BP16,BW16,CD16)</f>
        <v>0</v>
      </c>
      <c r="CL16" s="56">
        <f t="shared" si="11"/>
        <v>0</v>
      </c>
      <c r="CM16" s="56">
        <f t="shared" si="11"/>
        <v>0</v>
      </c>
      <c r="CN16" s="56">
        <f t="shared" si="11"/>
        <v>0</v>
      </c>
      <c r="CO16" s="56">
        <f t="shared" si="11"/>
        <v>0</v>
      </c>
      <c r="CP16" s="56">
        <f t="shared" si="11"/>
        <v>0</v>
      </c>
      <c r="CQ16" s="56">
        <f t="shared" si="11"/>
        <v>0</v>
      </c>
    </row>
    <row r="17" outlineLevel="1">
      <c r="A17" s="4"/>
      <c r="B17" s="12" t="s">
        <v>46</v>
      </c>
      <c r="C17" s="23" t="s">
        <v>47</v>
      </c>
      <c r="D17" s="12" t="s">
        <v>48</v>
      </c>
      <c r="E17" s="13"/>
      <c r="F17" s="13"/>
      <c r="G17" s="13"/>
      <c r="H17" s="13"/>
      <c r="I17" s="13"/>
      <c r="J17" s="13"/>
      <c r="K17" s="13"/>
      <c r="L17" s="52"/>
      <c r="M17" s="52"/>
      <c r="N17" s="52"/>
      <c r="O17" s="52"/>
      <c r="P17" s="52"/>
      <c r="Q17" s="52"/>
      <c r="R17" s="52"/>
      <c r="S17" s="13"/>
      <c r="T17" s="13"/>
      <c r="U17" s="13"/>
      <c r="V17" s="13"/>
      <c r="W17" s="13"/>
      <c r="X17" s="13"/>
      <c r="Y17" s="13"/>
      <c r="Z17" s="52"/>
      <c r="AA17" s="52"/>
      <c r="AB17" s="52"/>
      <c r="AC17" s="52"/>
      <c r="AD17" s="52"/>
      <c r="AE17" s="52"/>
      <c r="AF17" s="52"/>
      <c r="AG17" s="13"/>
      <c r="AH17" s="13"/>
      <c r="AI17" s="13"/>
      <c r="AJ17" s="13"/>
      <c r="AK17" s="13"/>
      <c r="AL17" s="13"/>
      <c r="AM17" s="13"/>
      <c r="AN17" s="52"/>
      <c r="AO17" s="52"/>
      <c r="AP17" s="52"/>
      <c r="AQ17" s="52"/>
      <c r="AR17" s="52"/>
      <c r="AS17" s="52"/>
      <c r="AT17" s="52"/>
      <c r="AU17" s="13"/>
      <c r="AV17" s="13"/>
      <c r="AW17" s="13"/>
      <c r="AX17" s="13"/>
      <c r="AY17" s="13"/>
      <c r="AZ17" s="13"/>
      <c r="BA17" s="13"/>
      <c r="BB17" s="52"/>
      <c r="BC17" s="52"/>
      <c r="BD17" s="52"/>
      <c r="BE17" s="52"/>
      <c r="BF17" s="52"/>
      <c r="BG17" s="52"/>
      <c r="BH17" s="52"/>
      <c r="BI17" s="13"/>
      <c r="BJ17" s="13"/>
      <c r="BK17" s="13"/>
      <c r="BL17" s="13"/>
      <c r="BM17" s="13"/>
      <c r="BN17" s="13"/>
      <c r="BO17" s="13"/>
      <c r="BP17" s="52"/>
      <c r="BQ17" s="52"/>
      <c r="BR17" s="52"/>
      <c r="BS17" s="52"/>
      <c r="BT17" s="52"/>
      <c r="BU17" s="52"/>
      <c r="BV17" s="52"/>
      <c r="BW17" s="13"/>
      <c r="BX17" s="13"/>
      <c r="BY17" s="13"/>
      <c r="BZ17" s="13"/>
      <c r="CA17" s="13"/>
      <c r="CB17" s="13"/>
      <c r="CC17" s="13"/>
      <c r="CD17" s="52"/>
      <c r="CE17" s="52"/>
      <c r="CF17" s="52"/>
      <c r="CG17" s="52"/>
      <c r="CH17" s="52"/>
      <c r="CI17" s="52"/>
      <c r="CJ17" s="52"/>
      <c r="CK17" s="56">
        <f t="shared" ref="CK17:CQ17" si="12">SUM(E17,L17,S17,Z17,AG17,AN17,AU17,BB17,BI17,BP17,BW17,CD17)</f>
        <v>0</v>
      </c>
      <c r="CL17" s="56">
        <f t="shared" si="12"/>
        <v>0</v>
      </c>
      <c r="CM17" s="56">
        <f t="shared" si="12"/>
        <v>0</v>
      </c>
      <c r="CN17" s="56">
        <f t="shared" si="12"/>
        <v>0</v>
      </c>
      <c r="CO17" s="56">
        <f t="shared" si="12"/>
        <v>0</v>
      </c>
      <c r="CP17" s="56">
        <f t="shared" si="12"/>
        <v>0</v>
      </c>
      <c r="CQ17" s="56">
        <f t="shared" si="12"/>
        <v>0</v>
      </c>
    </row>
    <row r="18" outlineLevel="1">
      <c r="A18" s="4"/>
      <c r="B18" s="12" t="s">
        <v>49</v>
      </c>
      <c r="C18" s="12" t="s">
        <v>51</v>
      </c>
      <c r="D18" s="12" t="s">
        <v>26</v>
      </c>
      <c r="E18" s="13"/>
      <c r="F18" s="13"/>
      <c r="G18" s="13"/>
      <c r="H18" s="13"/>
      <c r="I18" s="13"/>
      <c r="J18" s="13"/>
      <c r="K18" s="13"/>
      <c r="L18" s="52"/>
      <c r="M18" s="52"/>
      <c r="N18" s="52"/>
      <c r="O18" s="52"/>
      <c r="P18" s="52"/>
      <c r="Q18" s="52"/>
      <c r="R18" s="52"/>
      <c r="S18" s="13"/>
      <c r="T18" s="13"/>
      <c r="U18" s="13"/>
      <c r="V18" s="13"/>
      <c r="W18" s="13"/>
      <c r="X18" s="13"/>
      <c r="Y18" s="13"/>
      <c r="Z18" s="52"/>
      <c r="AA18" s="52"/>
      <c r="AB18" s="52"/>
      <c r="AC18" s="52"/>
      <c r="AD18" s="52"/>
      <c r="AE18" s="52"/>
      <c r="AF18" s="52"/>
      <c r="AG18" s="13"/>
      <c r="AH18" s="13"/>
      <c r="AI18" s="13"/>
      <c r="AJ18" s="13"/>
      <c r="AK18" s="13"/>
      <c r="AL18" s="13"/>
      <c r="AM18" s="13"/>
      <c r="AN18" s="52"/>
      <c r="AO18" s="52"/>
      <c r="AP18" s="52"/>
      <c r="AQ18" s="52"/>
      <c r="AR18" s="52"/>
      <c r="AS18" s="52"/>
      <c r="AT18" s="52"/>
      <c r="AU18" s="13"/>
      <c r="AV18" s="13"/>
      <c r="AW18" s="13"/>
      <c r="AX18" s="13"/>
      <c r="AY18" s="13"/>
      <c r="AZ18" s="13"/>
      <c r="BA18" s="13"/>
      <c r="BB18" s="52"/>
      <c r="BC18" s="52"/>
      <c r="BD18" s="52"/>
      <c r="BE18" s="52"/>
      <c r="BF18" s="52"/>
      <c r="BG18" s="52"/>
      <c r="BH18" s="52"/>
      <c r="BI18" s="13"/>
      <c r="BJ18" s="13"/>
      <c r="BK18" s="13"/>
      <c r="BL18" s="13"/>
      <c r="BM18" s="13"/>
      <c r="BN18" s="13"/>
      <c r="BO18" s="13"/>
      <c r="BP18" s="52"/>
      <c r="BQ18" s="52"/>
      <c r="BR18" s="52"/>
      <c r="BS18" s="52"/>
      <c r="BT18" s="52"/>
      <c r="BU18" s="52"/>
      <c r="BV18" s="52"/>
      <c r="BW18" s="13"/>
      <c r="BX18" s="13"/>
      <c r="BY18" s="13"/>
      <c r="BZ18" s="13"/>
      <c r="CA18" s="13"/>
      <c r="CB18" s="13"/>
      <c r="CC18" s="13"/>
      <c r="CD18" s="52"/>
      <c r="CE18" s="52"/>
      <c r="CF18" s="52"/>
      <c r="CG18" s="52"/>
      <c r="CH18" s="52"/>
      <c r="CI18" s="52"/>
      <c r="CJ18" s="52"/>
      <c r="CK18" s="56">
        <f t="shared" ref="CK18:CQ18" si="13">SUM(E18,L18,S18,Z18,AG18,AN18,AU18,BB18,BI18,BP18,BW18,CD18)</f>
        <v>0</v>
      </c>
      <c r="CL18" s="56">
        <f t="shared" si="13"/>
        <v>0</v>
      </c>
      <c r="CM18" s="56">
        <f t="shared" si="13"/>
        <v>0</v>
      </c>
      <c r="CN18" s="56">
        <f t="shared" si="13"/>
        <v>0</v>
      </c>
      <c r="CO18" s="56">
        <f t="shared" si="13"/>
        <v>0</v>
      </c>
      <c r="CP18" s="56">
        <f t="shared" si="13"/>
        <v>0</v>
      </c>
      <c r="CQ18" s="56">
        <f t="shared" si="13"/>
        <v>0</v>
      </c>
    </row>
    <row r="19" outlineLevel="1">
      <c r="A19" s="4"/>
      <c r="B19" s="12" t="s">
        <v>53</v>
      </c>
      <c r="C19" s="12" t="s">
        <v>54</v>
      </c>
      <c r="D19" s="12" t="s">
        <v>26</v>
      </c>
      <c r="E19" s="13"/>
      <c r="F19" s="13"/>
      <c r="G19" s="13"/>
      <c r="H19" s="13"/>
      <c r="I19" s="13"/>
      <c r="J19" s="13"/>
      <c r="K19" s="13"/>
      <c r="L19" s="52"/>
      <c r="M19" s="52"/>
      <c r="N19" s="52"/>
      <c r="O19" s="52"/>
      <c r="P19" s="52"/>
      <c r="Q19" s="52"/>
      <c r="R19" s="52"/>
      <c r="S19" s="13"/>
      <c r="T19" s="13"/>
      <c r="U19" s="13"/>
      <c r="V19" s="13"/>
      <c r="W19" s="13"/>
      <c r="X19" s="13"/>
      <c r="Y19" s="13"/>
      <c r="Z19" s="52"/>
      <c r="AA19" s="52"/>
      <c r="AB19" s="52"/>
      <c r="AC19" s="52"/>
      <c r="AD19" s="52"/>
      <c r="AE19" s="52"/>
      <c r="AF19" s="52"/>
      <c r="AG19" s="13"/>
      <c r="AH19" s="13"/>
      <c r="AI19" s="13"/>
      <c r="AJ19" s="13"/>
      <c r="AK19" s="13"/>
      <c r="AL19" s="13"/>
      <c r="AM19" s="13"/>
      <c r="AN19" s="52"/>
      <c r="AO19" s="52"/>
      <c r="AP19" s="52"/>
      <c r="AQ19" s="52"/>
      <c r="AR19" s="52"/>
      <c r="AS19" s="52"/>
      <c r="AT19" s="52"/>
      <c r="AU19" s="13"/>
      <c r="AV19" s="13"/>
      <c r="AW19" s="13"/>
      <c r="AX19" s="13"/>
      <c r="AY19" s="13"/>
      <c r="AZ19" s="13"/>
      <c r="BA19" s="13"/>
      <c r="BB19" s="52"/>
      <c r="BC19" s="52"/>
      <c r="BD19" s="52"/>
      <c r="BE19" s="52"/>
      <c r="BF19" s="52"/>
      <c r="BG19" s="52"/>
      <c r="BH19" s="52"/>
      <c r="BI19" s="13"/>
      <c r="BJ19" s="13"/>
      <c r="BK19" s="13"/>
      <c r="BL19" s="13"/>
      <c r="BM19" s="13"/>
      <c r="BN19" s="13"/>
      <c r="BO19" s="13"/>
      <c r="BP19" s="52"/>
      <c r="BQ19" s="52"/>
      <c r="BR19" s="52"/>
      <c r="BS19" s="52"/>
      <c r="BT19" s="52"/>
      <c r="BU19" s="52"/>
      <c r="BV19" s="52"/>
      <c r="BW19" s="13"/>
      <c r="BX19" s="13"/>
      <c r="BY19" s="13"/>
      <c r="BZ19" s="13"/>
      <c r="CA19" s="13"/>
      <c r="CB19" s="13"/>
      <c r="CC19" s="13"/>
      <c r="CD19" s="52"/>
      <c r="CE19" s="52"/>
      <c r="CF19" s="52"/>
      <c r="CG19" s="52"/>
      <c r="CH19" s="52"/>
      <c r="CI19" s="52"/>
      <c r="CJ19" s="52"/>
      <c r="CK19" s="56">
        <f t="shared" ref="CK19:CQ19" si="14">SUM(E19,L19,S19,Z19,AG19,AN19,AU19,BB19,BI19,BP19,BW19,CD19)</f>
        <v>0</v>
      </c>
      <c r="CL19" s="56">
        <f t="shared" si="14"/>
        <v>0</v>
      </c>
      <c r="CM19" s="56">
        <f t="shared" si="14"/>
        <v>0</v>
      </c>
      <c r="CN19" s="56">
        <f t="shared" si="14"/>
        <v>0</v>
      </c>
      <c r="CO19" s="56">
        <f t="shared" si="14"/>
        <v>0</v>
      </c>
      <c r="CP19" s="56">
        <f t="shared" si="14"/>
        <v>0</v>
      </c>
      <c r="CQ19" s="56">
        <f t="shared" si="14"/>
        <v>0</v>
      </c>
    </row>
    <row r="20" outlineLevel="1">
      <c r="A20" s="4"/>
      <c r="B20" s="12" t="s">
        <v>57</v>
      </c>
      <c r="C20" s="23" t="s">
        <v>58</v>
      </c>
      <c r="D20" s="12" t="s">
        <v>26</v>
      </c>
      <c r="E20" s="13"/>
      <c r="F20" s="13"/>
      <c r="G20" s="13"/>
      <c r="H20" s="13"/>
      <c r="I20" s="13"/>
      <c r="J20" s="13"/>
      <c r="K20" s="13"/>
      <c r="L20" s="52"/>
      <c r="M20" s="52"/>
      <c r="N20" s="52"/>
      <c r="O20" s="52"/>
      <c r="P20" s="52"/>
      <c r="Q20" s="52"/>
      <c r="R20" s="52"/>
      <c r="S20" s="13"/>
      <c r="T20" s="13"/>
      <c r="U20" s="13"/>
      <c r="V20" s="13"/>
      <c r="W20" s="13"/>
      <c r="X20" s="13"/>
      <c r="Y20" s="13"/>
      <c r="Z20" s="52"/>
      <c r="AA20" s="52"/>
      <c r="AB20" s="52"/>
      <c r="AC20" s="52"/>
      <c r="AD20" s="52"/>
      <c r="AE20" s="52"/>
      <c r="AF20" s="52"/>
      <c r="AG20" s="13"/>
      <c r="AH20" s="13"/>
      <c r="AI20" s="13"/>
      <c r="AJ20" s="13"/>
      <c r="AK20" s="13"/>
      <c r="AL20" s="13"/>
      <c r="AM20" s="13"/>
      <c r="AN20" s="52"/>
      <c r="AO20" s="52"/>
      <c r="AP20" s="52"/>
      <c r="AQ20" s="52"/>
      <c r="AR20" s="52"/>
      <c r="AS20" s="52"/>
      <c r="AT20" s="52"/>
      <c r="AU20" s="13"/>
      <c r="AV20" s="13"/>
      <c r="AW20" s="13"/>
      <c r="AX20" s="13"/>
      <c r="AY20" s="13"/>
      <c r="AZ20" s="13"/>
      <c r="BA20" s="13"/>
      <c r="BB20" s="52"/>
      <c r="BC20" s="52"/>
      <c r="BD20" s="52"/>
      <c r="BE20" s="52"/>
      <c r="BF20" s="52"/>
      <c r="BG20" s="52"/>
      <c r="BH20" s="52"/>
      <c r="BI20" s="13"/>
      <c r="BJ20" s="13"/>
      <c r="BK20" s="13"/>
      <c r="BL20" s="13"/>
      <c r="BM20" s="13"/>
      <c r="BN20" s="13"/>
      <c r="BO20" s="13"/>
      <c r="BP20" s="52"/>
      <c r="BQ20" s="52"/>
      <c r="BR20" s="52"/>
      <c r="BS20" s="52"/>
      <c r="BT20" s="52"/>
      <c r="BU20" s="52"/>
      <c r="BV20" s="52"/>
      <c r="BW20" s="13"/>
      <c r="BX20" s="13"/>
      <c r="BY20" s="13"/>
      <c r="BZ20" s="13"/>
      <c r="CA20" s="13"/>
      <c r="CB20" s="13"/>
      <c r="CC20" s="13"/>
      <c r="CD20" s="52"/>
      <c r="CE20" s="52"/>
      <c r="CF20" s="52"/>
      <c r="CG20" s="52"/>
      <c r="CH20" s="52"/>
      <c r="CI20" s="52"/>
      <c r="CJ20" s="52"/>
      <c r="CK20" s="56">
        <f t="shared" ref="CK20:CQ20" si="15">SUM(E20,L20,S20,Z20,AG20,AN20,AU20,BB20,BI20,BP20,BW20,CD20)</f>
        <v>0</v>
      </c>
      <c r="CL20" s="56">
        <f t="shared" si="15"/>
        <v>0</v>
      </c>
      <c r="CM20" s="56">
        <f t="shared" si="15"/>
        <v>0</v>
      </c>
      <c r="CN20" s="56">
        <f t="shared" si="15"/>
        <v>0</v>
      </c>
      <c r="CO20" s="56">
        <f t="shared" si="15"/>
        <v>0</v>
      </c>
      <c r="CP20" s="56">
        <f t="shared" si="15"/>
        <v>0</v>
      </c>
      <c r="CQ20" s="56">
        <f t="shared" si="15"/>
        <v>0</v>
      </c>
    </row>
    <row r="21" ht="15.75" customHeight="1" outlineLevel="1">
      <c r="A21" s="4"/>
      <c r="B21" s="12" t="s">
        <v>60</v>
      </c>
      <c r="C21" s="12" t="s">
        <v>61</v>
      </c>
      <c r="D21" s="12" t="s">
        <v>26</v>
      </c>
      <c r="E21" s="13"/>
      <c r="F21" s="13"/>
      <c r="G21" s="13"/>
      <c r="H21" s="13"/>
      <c r="I21" s="13"/>
      <c r="J21" s="13"/>
      <c r="K21" s="13"/>
      <c r="L21" s="52"/>
      <c r="M21" s="52"/>
      <c r="N21" s="52"/>
      <c r="O21" s="52"/>
      <c r="P21" s="52"/>
      <c r="Q21" s="52"/>
      <c r="R21" s="52"/>
      <c r="S21" s="13"/>
      <c r="T21" s="13"/>
      <c r="U21" s="13"/>
      <c r="V21" s="13"/>
      <c r="W21" s="13"/>
      <c r="X21" s="13"/>
      <c r="Y21" s="13"/>
      <c r="Z21" s="52"/>
      <c r="AA21" s="52"/>
      <c r="AB21" s="52"/>
      <c r="AC21" s="52"/>
      <c r="AD21" s="52"/>
      <c r="AE21" s="52"/>
      <c r="AF21" s="52"/>
      <c r="AG21" s="13"/>
      <c r="AH21" s="13"/>
      <c r="AI21" s="13"/>
      <c r="AJ21" s="13"/>
      <c r="AK21" s="13"/>
      <c r="AL21" s="13"/>
      <c r="AM21" s="13"/>
      <c r="AN21" s="52"/>
      <c r="AO21" s="52"/>
      <c r="AP21" s="52"/>
      <c r="AQ21" s="52"/>
      <c r="AR21" s="52"/>
      <c r="AS21" s="52"/>
      <c r="AT21" s="52"/>
      <c r="AU21" s="13"/>
      <c r="AV21" s="13"/>
      <c r="AW21" s="13"/>
      <c r="AX21" s="13"/>
      <c r="AY21" s="13"/>
      <c r="AZ21" s="13"/>
      <c r="BA21" s="13"/>
      <c r="BB21" s="52"/>
      <c r="BC21" s="52"/>
      <c r="BD21" s="52"/>
      <c r="BE21" s="52"/>
      <c r="BF21" s="52"/>
      <c r="BG21" s="52"/>
      <c r="BH21" s="52"/>
      <c r="BI21" s="13"/>
      <c r="BJ21" s="13"/>
      <c r="BK21" s="13"/>
      <c r="BL21" s="13"/>
      <c r="BM21" s="13"/>
      <c r="BN21" s="13"/>
      <c r="BO21" s="13"/>
      <c r="BP21" s="52"/>
      <c r="BQ21" s="52"/>
      <c r="BR21" s="52"/>
      <c r="BS21" s="52"/>
      <c r="BT21" s="52"/>
      <c r="BU21" s="52"/>
      <c r="BV21" s="52"/>
      <c r="BW21" s="13"/>
      <c r="BX21" s="13"/>
      <c r="BY21" s="13"/>
      <c r="BZ21" s="13"/>
      <c r="CA21" s="13"/>
      <c r="CB21" s="13"/>
      <c r="CC21" s="13"/>
      <c r="CD21" s="52"/>
      <c r="CE21" s="52"/>
      <c r="CF21" s="52"/>
      <c r="CG21" s="52"/>
      <c r="CH21" s="52"/>
      <c r="CI21" s="52"/>
      <c r="CJ21" s="52"/>
      <c r="CK21" s="56">
        <f t="shared" ref="CK21:CQ21" si="16">SUM(E21,L21,S21,Z21,AG21,AN21,AU21,BB21,BI21,BP21,BW21,CD21)</f>
        <v>0</v>
      </c>
      <c r="CL21" s="56">
        <f t="shared" si="16"/>
        <v>0</v>
      </c>
      <c r="CM21" s="56">
        <f t="shared" si="16"/>
        <v>0</v>
      </c>
      <c r="CN21" s="56">
        <f t="shared" si="16"/>
        <v>0</v>
      </c>
      <c r="CO21" s="56">
        <f t="shared" si="16"/>
        <v>0</v>
      </c>
      <c r="CP21" s="56">
        <f t="shared" si="16"/>
        <v>0</v>
      </c>
      <c r="CQ21" s="56">
        <f t="shared" si="16"/>
        <v>0</v>
      </c>
    </row>
    <row r="22" ht="15.75" customHeight="1" outlineLevel="1">
      <c r="A22" s="4"/>
      <c r="B22" s="12" t="s">
        <v>62</v>
      </c>
      <c r="C22" s="23" t="s">
        <v>63</v>
      </c>
      <c r="D22" s="12" t="s">
        <v>48</v>
      </c>
      <c r="E22" s="13"/>
      <c r="F22" s="13"/>
      <c r="G22" s="13"/>
      <c r="H22" s="13"/>
      <c r="I22" s="13"/>
      <c r="J22" s="13"/>
      <c r="K22" s="13"/>
      <c r="L22" s="52"/>
      <c r="M22" s="52"/>
      <c r="N22" s="52"/>
      <c r="O22" s="52"/>
      <c r="P22" s="52"/>
      <c r="Q22" s="52"/>
      <c r="R22" s="52"/>
      <c r="S22" s="13"/>
      <c r="T22" s="13"/>
      <c r="U22" s="13"/>
      <c r="V22" s="13"/>
      <c r="W22" s="13"/>
      <c r="X22" s="13"/>
      <c r="Y22" s="13"/>
      <c r="Z22" s="52"/>
      <c r="AA22" s="52"/>
      <c r="AB22" s="52"/>
      <c r="AC22" s="52"/>
      <c r="AD22" s="52"/>
      <c r="AE22" s="52"/>
      <c r="AF22" s="52"/>
      <c r="AG22" s="13"/>
      <c r="AH22" s="13"/>
      <c r="AI22" s="13"/>
      <c r="AJ22" s="13"/>
      <c r="AK22" s="13"/>
      <c r="AL22" s="13"/>
      <c r="AM22" s="13"/>
      <c r="AN22" s="52"/>
      <c r="AO22" s="52"/>
      <c r="AP22" s="52"/>
      <c r="AQ22" s="52"/>
      <c r="AR22" s="52"/>
      <c r="AS22" s="52"/>
      <c r="AT22" s="52"/>
      <c r="AU22" s="13"/>
      <c r="AV22" s="13"/>
      <c r="AW22" s="13"/>
      <c r="AX22" s="13"/>
      <c r="AY22" s="13"/>
      <c r="AZ22" s="13"/>
      <c r="BA22" s="13"/>
      <c r="BB22" s="52"/>
      <c r="BC22" s="52"/>
      <c r="BD22" s="52"/>
      <c r="BE22" s="52"/>
      <c r="BF22" s="52"/>
      <c r="BG22" s="52"/>
      <c r="BH22" s="52"/>
      <c r="BI22" s="13"/>
      <c r="BJ22" s="13"/>
      <c r="BK22" s="13"/>
      <c r="BL22" s="13"/>
      <c r="BM22" s="13"/>
      <c r="BN22" s="13"/>
      <c r="BO22" s="13"/>
      <c r="BP22" s="52"/>
      <c r="BQ22" s="52"/>
      <c r="BR22" s="52"/>
      <c r="BS22" s="52"/>
      <c r="BT22" s="52"/>
      <c r="BU22" s="52"/>
      <c r="BV22" s="52"/>
      <c r="BW22" s="13"/>
      <c r="BX22" s="13"/>
      <c r="BY22" s="13"/>
      <c r="BZ22" s="13"/>
      <c r="CA22" s="13"/>
      <c r="CB22" s="13"/>
      <c r="CC22" s="13"/>
      <c r="CD22" s="52"/>
      <c r="CE22" s="52"/>
      <c r="CF22" s="52"/>
      <c r="CG22" s="52"/>
      <c r="CH22" s="52"/>
      <c r="CI22" s="52"/>
      <c r="CJ22" s="52"/>
      <c r="CK22" s="56">
        <f t="shared" ref="CK22:CQ22" si="17">SUM(E22,L22,S22,Z22,AG22,AN22,AU22,BB22,BI22,BP22,BW22,CD22)</f>
        <v>0</v>
      </c>
      <c r="CL22" s="56">
        <f t="shared" si="17"/>
        <v>0</v>
      </c>
      <c r="CM22" s="56">
        <f t="shared" si="17"/>
        <v>0</v>
      </c>
      <c r="CN22" s="56">
        <f t="shared" si="17"/>
        <v>0</v>
      </c>
      <c r="CO22" s="56">
        <f t="shared" si="17"/>
        <v>0</v>
      </c>
      <c r="CP22" s="56">
        <f t="shared" si="17"/>
        <v>0</v>
      </c>
      <c r="CQ22" s="56">
        <f t="shared" si="17"/>
        <v>0</v>
      </c>
    </row>
    <row r="23" ht="15.75" customHeight="1" outlineLevel="1">
      <c r="A23" s="4"/>
      <c r="B23" s="12" t="s">
        <v>64</v>
      </c>
      <c r="C23" s="12" t="s">
        <v>65</v>
      </c>
      <c r="D23" s="12" t="s">
        <v>26</v>
      </c>
      <c r="E23" s="13"/>
      <c r="F23" s="13"/>
      <c r="G23" s="13"/>
      <c r="H23" s="13"/>
      <c r="I23" s="13"/>
      <c r="J23" s="13"/>
      <c r="K23" s="13"/>
      <c r="L23" s="52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52"/>
      <c r="AA23" s="52"/>
      <c r="AB23" s="52"/>
      <c r="AC23" s="52"/>
      <c r="AD23" s="52"/>
      <c r="AE23" s="52"/>
      <c r="AF23" s="52"/>
      <c r="AG23" s="13"/>
      <c r="AH23" s="13"/>
      <c r="AI23" s="13"/>
      <c r="AJ23" s="13"/>
      <c r="AK23" s="13"/>
      <c r="AL23" s="13"/>
      <c r="AM23" s="13"/>
      <c r="AN23" s="52"/>
      <c r="AO23" s="52"/>
      <c r="AP23" s="52"/>
      <c r="AQ23" s="52"/>
      <c r="AR23" s="52"/>
      <c r="AS23" s="52"/>
      <c r="AT23" s="52"/>
      <c r="AU23" s="13"/>
      <c r="AV23" s="13"/>
      <c r="AW23" s="13"/>
      <c r="AX23" s="13"/>
      <c r="AY23" s="13"/>
      <c r="AZ23" s="13"/>
      <c r="BA23" s="13"/>
      <c r="BB23" s="52"/>
      <c r="BC23" s="52"/>
      <c r="BD23" s="52"/>
      <c r="BE23" s="52"/>
      <c r="BF23" s="52"/>
      <c r="BG23" s="52"/>
      <c r="BH23" s="52"/>
      <c r="BI23" s="13"/>
      <c r="BJ23" s="13"/>
      <c r="BK23" s="13"/>
      <c r="BL23" s="13"/>
      <c r="BM23" s="13"/>
      <c r="BN23" s="13"/>
      <c r="BO23" s="13"/>
      <c r="BP23" s="52"/>
      <c r="BQ23" s="52"/>
      <c r="BR23" s="52"/>
      <c r="BS23" s="52"/>
      <c r="BT23" s="52"/>
      <c r="BU23" s="52"/>
      <c r="BV23" s="52"/>
      <c r="BW23" s="13"/>
      <c r="BX23" s="13"/>
      <c r="BY23" s="13"/>
      <c r="BZ23" s="13"/>
      <c r="CA23" s="13"/>
      <c r="CB23" s="13"/>
      <c r="CC23" s="13"/>
      <c r="CD23" s="52"/>
      <c r="CE23" s="52"/>
      <c r="CF23" s="52"/>
      <c r="CG23" s="52"/>
      <c r="CH23" s="52"/>
      <c r="CI23" s="52"/>
      <c r="CJ23" s="52"/>
      <c r="CK23" s="56">
        <f t="shared" ref="CK23:CQ23" si="18">SUM(E23,L23,S23,Z23,AG23,AN23,AU23,BB23,BI23,BP23,BW23,CD23)</f>
        <v>0</v>
      </c>
      <c r="CL23" s="56">
        <f t="shared" si="18"/>
        <v>0</v>
      </c>
      <c r="CM23" s="56">
        <f t="shared" si="18"/>
        <v>0</v>
      </c>
      <c r="CN23" s="56">
        <f t="shared" si="18"/>
        <v>0</v>
      </c>
      <c r="CO23" s="56">
        <f t="shared" si="18"/>
        <v>0</v>
      </c>
      <c r="CP23" s="56">
        <f t="shared" si="18"/>
        <v>0</v>
      </c>
      <c r="CQ23" s="56">
        <f t="shared" si="18"/>
        <v>0</v>
      </c>
    </row>
    <row r="24" ht="15.75" customHeight="1" outlineLevel="1">
      <c r="A24" s="4"/>
      <c r="B24" s="12" t="s">
        <v>66</v>
      </c>
      <c r="C24" s="12" t="s">
        <v>67</v>
      </c>
      <c r="D24" s="12" t="s">
        <v>26</v>
      </c>
      <c r="E24" s="13"/>
      <c r="F24" s="13"/>
      <c r="G24" s="13"/>
      <c r="H24" s="13"/>
      <c r="I24" s="13"/>
      <c r="J24" s="13"/>
      <c r="K24" s="13"/>
      <c r="L24" s="52"/>
      <c r="M24" s="52"/>
      <c r="N24" s="52"/>
      <c r="O24" s="52"/>
      <c r="P24" s="52"/>
      <c r="Q24" s="52"/>
      <c r="R24" s="52"/>
      <c r="S24" s="13"/>
      <c r="T24" s="13"/>
      <c r="U24" s="13"/>
      <c r="V24" s="13"/>
      <c r="W24" s="13"/>
      <c r="X24" s="13"/>
      <c r="Y24" s="13"/>
      <c r="Z24" s="52"/>
      <c r="AA24" s="52"/>
      <c r="AB24" s="52"/>
      <c r="AC24" s="52"/>
      <c r="AD24" s="52"/>
      <c r="AE24" s="52"/>
      <c r="AF24" s="52"/>
      <c r="AG24" s="13"/>
      <c r="AH24" s="13"/>
      <c r="AI24" s="13"/>
      <c r="AJ24" s="13"/>
      <c r="AK24" s="13"/>
      <c r="AL24" s="13"/>
      <c r="AM24" s="13"/>
      <c r="AN24" s="52"/>
      <c r="AO24" s="52"/>
      <c r="AP24" s="52"/>
      <c r="AQ24" s="52"/>
      <c r="AR24" s="52"/>
      <c r="AS24" s="52"/>
      <c r="AT24" s="52"/>
      <c r="AU24" s="13"/>
      <c r="AV24" s="13"/>
      <c r="AW24" s="13"/>
      <c r="AX24" s="13"/>
      <c r="AY24" s="13"/>
      <c r="AZ24" s="13"/>
      <c r="BA24" s="13"/>
      <c r="BB24" s="52"/>
      <c r="BC24" s="52"/>
      <c r="BD24" s="52"/>
      <c r="BE24" s="52"/>
      <c r="BF24" s="52"/>
      <c r="BG24" s="52"/>
      <c r="BH24" s="52"/>
      <c r="BI24" s="13"/>
      <c r="BJ24" s="13"/>
      <c r="BK24" s="13"/>
      <c r="BL24" s="13"/>
      <c r="BM24" s="13"/>
      <c r="BN24" s="13"/>
      <c r="BO24" s="13"/>
      <c r="BP24" s="52"/>
      <c r="BQ24" s="52"/>
      <c r="BR24" s="52"/>
      <c r="BS24" s="52"/>
      <c r="BT24" s="52"/>
      <c r="BU24" s="52"/>
      <c r="BV24" s="52"/>
      <c r="BW24" s="13"/>
      <c r="BX24" s="13"/>
      <c r="BY24" s="13"/>
      <c r="BZ24" s="13"/>
      <c r="CA24" s="13"/>
      <c r="CB24" s="13"/>
      <c r="CC24" s="13"/>
      <c r="CD24" s="52"/>
      <c r="CE24" s="52"/>
      <c r="CF24" s="52"/>
      <c r="CG24" s="52"/>
      <c r="CH24" s="52"/>
      <c r="CI24" s="52"/>
      <c r="CJ24" s="52"/>
      <c r="CK24" s="56">
        <f t="shared" ref="CK24:CQ24" si="19">SUM(E24,L24,S24,Z24,AG24,AN24,AU24,BB24,BI24,BP24,BW24,CD24)</f>
        <v>0</v>
      </c>
      <c r="CL24" s="56">
        <f t="shared" si="19"/>
        <v>0</v>
      </c>
      <c r="CM24" s="56">
        <f t="shared" si="19"/>
        <v>0</v>
      </c>
      <c r="CN24" s="56">
        <f t="shared" si="19"/>
        <v>0</v>
      </c>
      <c r="CO24" s="56">
        <f t="shared" si="19"/>
        <v>0</v>
      </c>
      <c r="CP24" s="56">
        <f t="shared" si="19"/>
        <v>0</v>
      </c>
      <c r="CQ24" s="56">
        <f t="shared" si="19"/>
        <v>0</v>
      </c>
    </row>
    <row r="25" ht="15.75" customHeight="1" outlineLevel="1">
      <c r="A25" s="4"/>
      <c r="B25" s="12" t="s">
        <v>68</v>
      </c>
      <c r="C25" s="12" t="s">
        <v>69</v>
      </c>
      <c r="D25" s="12" t="s">
        <v>26</v>
      </c>
      <c r="E25" s="13"/>
      <c r="F25" s="13"/>
      <c r="G25" s="13"/>
      <c r="H25" s="13"/>
      <c r="I25" s="13"/>
      <c r="J25" s="13"/>
      <c r="K25" s="13"/>
      <c r="L25" s="52"/>
      <c r="M25" s="52"/>
      <c r="N25" s="52"/>
      <c r="O25" s="52"/>
      <c r="P25" s="52"/>
      <c r="Q25" s="52"/>
      <c r="R25" s="52"/>
      <c r="S25" s="13"/>
      <c r="T25" s="13"/>
      <c r="U25" s="13"/>
      <c r="V25" s="13"/>
      <c r="W25" s="13"/>
      <c r="X25" s="13"/>
      <c r="Y25" s="13"/>
      <c r="Z25" s="52"/>
      <c r="AA25" s="52"/>
      <c r="AB25" s="52"/>
      <c r="AC25" s="52"/>
      <c r="AD25" s="52"/>
      <c r="AE25" s="52"/>
      <c r="AF25" s="52"/>
      <c r="AG25" s="13"/>
      <c r="AH25" s="13"/>
      <c r="AI25" s="13"/>
      <c r="AJ25" s="13"/>
      <c r="AK25" s="13"/>
      <c r="AL25" s="13"/>
      <c r="AM25" s="13"/>
      <c r="AN25" s="52"/>
      <c r="AO25" s="52"/>
      <c r="AP25" s="52"/>
      <c r="AQ25" s="52"/>
      <c r="AR25" s="52"/>
      <c r="AS25" s="52"/>
      <c r="AT25" s="52"/>
      <c r="AU25" s="13"/>
      <c r="AV25" s="13"/>
      <c r="AW25" s="13"/>
      <c r="AX25" s="13"/>
      <c r="AY25" s="13"/>
      <c r="AZ25" s="13"/>
      <c r="BA25" s="13"/>
      <c r="BB25" s="52"/>
      <c r="BC25" s="52"/>
      <c r="BD25" s="52"/>
      <c r="BE25" s="52"/>
      <c r="BF25" s="52"/>
      <c r="BG25" s="52"/>
      <c r="BH25" s="52"/>
      <c r="BI25" s="13"/>
      <c r="BJ25" s="13"/>
      <c r="BK25" s="13"/>
      <c r="BL25" s="13"/>
      <c r="BM25" s="13"/>
      <c r="BN25" s="13"/>
      <c r="BO25" s="13"/>
      <c r="BP25" s="52"/>
      <c r="BQ25" s="52"/>
      <c r="BR25" s="52"/>
      <c r="BS25" s="52"/>
      <c r="BT25" s="52"/>
      <c r="BU25" s="52"/>
      <c r="BV25" s="52"/>
      <c r="BW25" s="13"/>
      <c r="BX25" s="13"/>
      <c r="BY25" s="13"/>
      <c r="BZ25" s="13"/>
      <c r="CA25" s="13"/>
      <c r="CB25" s="13"/>
      <c r="CC25" s="13"/>
      <c r="CD25" s="52"/>
      <c r="CE25" s="52"/>
      <c r="CF25" s="52"/>
      <c r="CG25" s="52"/>
      <c r="CH25" s="52"/>
      <c r="CI25" s="52"/>
      <c r="CJ25" s="52"/>
      <c r="CK25" s="56">
        <f t="shared" ref="CK25:CQ25" si="20">SUM(E25,L25,S25,Z25,AG25,AN25,AU25,BB25,BI25,BP25,BW25,CD25)</f>
        <v>0</v>
      </c>
      <c r="CL25" s="56">
        <f t="shared" si="20"/>
        <v>0</v>
      </c>
      <c r="CM25" s="56">
        <f t="shared" si="20"/>
        <v>0</v>
      </c>
      <c r="CN25" s="56">
        <f t="shared" si="20"/>
        <v>0</v>
      </c>
      <c r="CO25" s="56">
        <f t="shared" si="20"/>
        <v>0</v>
      </c>
      <c r="CP25" s="56">
        <f t="shared" si="20"/>
        <v>0</v>
      </c>
      <c r="CQ25" s="56">
        <f t="shared" si="20"/>
        <v>0</v>
      </c>
    </row>
    <row r="26" ht="15.75" customHeight="1" outlineLevel="1">
      <c r="A26" s="4"/>
      <c r="B26" s="12" t="s">
        <v>70</v>
      </c>
      <c r="C26" s="23" t="s">
        <v>71</v>
      </c>
      <c r="D26" s="12" t="s">
        <v>26</v>
      </c>
      <c r="E26" s="13"/>
      <c r="F26" s="13"/>
      <c r="G26" s="13"/>
      <c r="H26" s="13"/>
      <c r="I26" s="13"/>
      <c r="J26" s="13"/>
      <c r="K26" s="13"/>
      <c r="L26" s="52"/>
      <c r="M26" s="52"/>
      <c r="N26" s="52"/>
      <c r="O26" s="52"/>
      <c r="P26" s="52"/>
      <c r="Q26" s="52"/>
      <c r="R26" s="52"/>
      <c r="S26" s="13"/>
      <c r="T26" s="13"/>
      <c r="U26" s="13"/>
      <c r="V26" s="13"/>
      <c r="W26" s="13"/>
      <c r="X26" s="13"/>
      <c r="Y26" s="13"/>
      <c r="Z26" s="52"/>
      <c r="AA26" s="52"/>
      <c r="AB26" s="52"/>
      <c r="AC26" s="52"/>
      <c r="AD26" s="52"/>
      <c r="AE26" s="52"/>
      <c r="AF26" s="52"/>
      <c r="AG26" s="13"/>
      <c r="AH26" s="13"/>
      <c r="AI26" s="13"/>
      <c r="AJ26" s="13"/>
      <c r="AK26" s="13"/>
      <c r="AL26" s="13"/>
      <c r="AM26" s="13"/>
      <c r="AN26" s="52"/>
      <c r="AO26" s="52"/>
      <c r="AP26" s="52"/>
      <c r="AQ26" s="52"/>
      <c r="AR26" s="52"/>
      <c r="AS26" s="52"/>
      <c r="AT26" s="52"/>
      <c r="AU26" s="13"/>
      <c r="AV26" s="13"/>
      <c r="AW26" s="13"/>
      <c r="AX26" s="13"/>
      <c r="AY26" s="13"/>
      <c r="AZ26" s="13"/>
      <c r="BA26" s="13"/>
      <c r="BB26" s="52"/>
      <c r="BC26" s="52"/>
      <c r="BD26" s="52"/>
      <c r="BE26" s="52"/>
      <c r="BF26" s="52"/>
      <c r="BG26" s="52"/>
      <c r="BH26" s="52"/>
      <c r="BI26" s="13"/>
      <c r="BJ26" s="13"/>
      <c r="BK26" s="13"/>
      <c r="BL26" s="13"/>
      <c r="BM26" s="13"/>
      <c r="BN26" s="13"/>
      <c r="BO26" s="13"/>
      <c r="BP26" s="52"/>
      <c r="BQ26" s="52"/>
      <c r="BR26" s="52"/>
      <c r="BS26" s="52"/>
      <c r="BT26" s="52"/>
      <c r="BU26" s="52"/>
      <c r="BV26" s="52"/>
      <c r="BW26" s="13"/>
      <c r="BX26" s="13"/>
      <c r="BY26" s="13"/>
      <c r="BZ26" s="13"/>
      <c r="CA26" s="13"/>
      <c r="CB26" s="13"/>
      <c r="CC26" s="13"/>
      <c r="CD26" s="52"/>
      <c r="CE26" s="52"/>
      <c r="CF26" s="52"/>
      <c r="CG26" s="52"/>
      <c r="CH26" s="52"/>
      <c r="CI26" s="52"/>
      <c r="CJ26" s="52"/>
      <c r="CK26" s="56">
        <f t="shared" ref="CK26:CQ26" si="21">SUM(E26,L26,S26,Z26,AG26,AN26,AU26,BB26,BI26,BP26,BW26,CD26)</f>
        <v>0</v>
      </c>
      <c r="CL26" s="56">
        <f t="shared" si="21"/>
        <v>0</v>
      </c>
      <c r="CM26" s="56">
        <f t="shared" si="21"/>
        <v>0</v>
      </c>
      <c r="CN26" s="56">
        <f t="shared" si="21"/>
        <v>0</v>
      </c>
      <c r="CO26" s="56">
        <f t="shared" si="21"/>
        <v>0</v>
      </c>
      <c r="CP26" s="56">
        <f t="shared" si="21"/>
        <v>0</v>
      </c>
      <c r="CQ26" s="56">
        <f t="shared" si="21"/>
        <v>0</v>
      </c>
    </row>
    <row r="27" ht="15.75" customHeight="1" outlineLevel="1">
      <c r="A27" s="4"/>
      <c r="B27" s="31" t="s">
        <v>73</v>
      </c>
      <c r="C27" s="12" t="s">
        <v>74</v>
      </c>
      <c r="D27" s="12" t="s">
        <v>26</v>
      </c>
      <c r="E27" s="13"/>
      <c r="F27" s="13"/>
      <c r="G27" s="13"/>
      <c r="H27" s="13"/>
      <c r="I27" s="13"/>
      <c r="J27" s="13"/>
      <c r="K27" s="13"/>
      <c r="L27" s="52"/>
      <c r="M27" s="52"/>
      <c r="N27" s="52"/>
      <c r="O27" s="52"/>
      <c r="P27" s="52"/>
      <c r="Q27" s="52"/>
      <c r="R27" s="52"/>
      <c r="S27" s="13"/>
      <c r="T27" s="13"/>
      <c r="U27" s="13"/>
      <c r="V27" s="13"/>
      <c r="W27" s="13"/>
      <c r="X27" s="13"/>
      <c r="Y27" s="13"/>
      <c r="Z27" s="52"/>
      <c r="AA27" s="52"/>
      <c r="AB27" s="52"/>
      <c r="AC27" s="52"/>
      <c r="AD27" s="52"/>
      <c r="AE27" s="52"/>
      <c r="AF27" s="52"/>
      <c r="AG27" s="13"/>
      <c r="AH27" s="13"/>
      <c r="AI27" s="13"/>
      <c r="AJ27" s="13"/>
      <c r="AK27" s="13"/>
      <c r="AL27" s="13"/>
      <c r="AM27" s="13"/>
      <c r="AN27" s="52"/>
      <c r="AO27" s="52"/>
      <c r="AP27" s="52"/>
      <c r="AQ27" s="52"/>
      <c r="AR27" s="52"/>
      <c r="AS27" s="52"/>
      <c r="AT27" s="52"/>
      <c r="AU27" s="13"/>
      <c r="AV27" s="13"/>
      <c r="AW27" s="13"/>
      <c r="AX27" s="13"/>
      <c r="AY27" s="13"/>
      <c r="AZ27" s="13"/>
      <c r="BA27" s="13"/>
      <c r="BB27" s="52"/>
      <c r="BC27" s="52"/>
      <c r="BD27" s="52"/>
      <c r="BE27" s="52"/>
      <c r="BF27" s="52"/>
      <c r="BG27" s="52"/>
      <c r="BH27" s="52"/>
      <c r="BI27" s="13"/>
      <c r="BJ27" s="13"/>
      <c r="BK27" s="13"/>
      <c r="BL27" s="13"/>
      <c r="BM27" s="13"/>
      <c r="BN27" s="13"/>
      <c r="BO27" s="13"/>
      <c r="BP27" s="52"/>
      <c r="BQ27" s="52"/>
      <c r="BR27" s="52"/>
      <c r="BS27" s="52"/>
      <c r="BT27" s="52"/>
      <c r="BU27" s="52"/>
      <c r="BV27" s="52"/>
      <c r="BW27" s="13"/>
      <c r="BX27" s="13"/>
      <c r="BY27" s="13"/>
      <c r="BZ27" s="13"/>
      <c r="CA27" s="13"/>
      <c r="CB27" s="13"/>
      <c r="CC27" s="13"/>
      <c r="CD27" s="52"/>
      <c r="CE27" s="52"/>
      <c r="CF27" s="52"/>
      <c r="CG27" s="52"/>
      <c r="CH27" s="52"/>
      <c r="CI27" s="52"/>
      <c r="CJ27" s="52"/>
      <c r="CK27" s="56">
        <f t="shared" ref="CK27:CQ27" si="22">SUM(E27,L27,S27,Z27,AG27,AN27,AU27,BB27,BI27,BP27,BW27,CD27)</f>
        <v>0</v>
      </c>
      <c r="CL27" s="56">
        <f t="shared" si="22"/>
        <v>0</v>
      </c>
      <c r="CM27" s="56">
        <f t="shared" si="22"/>
        <v>0</v>
      </c>
      <c r="CN27" s="56">
        <f t="shared" si="22"/>
        <v>0</v>
      </c>
      <c r="CO27" s="56">
        <f t="shared" si="22"/>
        <v>0</v>
      </c>
      <c r="CP27" s="56">
        <f t="shared" si="22"/>
        <v>0</v>
      </c>
      <c r="CQ27" s="56">
        <f t="shared" si="22"/>
        <v>0</v>
      </c>
    </row>
    <row r="28" ht="15.75" customHeight="1">
      <c r="A28" s="4"/>
      <c r="B28" s="60"/>
      <c r="C28" s="4"/>
      <c r="D28" s="4"/>
      <c r="E28" s="13">
        <f t="shared" ref="E28:CQ28" si="23">SUM(E6:E27)</f>
        <v>0</v>
      </c>
      <c r="F28" s="13">
        <f t="shared" si="23"/>
        <v>0</v>
      </c>
      <c r="G28" s="13">
        <f t="shared" si="23"/>
        <v>0</v>
      </c>
      <c r="H28" s="13">
        <f t="shared" si="23"/>
        <v>0</v>
      </c>
      <c r="I28" s="17">
        <f t="shared" si="23"/>
        <v>0</v>
      </c>
      <c r="J28" s="17">
        <f t="shared" si="23"/>
        <v>0</v>
      </c>
      <c r="K28" s="17">
        <f t="shared" si="23"/>
        <v>0</v>
      </c>
      <c r="L28" s="52">
        <f t="shared" si="23"/>
        <v>0</v>
      </c>
      <c r="M28" s="52">
        <f t="shared" si="23"/>
        <v>0</v>
      </c>
      <c r="N28" s="52">
        <f t="shared" si="23"/>
        <v>0</v>
      </c>
      <c r="O28" s="52">
        <f t="shared" si="23"/>
        <v>0</v>
      </c>
      <c r="P28" s="61">
        <f t="shared" si="23"/>
        <v>0</v>
      </c>
      <c r="Q28" s="61">
        <f t="shared" si="23"/>
        <v>0</v>
      </c>
      <c r="R28" s="61">
        <f t="shared" si="23"/>
        <v>0</v>
      </c>
      <c r="S28" s="13">
        <f t="shared" si="23"/>
        <v>0</v>
      </c>
      <c r="T28" s="13">
        <f t="shared" si="23"/>
        <v>0</v>
      </c>
      <c r="U28" s="13">
        <f t="shared" si="23"/>
        <v>0</v>
      </c>
      <c r="V28" s="13">
        <f t="shared" si="23"/>
        <v>0</v>
      </c>
      <c r="W28" s="17">
        <f t="shared" si="23"/>
        <v>0</v>
      </c>
      <c r="X28" s="17">
        <f t="shared" si="23"/>
        <v>0</v>
      </c>
      <c r="Y28" s="17">
        <f t="shared" si="23"/>
        <v>0</v>
      </c>
      <c r="Z28" s="52">
        <f t="shared" si="23"/>
        <v>0</v>
      </c>
      <c r="AA28" s="52">
        <f t="shared" si="23"/>
        <v>0</v>
      </c>
      <c r="AB28" s="52">
        <f t="shared" si="23"/>
        <v>0</v>
      </c>
      <c r="AC28" s="52">
        <f t="shared" si="23"/>
        <v>0</v>
      </c>
      <c r="AD28" s="61">
        <f t="shared" si="23"/>
        <v>0</v>
      </c>
      <c r="AE28" s="61">
        <f t="shared" si="23"/>
        <v>0</v>
      </c>
      <c r="AF28" s="61">
        <f t="shared" si="23"/>
        <v>0</v>
      </c>
      <c r="AG28" s="13">
        <f t="shared" si="23"/>
        <v>0</v>
      </c>
      <c r="AH28" s="13">
        <f t="shared" si="23"/>
        <v>0</v>
      </c>
      <c r="AI28" s="13">
        <f t="shared" si="23"/>
        <v>0</v>
      </c>
      <c r="AJ28" s="13">
        <f t="shared" si="23"/>
        <v>0</v>
      </c>
      <c r="AK28" s="17">
        <f t="shared" si="23"/>
        <v>0</v>
      </c>
      <c r="AL28" s="17">
        <f t="shared" si="23"/>
        <v>0</v>
      </c>
      <c r="AM28" s="17">
        <f t="shared" si="23"/>
        <v>0</v>
      </c>
      <c r="AN28" s="52">
        <f t="shared" si="23"/>
        <v>0</v>
      </c>
      <c r="AO28" s="52">
        <f t="shared" si="23"/>
        <v>0</v>
      </c>
      <c r="AP28" s="52">
        <f t="shared" si="23"/>
        <v>0</v>
      </c>
      <c r="AQ28" s="52">
        <f t="shared" si="23"/>
        <v>0</v>
      </c>
      <c r="AR28" s="61">
        <f t="shared" si="23"/>
        <v>0</v>
      </c>
      <c r="AS28" s="61">
        <f t="shared" si="23"/>
        <v>0</v>
      </c>
      <c r="AT28" s="61">
        <f t="shared" si="23"/>
        <v>0</v>
      </c>
      <c r="AU28" s="13">
        <f t="shared" si="23"/>
        <v>0</v>
      </c>
      <c r="AV28" s="13">
        <f t="shared" si="23"/>
        <v>0</v>
      </c>
      <c r="AW28" s="13">
        <f t="shared" si="23"/>
        <v>0</v>
      </c>
      <c r="AX28" s="13">
        <f t="shared" si="23"/>
        <v>0</v>
      </c>
      <c r="AY28" s="17">
        <f t="shared" si="23"/>
        <v>0</v>
      </c>
      <c r="AZ28" s="17">
        <f t="shared" si="23"/>
        <v>0</v>
      </c>
      <c r="BA28" s="17">
        <f t="shared" si="23"/>
        <v>0</v>
      </c>
      <c r="BB28" s="52">
        <f t="shared" si="23"/>
        <v>0</v>
      </c>
      <c r="BC28" s="52">
        <f t="shared" si="23"/>
        <v>0</v>
      </c>
      <c r="BD28" s="52">
        <f t="shared" si="23"/>
        <v>0</v>
      </c>
      <c r="BE28" s="52">
        <f t="shared" si="23"/>
        <v>0</v>
      </c>
      <c r="BF28" s="61">
        <f t="shared" si="23"/>
        <v>0</v>
      </c>
      <c r="BG28" s="61">
        <f t="shared" si="23"/>
        <v>0</v>
      </c>
      <c r="BH28" s="61">
        <f t="shared" si="23"/>
        <v>0</v>
      </c>
      <c r="BI28" s="13">
        <f t="shared" si="23"/>
        <v>0</v>
      </c>
      <c r="BJ28" s="13">
        <f t="shared" si="23"/>
        <v>0</v>
      </c>
      <c r="BK28" s="13">
        <f t="shared" si="23"/>
        <v>0</v>
      </c>
      <c r="BL28" s="13">
        <f t="shared" si="23"/>
        <v>0</v>
      </c>
      <c r="BM28" s="17">
        <f t="shared" si="23"/>
        <v>0</v>
      </c>
      <c r="BN28" s="17">
        <f t="shared" si="23"/>
        <v>0</v>
      </c>
      <c r="BO28" s="17">
        <f t="shared" si="23"/>
        <v>0</v>
      </c>
      <c r="BP28" s="52">
        <f t="shared" si="23"/>
        <v>0</v>
      </c>
      <c r="BQ28" s="52">
        <f t="shared" si="23"/>
        <v>0</v>
      </c>
      <c r="BR28" s="52">
        <f t="shared" si="23"/>
        <v>0</v>
      </c>
      <c r="BS28" s="52">
        <f t="shared" si="23"/>
        <v>0</v>
      </c>
      <c r="BT28" s="61">
        <f t="shared" si="23"/>
        <v>0</v>
      </c>
      <c r="BU28" s="61">
        <f t="shared" si="23"/>
        <v>0</v>
      </c>
      <c r="BV28" s="61">
        <f t="shared" si="23"/>
        <v>0</v>
      </c>
      <c r="BW28" s="13">
        <f t="shared" si="23"/>
        <v>0</v>
      </c>
      <c r="BX28" s="13">
        <f t="shared" si="23"/>
        <v>0</v>
      </c>
      <c r="BY28" s="13">
        <f t="shared" si="23"/>
        <v>0</v>
      </c>
      <c r="BZ28" s="13">
        <f t="shared" si="23"/>
        <v>0</v>
      </c>
      <c r="CA28" s="17">
        <f t="shared" si="23"/>
        <v>0</v>
      </c>
      <c r="CB28" s="17">
        <f t="shared" si="23"/>
        <v>0</v>
      </c>
      <c r="CC28" s="17">
        <f t="shared" si="23"/>
        <v>0</v>
      </c>
      <c r="CD28" s="52">
        <f t="shared" si="23"/>
        <v>0</v>
      </c>
      <c r="CE28" s="52">
        <f t="shared" si="23"/>
        <v>0</v>
      </c>
      <c r="CF28" s="52">
        <f t="shared" si="23"/>
        <v>0</v>
      </c>
      <c r="CG28" s="52">
        <f t="shared" si="23"/>
        <v>0</v>
      </c>
      <c r="CH28" s="61">
        <f t="shared" si="23"/>
        <v>0</v>
      </c>
      <c r="CI28" s="61">
        <f t="shared" si="23"/>
        <v>0</v>
      </c>
      <c r="CJ28" s="61">
        <f t="shared" si="23"/>
        <v>0</v>
      </c>
      <c r="CK28" s="62">
        <f t="shared" si="23"/>
        <v>0</v>
      </c>
      <c r="CL28" s="62">
        <f t="shared" si="23"/>
        <v>0</v>
      </c>
      <c r="CM28" s="62">
        <f t="shared" si="23"/>
        <v>0</v>
      </c>
      <c r="CN28" s="62">
        <f t="shared" si="23"/>
        <v>0</v>
      </c>
      <c r="CO28" s="62">
        <f t="shared" si="23"/>
        <v>0</v>
      </c>
      <c r="CP28" s="62">
        <f t="shared" si="23"/>
        <v>0</v>
      </c>
      <c r="CQ28" s="62">
        <f t="shared" si="23"/>
        <v>0</v>
      </c>
    </row>
    <row r="29" ht="15.75" customHeight="1">
      <c r="A29" s="4"/>
      <c r="B29" s="4"/>
      <c r="C29" s="4"/>
      <c r="D29" s="4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"/>
      <c r="AB29" s="4"/>
      <c r="AC29" s="4"/>
      <c r="AD29" s="40"/>
      <c r="AE29" s="40"/>
      <c r="AF29" s="40"/>
      <c r="AG29" s="4"/>
      <c r="AH29" s="4"/>
      <c r="AI29" s="4"/>
      <c r="AJ29" s="4"/>
      <c r="AK29" s="40"/>
      <c r="AL29" s="40"/>
      <c r="AM29" s="40"/>
      <c r="AN29" s="4"/>
      <c r="AO29" s="4"/>
      <c r="AP29" s="4"/>
      <c r="AQ29" s="4"/>
      <c r="AR29" s="40"/>
      <c r="AS29" s="40"/>
      <c r="AT29" s="40"/>
      <c r="AU29" s="4"/>
      <c r="AV29" s="4"/>
      <c r="AW29" s="4"/>
      <c r="AX29" s="4"/>
      <c r="AY29" s="40"/>
      <c r="AZ29" s="40"/>
      <c r="BA29" s="40"/>
      <c r="BB29" s="4"/>
      <c r="BC29" s="4"/>
      <c r="BD29" s="4"/>
      <c r="BE29" s="4"/>
      <c r="BF29" s="40"/>
      <c r="BG29" s="40"/>
      <c r="BH29" s="40"/>
      <c r="BI29" s="4"/>
      <c r="BJ29" s="4"/>
      <c r="BK29" s="4"/>
      <c r="BL29" s="4"/>
      <c r="BM29" s="40"/>
      <c r="BN29" s="40"/>
      <c r="BO29" s="40"/>
      <c r="BP29" s="4"/>
      <c r="BQ29" s="4"/>
      <c r="BR29" s="4"/>
      <c r="BS29" s="4"/>
      <c r="BT29" s="40"/>
      <c r="BU29" s="40"/>
      <c r="BV29" s="40"/>
      <c r="BW29" s="4"/>
      <c r="BX29" s="4"/>
      <c r="BY29" s="4"/>
      <c r="BZ29" s="4"/>
      <c r="CA29" s="40"/>
      <c r="CB29" s="40"/>
      <c r="CC29" s="40"/>
      <c r="CD29" s="4"/>
      <c r="CE29" s="63"/>
      <c r="CH29" s="40"/>
      <c r="CI29" s="40"/>
      <c r="CJ29" s="40"/>
      <c r="CK29" s="4"/>
      <c r="CL29" s="4"/>
      <c r="CM29" s="4"/>
      <c r="CN29" s="4"/>
      <c r="CO29" s="40"/>
      <c r="CP29" s="40"/>
      <c r="CQ29" s="40"/>
    </row>
    <row r="30" ht="15.75" customHeight="1">
      <c r="A30" s="4"/>
      <c r="B30" s="4"/>
      <c r="C30" s="4"/>
      <c r="D30" s="4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"/>
      <c r="AB30" s="4"/>
      <c r="AC30" s="4"/>
      <c r="AD30" s="40"/>
      <c r="AE30" s="40"/>
      <c r="AF30" s="40"/>
      <c r="AG30" s="4"/>
      <c r="AH30" s="4"/>
      <c r="AI30" s="4"/>
      <c r="AJ30" s="4"/>
      <c r="AK30" s="40"/>
      <c r="AL30" s="40"/>
      <c r="AM30" s="40"/>
      <c r="AN30" s="4"/>
      <c r="AO30" s="4"/>
      <c r="AP30" s="4"/>
      <c r="AQ30" s="4"/>
      <c r="AR30" s="40"/>
      <c r="AS30" s="40"/>
      <c r="AT30" s="40"/>
      <c r="AU30" s="4"/>
      <c r="AV30" s="4"/>
      <c r="AW30" s="4"/>
      <c r="AX30" s="4"/>
      <c r="AY30" s="40"/>
      <c r="AZ30" s="40"/>
      <c r="BA30" s="40"/>
      <c r="BB30" s="4"/>
      <c r="BC30" s="4"/>
      <c r="BD30" s="4"/>
      <c r="BE30" s="4"/>
      <c r="BF30" s="40"/>
      <c r="BG30" s="40"/>
      <c r="BH30" s="40"/>
      <c r="BI30" s="4"/>
      <c r="BJ30" s="4"/>
      <c r="BK30" s="4"/>
      <c r="BL30" s="4"/>
      <c r="BM30" s="40"/>
      <c r="BN30" s="40"/>
      <c r="BO30" s="40"/>
      <c r="BP30" s="4"/>
      <c r="BQ30" s="4"/>
      <c r="BR30" s="4"/>
      <c r="BS30" s="4"/>
      <c r="BT30" s="40"/>
      <c r="BU30" s="40"/>
      <c r="BV30" s="40"/>
      <c r="BW30" s="4"/>
      <c r="BX30" s="4"/>
      <c r="BY30" s="4"/>
      <c r="BZ30" s="4"/>
      <c r="CA30" s="40"/>
      <c r="CB30" s="40"/>
      <c r="CC30" s="40"/>
      <c r="CD30" s="4"/>
      <c r="CE30" s="63"/>
      <c r="CH30" s="40"/>
      <c r="CI30" s="40"/>
      <c r="CJ30" s="40"/>
      <c r="CK30" s="4"/>
      <c r="CL30" s="17"/>
      <c r="CM30" s="4"/>
      <c r="CN30" s="4"/>
      <c r="CO30" s="40"/>
      <c r="CP30" s="17"/>
      <c r="CQ30" s="40"/>
    </row>
    <row r="31" ht="15.75" customHeight="1">
      <c r="A31" s="4"/>
      <c r="B31" s="4"/>
      <c r="C31" s="4"/>
      <c r="D31" s="4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"/>
      <c r="AB31" s="4"/>
      <c r="AC31" s="4"/>
      <c r="AD31" s="40"/>
      <c r="AE31" s="40"/>
      <c r="AF31" s="40"/>
      <c r="AG31" s="4"/>
      <c r="AH31" s="4"/>
      <c r="AI31" s="4"/>
      <c r="AJ31" s="4"/>
      <c r="AK31" s="40"/>
      <c r="AL31" s="40"/>
      <c r="AM31" s="40"/>
      <c r="AN31" s="4"/>
      <c r="AO31" s="4"/>
      <c r="AP31" s="4"/>
      <c r="AQ31" s="4"/>
      <c r="AR31" s="40"/>
      <c r="AS31" s="40"/>
      <c r="AT31" s="40"/>
      <c r="AU31" s="4"/>
      <c r="AV31" s="4"/>
      <c r="AW31" s="4"/>
      <c r="AX31" s="4"/>
      <c r="AY31" s="40"/>
      <c r="AZ31" s="40"/>
      <c r="BA31" s="40"/>
      <c r="BB31" s="4"/>
      <c r="BC31" s="4"/>
      <c r="BD31" s="4"/>
      <c r="BE31" s="4"/>
      <c r="BF31" s="40"/>
      <c r="BG31" s="40"/>
      <c r="BH31" s="40"/>
      <c r="BI31" s="4"/>
      <c r="BJ31" s="4"/>
      <c r="BK31" s="4"/>
      <c r="BL31" s="4"/>
      <c r="BM31" s="40"/>
      <c r="BN31" s="40"/>
      <c r="BO31" s="40"/>
      <c r="BP31" s="4"/>
      <c r="BQ31" s="4"/>
      <c r="BR31" s="4"/>
      <c r="BS31" s="4"/>
      <c r="BT31" s="40"/>
      <c r="BU31" s="40"/>
      <c r="BV31" s="40"/>
      <c r="BW31" s="4"/>
      <c r="BX31" s="4"/>
      <c r="BY31" s="4"/>
      <c r="BZ31" s="4"/>
      <c r="CA31" s="40"/>
      <c r="CB31" s="40"/>
      <c r="CC31" s="40"/>
      <c r="CD31" s="4"/>
      <c r="CE31" s="4"/>
      <c r="CF31" s="4"/>
      <c r="CG31" s="4"/>
      <c r="CH31" s="40"/>
      <c r="CI31" s="40"/>
      <c r="CJ31" s="40"/>
      <c r="CK31" s="4"/>
      <c r="CL31" s="4"/>
      <c r="CM31" s="4"/>
      <c r="CN31" s="4"/>
      <c r="CO31" s="40"/>
      <c r="CP31" s="17"/>
      <c r="CQ31" s="40"/>
    </row>
    <row r="32" ht="15.75" customHeight="1">
      <c r="A32" s="4"/>
      <c r="B32" s="4"/>
      <c r="C32" s="4"/>
      <c r="D32" s="4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"/>
      <c r="AB32" s="4"/>
      <c r="AC32" s="4"/>
      <c r="AD32" s="40"/>
      <c r="AE32" s="40"/>
      <c r="AF32" s="40"/>
      <c r="AG32" s="4"/>
      <c r="AH32" s="4"/>
      <c r="AI32" s="4"/>
      <c r="AJ32" s="4"/>
      <c r="AK32" s="40"/>
      <c r="AL32" s="40"/>
      <c r="AM32" s="40"/>
      <c r="AN32" s="4"/>
      <c r="AO32" s="4"/>
      <c r="AP32" s="4"/>
      <c r="AQ32" s="4"/>
      <c r="AR32" s="40"/>
      <c r="AS32" s="40"/>
      <c r="AT32" s="40"/>
      <c r="AU32" s="4"/>
      <c r="AV32" s="4"/>
      <c r="AW32" s="4"/>
      <c r="AX32" s="4"/>
      <c r="AY32" s="40"/>
      <c r="AZ32" s="40"/>
      <c r="BA32" s="40"/>
      <c r="BB32" s="4"/>
      <c r="BC32" s="4"/>
      <c r="BD32" s="4"/>
      <c r="BE32" s="4"/>
      <c r="BF32" s="40"/>
      <c r="BG32" s="40"/>
      <c r="BH32" s="40"/>
      <c r="BI32" s="4"/>
      <c r="BJ32" s="4"/>
      <c r="BK32" s="4"/>
      <c r="BL32" s="4"/>
      <c r="BM32" s="40"/>
      <c r="BN32" s="40"/>
      <c r="BO32" s="40"/>
      <c r="BP32" s="4"/>
      <c r="BQ32" s="4"/>
      <c r="BR32" s="4"/>
      <c r="BS32" s="4"/>
      <c r="BT32" s="40"/>
      <c r="BU32" s="40"/>
      <c r="BV32" s="40"/>
      <c r="BW32" s="4"/>
      <c r="BX32" s="4"/>
      <c r="BY32" s="4"/>
      <c r="BZ32" s="4"/>
      <c r="CA32" s="40"/>
      <c r="CB32" s="40"/>
      <c r="CC32" s="40"/>
      <c r="CD32" s="4"/>
      <c r="CE32" s="4"/>
      <c r="CF32" s="4"/>
      <c r="CG32" s="4"/>
      <c r="CH32" s="40"/>
      <c r="CI32" s="40"/>
      <c r="CJ32" s="40"/>
      <c r="CK32" s="4"/>
      <c r="CL32" s="4"/>
      <c r="CM32" s="4"/>
      <c r="CN32" s="4"/>
      <c r="CO32" s="40"/>
      <c r="CP32" s="17"/>
      <c r="CQ32" s="40"/>
    </row>
    <row r="33" ht="15.75" customHeight="1">
      <c r="A33" s="4"/>
      <c r="B33" s="4"/>
      <c r="C33" s="4"/>
      <c r="D33" s="4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"/>
      <c r="AB33" s="4"/>
      <c r="AC33" s="4"/>
      <c r="AD33" s="40"/>
      <c r="AE33" s="40"/>
      <c r="AF33" s="40"/>
      <c r="AG33" s="4"/>
      <c r="AH33" s="4"/>
      <c r="AI33" s="4"/>
      <c r="AJ33" s="4"/>
      <c r="AK33" s="40"/>
      <c r="AL33" s="40"/>
      <c r="AM33" s="40"/>
      <c r="AN33" s="4"/>
      <c r="AO33" s="4"/>
      <c r="AP33" s="4"/>
      <c r="AQ33" s="4"/>
      <c r="AR33" s="40"/>
      <c r="AS33" s="40"/>
      <c r="AT33" s="40"/>
      <c r="AU33" s="4"/>
      <c r="AV33" s="4"/>
      <c r="AW33" s="4"/>
      <c r="AX33" s="4"/>
      <c r="AY33" s="40"/>
      <c r="AZ33" s="40"/>
      <c r="BA33" s="40"/>
      <c r="BB33" s="4"/>
      <c r="BC33" s="4"/>
      <c r="BD33" s="4"/>
      <c r="BE33" s="4"/>
      <c r="BF33" s="40"/>
      <c r="BG33" s="40"/>
      <c r="BH33" s="40"/>
      <c r="BI33" s="4"/>
      <c r="BJ33" s="4"/>
      <c r="BK33" s="4"/>
      <c r="BL33" s="4"/>
      <c r="BM33" s="40"/>
      <c r="BN33" s="40"/>
      <c r="BO33" s="40"/>
      <c r="BP33" s="4"/>
      <c r="BQ33" s="4"/>
      <c r="BR33" s="4"/>
      <c r="BS33" s="4"/>
      <c r="BT33" s="40"/>
      <c r="BU33" s="40"/>
      <c r="BV33" s="40"/>
      <c r="BW33" s="4"/>
      <c r="BX33" s="4"/>
      <c r="BY33" s="4"/>
      <c r="BZ33" s="4"/>
      <c r="CA33" s="40"/>
      <c r="CB33" s="40"/>
      <c r="CC33" s="40"/>
      <c r="CD33" s="4"/>
      <c r="CE33" s="4"/>
      <c r="CF33" s="4"/>
      <c r="CG33" s="4"/>
      <c r="CH33" s="40"/>
      <c r="CI33" s="40"/>
      <c r="CJ33" s="40"/>
      <c r="CK33" s="4"/>
      <c r="CL33" s="4"/>
      <c r="CM33" s="4"/>
      <c r="CN33" s="4"/>
      <c r="CO33" s="40"/>
      <c r="CP33" s="40"/>
      <c r="CQ33" s="40"/>
    </row>
    <row r="34" ht="15.75" customHeight="1">
      <c r="A34" s="4"/>
      <c r="B34" s="4"/>
      <c r="C34" s="4"/>
      <c r="D34" s="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"/>
      <c r="AB34" s="4"/>
      <c r="AC34" s="4"/>
      <c r="AD34" s="40"/>
      <c r="AE34" s="40"/>
      <c r="AF34" s="40"/>
      <c r="AG34" s="4"/>
      <c r="AH34" s="4"/>
      <c r="AI34" s="4"/>
      <c r="AJ34" s="4"/>
      <c r="AK34" s="40"/>
      <c r="AL34" s="40"/>
      <c r="AM34" s="40"/>
      <c r="AN34" s="4"/>
      <c r="AO34" s="4"/>
      <c r="AP34" s="4"/>
      <c r="AQ34" s="4"/>
      <c r="AR34" s="40"/>
      <c r="AS34" s="40"/>
      <c r="AT34" s="40"/>
      <c r="AU34" s="4"/>
      <c r="AV34" s="4"/>
      <c r="AW34" s="4"/>
      <c r="AX34" s="4"/>
      <c r="AY34" s="40"/>
      <c r="AZ34" s="40"/>
      <c r="BA34" s="40"/>
      <c r="BB34" s="4"/>
      <c r="BC34" s="4"/>
      <c r="BD34" s="4"/>
      <c r="BE34" s="4"/>
      <c r="BF34" s="40"/>
      <c r="BG34" s="40"/>
      <c r="BH34" s="40"/>
      <c r="BI34" s="4"/>
      <c r="BJ34" s="4"/>
      <c r="BK34" s="4"/>
      <c r="BL34" s="4"/>
      <c r="BM34" s="40"/>
      <c r="BN34" s="40"/>
      <c r="BO34" s="40"/>
      <c r="BP34" s="4"/>
      <c r="BQ34" s="4"/>
      <c r="BR34" s="4"/>
      <c r="BS34" s="4"/>
      <c r="BT34" s="40"/>
      <c r="BU34" s="40"/>
      <c r="BV34" s="40"/>
      <c r="BW34" s="4"/>
      <c r="BX34" s="4"/>
      <c r="BY34" s="4"/>
      <c r="BZ34" s="4"/>
      <c r="CA34" s="40"/>
      <c r="CB34" s="40"/>
      <c r="CC34" s="40"/>
      <c r="CD34" s="4"/>
      <c r="CE34" s="4"/>
      <c r="CF34" s="4"/>
      <c r="CG34" s="4"/>
      <c r="CH34" s="40"/>
      <c r="CI34" s="40"/>
      <c r="CJ34" s="40"/>
      <c r="CK34" s="4"/>
      <c r="CL34" s="4"/>
      <c r="CM34" s="4"/>
      <c r="CN34" s="4"/>
      <c r="CO34" s="40"/>
      <c r="CP34" s="40"/>
      <c r="CQ34" s="40"/>
    </row>
    <row r="35" ht="15.75" customHeight="1">
      <c r="A35" s="4"/>
      <c r="B35" s="4"/>
      <c r="C35" s="4"/>
      <c r="D35" s="4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"/>
      <c r="AB35" s="4"/>
      <c r="AC35" s="4"/>
      <c r="AD35" s="40"/>
      <c r="AE35" s="40"/>
      <c r="AF35" s="40"/>
      <c r="AG35" s="4"/>
      <c r="AH35" s="4"/>
      <c r="AI35" s="4"/>
      <c r="AJ35" s="4"/>
      <c r="AK35" s="40"/>
      <c r="AL35" s="40"/>
      <c r="AM35" s="40"/>
      <c r="AN35" s="4"/>
      <c r="AO35" s="4"/>
      <c r="AP35" s="4"/>
      <c r="AQ35" s="4"/>
      <c r="AR35" s="40"/>
      <c r="AS35" s="40"/>
      <c r="AT35" s="40"/>
      <c r="AU35" s="4"/>
      <c r="AV35" s="4"/>
      <c r="AW35" s="4"/>
      <c r="AX35" s="4"/>
      <c r="AY35" s="40"/>
      <c r="AZ35" s="40"/>
      <c r="BA35" s="40"/>
      <c r="BB35" s="4"/>
      <c r="BC35" s="4"/>
      <c r="BD35" s="4"/>
      <c r="BE35" s="4"/>
      <c r="BF35" s="40"/>
      <c r="BG35" s="40"/>
      <c r="BH35" s="40"/>
      <c r="BI35" s="4"/>
      <c r="BJ35" s="4"/>
      <c r="BK35" s="4"/>
      <c r="BL35" s="4"/>
      <c r="BM35" s="40"/>
      <c r="BN35" s="40"/>
      <c r="BO35" s="40"/>
      <c r="BP35" s="4"/>
      <c r="BQ35" s="4"/>
      <c r="BR35" s="4"/>
      <c r="BS35" s="4"/>
      <c r="BT35" s="40"/>
      <c r="BU35" s="40"/>
      <c r="BV35" s="40"/>
      <c r="BW35" s="4"/>
      <c r="BX35" s="4"/>
      <c r="BY35" s="4"/>
      <c r="BZ35" s="4"/>
      <c r="CA35" s="40"/>
      <c r="CB35" s="40"/>
      <c r="CC35" s="40"/>
      <c r="CD35" s="4"/>
      <c r="CE35" s="4"/>
      <c r="CF35" s="4"/>
      <c r="CG35" s="4"/>
      <c r="CH35" s="40"/>
      <c r="CI35" s="40"/>
      <c r="CJ35" s="40"/>
      <c r="CK35" s="4"/>
      <c r="CL35" s="4"/>
      <c r="CM35" s="4"/>
      <c r="CN35" s="4"/>
      <c r="CO35" s="40"/>
      <c r="CP35" s="40"/>
      <c r="CQ35" s="40"/>
    </row>
    <row r="36" ht="15.75" customHeight="1">
      <c r="A36" s="4"/>
      <c r="B36" s="4"/>
      <c r="C36" s="4"/>
      <c r="D36" s="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"/>
      <c r="AB36" s="4"/>
      <c r="AC36" s="4"/>
      <c r="AD36" s="40"/>
      <c r="AE36" s="40"/>
      <c r="AF36" s="40"/>
      <c r="AG36" s="4"/>
      <c r="AH36" s="4"/>
      <c r="AI36" s="4"/>
      <c r="AJ36" s="4"/>
      <c r="AK36" s="40"/>
      <c r="AL36" s="40"/>
      <c r="AM36" s="40"/>
      <c r="AN36" s="4"/>
      <c r="AO36" s="4"/>
      <c r="AP36" s="4"/>
      <c r="AQ36" s="4"/>
      <c r="AR36" s="40"/>
      <c r="AS36" s="40"/>
      <c r="AT36" s="40"/>
      <c r="AU36" s="4"/>
      <c r="AV36" s="4"/>
      <c r="AW36" s="4"/>
      <c r="AX36" s="4"/>
      <c r="AY36" s="40"/>
      <c r="AZ36" s="40"/>
      <c r="BA36" s="40"/>
      <c r="BB36" s="4"/>
      <c r="BC36" s="4"/>
      <c r="BD36" s="4"/>
      <c r="BE36" s="4"/>
      <c r="BF36" s="40"/>
      <c r="BG36" s="40"/>
      <c r="BH36" s="40"/>
      <c r="BI36" s="4"/>
      <c r="BJ36" s="4"/>
      <c r="BK36" s="4"/>
      <c r="BL36" s="4"/>
      <c r="BM36" s="40"/>
      <c r="BN36" s="40"/>
      <c r="BO36" s="40"/>
      <c r="BP36" s="4"/>
      <c r="BQ36" s="4"/>
      <c r="BR36" s="4"/>
      <c r="BS36" s="4"/>
      <c r="BT36" s="40"/>
      <c r="BU36" s="40"/>
      <c r="BV36" s="40"/>
      <c r="BW36" s="4"/>
      <c r="BX36" s="4"/>
      <c r="BY36" s="4"/>
      <c r="BZ36" s="4"/>
      <c r="CA36" s="40"/>
      <c r="CB36" s="40"/>
      <c r="CC36" s="40"/>
      <c r="CD36" s="4"/>
      <c r="CE36" s="4"/>
      <c r="CF36" s="4"/>
      <c r="CG36" s="4"/>
      <c r="CH36" s="40"/>
      <c r="CI36" s="40"/>
      <c r="CJ36" s="40"/>
      <c r="CK36" s="4"/>
      <c r="CL36" s="4"/>
      <c r="CM36" s="4"/>
      <c r="CN36" s="4"/>
      <c r="CO36" s="40"/>
      <c r="CP36" s="40"/>
      <c r="CQ36" s="40"/>
    </row>
    <row r="37" ht="15.75" customHeight="1">
      <c r="A37" s="4"/>
      <c r="B37" s="4"/>
      <c r="C37" s="4"/>
      <c r="D37" s="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"/>
      <c r="AB37" s="4"/>
      <c r="AC37" s="4"/>
      <c r="AD37" s="40"/>
      <c r="AE37" s="40"/>
      <c r="AF37" s="40"/>
      <c r="AG37" s="4"/>
      <c r="AH37" s="4"/>
      <c r="AI37" s="4"/>
      <c r="AJ37" s="4"/>
      <c r="AK37" s="40"/>
      <c r="AL37" s="40"/>
      <c r="AM37" s="40"/>
      <c r="AN37" s="4"/>
      <c r="AO37" s="4"/>
      <c r="AP37" s="4"/>
      <c r="AQ37" s="4"/>
      <c r="AR37" s="40"/>
      <c r="AS37" s="40"/>
      <c r="AT37" s="40"/>
      <c r="AU37" s="4"/>
      <c r="AV37" s="4"/>
      <c r="AW37" s="4"/>
      <c r="AX37" s="4"/>
      <c r="AY37" s="40"/>
      <c r="AZ37" s="40"/>
      <c r="BA37" s="40"/>
      <c r="BB37" s="4"/>
      <c r="BC37" s="4"/>
      <c r="BD37" s="4"/>
      <c r="BE37" s="4"/>
      <c r="BF37" s="40"/>
      <c r="BG37" s="40"/>
      <c r="BH37" s="40"/>
      <c r="BI37" s="4"/>
      <c r="BJ37" s="4"/>
      <c r="BK37" s="4"/>
      <c r="BL37" s="4"/>
      <c r="BM37" s="40"/>
      <c r="BN37" s="40"/>
      <c r="BO37" s="40"/>
      <c r="BP37" s="4"/>
      <c r="BQ37" s="4"/>
      <c r="BR37" s="4"/>
      <c r="BS37" s="4"/>
      <c r="BT37" s="40"/>
      <c r="BU37" s="40"/>
      <c r="BV37" s="40"/>
      <c r="BW37" s="4"/>
      <c r="BX37" s="4"/>
      <c r="BY37" s="4"/>
      <c r="BZ37" s="4"/>
      <c r="CA37" s="40"/>
      <c r="CB37" s="40"/>
      <c r="CC37" s="40"/>
      <c r="CD37" s="4"/>
      <c r="CE37" s="4"/>
      <c r="CF37" s="4"/>
      <c r="CG37" s="4"/>
      <c r="CH37" s="40"/>
      <c r="CI37" s="40"/>
      <c r="CJ37" s="40"/>
      <c r="CK37" s="4"/>
      <c r="CL37" s="4"/>
      <c r="CM37" s="4"/>
      <c r="CN37" s="4"/>
      <c r="CO37" s="40"/>
      <c r="CP37" s="40"/>
      <c r="CQ37" s="40"/>
    </row>
    <row r="38" ht="15.75" customHeight="1">
      <c r="A38" s="4"/>
      <c r="B38" s="4"/>
      <c r="C38" s="4"/>
      <c r="D38" s="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"/>
      <c r="AB38" s="4"/>
      <c r="AC38" s="4"/>
      <c r="AD38" s="40"/>
      <c r="AE38" s="40"/>
      <c r="AF38" s="40"/>
      <c r="AG38" s="4"/>
      <c r="AH38" s="4"/>
      <c r="AI38" s="4"/>
      <c r="AJ38" s="4"/>
      <c r="AK38" s="40"/>
      <c r="AL38" s="40"/>
      <c r="AM38" s="40"/>
      <c r="AN38" s="4"/>
      <c r="AO38" s="4"/>
      <c r="AP38" s="4"/>
      <c r="AQ38" s="4"/>
      <c r="AR38" s="40"/>
      <c r="AS38" s="40"/>
      <c r="AT38" s="40"/>
      <c r="AU38" s="4"/>
      <c r="AV38" s="4"/>
      <c r="AW38" s="4"/>
      <c r="AX38" s="4"/>
      <c r="AY38" s="40"/>
      <c r="AZ38" s="40"/>
      <c r="BA38" s="40"/>
      <c r="BB38" s="4"/>
      <c r="BC38" s="4"/>
      <c r="BD38" s="4"/>
      <c r="BE38" s="4"/>
      <c r="BF38" s="40"/>
      <c r="BG38" s="40"/>
      <c r="BH38" s="40"/>
      <c r="BI38" s="4"/>
      <c r="BJ38" s="4"/>
      <c r="BK38" s="4"/>
      <c r="BL38" s="4"/>
      <c r="BM38" s="40"/>
      <c r="BN38" s="40"/>
      <c r="BO38" s="40"/>
      <c r="BP38" s="4"/>
      <c r="BQ38" s="4"/>
      <c r="BR38" s="4"/>
      <c r="BS38" s="4"/>
      <c r="BT38" s="40"/>
      <c r="BU38" s="40"/>
      <c r="BV38" s="40"/>
      <c r="BW38" s="4"/>
      <c r="BX38" s="4"/>
      <c r="BY38" s="4"/>
      <c r="BZ38" s="4"/>
      <c r="CA38" s="40"/>
      <c r="CB38" s="40"/>
      <c r="CC38" s="40"/>
      <c r="CD38" s="4"/>
      <c r="CE38" s="4"/>
      <c r="CF38" s="4"/>
      <c r="CG38" s="4"/>
      <c r="CH38" s="40"/>
      <c r="CI38" s="40"/>
      <c r="CJ38" s="40"/>
      <c r="CK38" s="4"/>
      <c r="CL38" s="4"/>
      <c r="CM38" s="4"/>
      <c r="CN38" s="4"/>
      <c r="CO38" s="40"/>
      <c r="CP38" s="40"/>
      <c r="CQ38" s="40"/>
    </row>
    <row r="39" ht="15.75" customHeight="1">
      <c r="A39" s="4"/>
      <c r="B39" s="4"/>
      <c r="C39" s="4"/>
      <c r="D39" s="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"/>
      <c r="AB39" s="4"/>
      <c r="AC39" s="4"/>
      <c r="AD39" s="40"/>
      <c r="AE39" s="40"/>
      <c r="AF39" s="40"/>
      <c r="AG39" s="4"/>
      <c r="AH39" s="4"/>
      <c r="AI39" s="4"/>
      <c r="AJ39" s="4"/>
      <c r="AK39" s="40"/>
      <c r="AL39" s="40"/>
      <c r="AM39" s="40"/>
      <c r="AN39" s="4"/>
      <c r="AO39" s="4"/>
      <c r="AP39" s="4"/>
      <c r="AQ39" s="4"/>
      <c r="AR39" s="40"/>
      <c r="AS39" s="40"/>
      <c r="AT39" s="40"/>
      <c r="AU39" s="4"/>
      <c r="AV39" s="4"/>
      <c r="AW39" s="4"/>
      <c r="AX39" s="4"/>
      <c r="AY39" s="40"/>
      <c r="AZ39" s="40"/>
      <c r="BA39" s="40"/>
      <c r="BB39" s="4"/>
      <c r="BC39" s="4"/>
      <c r="BD39" s="4"/>
      <c r="BE39" s="4"/>
      <c r="BF39" s="40"/>
      <c r="BG39" s="40"/>
      <c r="BH39" s="40"/>
      <c r="BI39" s="4"/>
      <c r="BJ39" s="4"/>
      <c r="BK39" s="4"/>
      <c r="BL39" s="4"/>
      <c r="BM39" s="40"/>
      <c r="BN39" s="40"/>
      <c r="BO39" s="40"/>
      <c r="BP39" s="4"/>
      <c r="BQ39" s="4"/>
      <c r="BR39" s="4"/>
      <c r="BS39" s="4"/>
      <c r="BT39" s="40"/>
      <c r="BU39" s="40"/>
      <c r="BV39" s="40"/>
      <c r="BW39" s="4"/>
      <c r="BX39" s="4"/>
      <c r="BY39" s="4"/>
      <c r="BZ39" s="4"/>
      <c r="CA39" s="40"/>
      <c r="CB39" s="40"/>
      <c r="CC39" s="40"/>
      <c r="CD39" s="4"/>
      <c r="CE39" s="4"/>
      <c r="CF39" s="4"/>
      <c r="CG39" s="4"/>
      <c r="CH39" s="40"/>
      <c r="CI39" s="40"/>
      <c r="CJ39" s="40"/>
      <c r="CK39" s="4"/>
      <c r="CL39" s="4"/>
      <c r="CM39" s="4"/>
      <c r="CN39" s="4"/>
      <c r="CO39" s="40"/>
      <c r="CP39" s="40"/>
      <c r="CQ39" s="40"/>
    </row>
    <row r="40" ht="15.75" customHeight="1">
      <c r="A40" s="4"/>
      <c r="B40" s="4"/>
      <c r="C40" s="4"/>
      <c r="D40" s="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"/>
      <c r="AB40" s="4"/>
      <c r="AC40" s="4"/>
      <c r="AD40" s="40"/>
      <c r="AE40" s="40"/>
      <c r="AF40" s="40"/>
      <c r="AG40" s="4"/>
      <c r="AH40" s="4"/>
      <c r="AI40" s="4"/>
      <c r="AJ40" s="4"/>
      <c r="AK40" s="40"/>
      <c r="AL40" s="40"/>
      <c r="AM40" s="40"/>
      <c r="AN40" s="4"/>
      <c r="AO40" s="4"/>
      <c r="AP40" s="4"/>
      <c r="AQ40" s="4"/>
      <c r="AR40" s="40"/>
      <c r="AS40" s="40"/>
      <c r="AT40" s="40"/>
      <c r="AU40" s="4"/>
      <c r="AV40" s="4"/>
      <c r="AW40" s="4"/>
      <c r="AX40" s="4"/>
      <c r="AY40" s="40"/>
      <c r="AZ40" s="40"/>
      <c r="BA40" s="40"/>
      <c r="BB40" s="4"/>
      <c r="BC40" s="4"/>
      <c r="BD40" s="4"/>
      <c r="BE40" s="4"/>
      <c r="BF40" s="40"/>
      <c r="BG40" s="40"/>
      <c r="BH40" s="40"/>
      <c r="BI40" s="4"/>
      <c r="BJ40" s="4"/>
      <c r="BK40" s="4"/>
      <c r="BL40" s="4"/>
      <c r="BM40" s="40"/>
      <c r="BN40" s="40"/>
      <c r="BO40" s="40"/>
      <c r="BP40" s="4"/>
      <c r="BQ40" s="4"/>
      <c r="BR40" s="4"/>
      <c r="BS40" s="4"/>
      <c r="BT40" s="40"/>
      <c r="BU40" s="40"/>
      <c r="BV40" s="40"/>
      <c r="BW40" s="4"/>
      <c r="BX40" s="4"/>
      <c r="BY40" s="4"/>
      <c r="BZ40" s="4"/>
      <c r="CA40" s="40"/>
      <c r="CB40" s="40"/>
      <c r="CC40" s="40"/>
      <c r="CD40" s="4"/>
      <c r="CE40" s="4"/>
      <c r="CF40" s="4"/>
      <c r="CG40" s="4"/>
      <c r="CH40" s="40"/>
      <c r="CI40" s="40"/>
      <c r="CJ40" s="40"/>
      <c r="CK40" s="4"/>
      <c r="CL40" s="4"/>
      <c r="CM40" s="4"/>
      <c r="CN40" s="4"/>
      <c r="CO40" s="40"/>
      <c r="CP40" s="40"/>
      <c r="CQ40" s="40"/>
    </row>
    <row r="41" ht="15.75" customHeight="1">
      <c r="A41" s="4"/>
      <c r="B41" s="4"/>
      <c r="C41" s="4"/>
      <c r="D41" s="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"/>
      <c r="AB41" s="4"/>
      <c r="AC41" s="4"/>
      <c r="AD41" s="40"/>
      <c r="AE41" s="40"/>
      <c r="AF41" s="40"/>
      <c r="AG41" s="4"/>
      <c r="AH41" s="4"/>
      <c r="AI41" s="4"/>
      <c r="AJ41" s="4"/>
      <c r="AK41" s="40"/>
      <c r="AL41" s="40"/>
      <c r="AM41" s="40"/>
      <c r="AN41" s="4"/>
      <c r="AO41" s="4"/>
      <c r="AP41" s="4"/>
      <c r="AQ41" s="4"/>
      <c r="AR41" s="40"/>
      <c r="AS41" s="40"/>
      <c r="AT41" s="40"/>
      <c r="AU41" s="4"/>
      <c r="AV41" s="4"/>
      <c r="AW41" s="4"/>
      <c r="AX41" s="4"/>
      <c r="AY41" s="40"/>
      <c r="AZ41" s="40"/>
      <c r="BA41" s="40"/>
      <c r="BB41" s="4"/>
      <c r="BC41" s="4"/>
      <c r="BD41" s="4"/>
      <c r="BE41" s="4"/>
      <c r="BF41" s="40"/>
      <c r="BG41" s="40"/>
      <c r="BH41" s="40"/>
      <c r="BI41" s="4"/>
      <c r="BJ41" s="4"/>
      <c r="BK41" s="4"/>
      <c r="BL41" s="4"/>
      <c r="BM41" s="40"/>
      <c r="BN41" s="40"/>
      <c r="BO41" s="40"/>
      <c r="BP41" s="4"/>
      <c r="BQ41" s="4"/>
      <c r="BR41" s="4"/>
      <c r="BS41" s="4"/>
      <c r="BT41" s="40"/>
      <c r="BU41" s="40"/>
      <c r="BV41" s="40"/>
      <c r="BW41" s="4"/>
      <c r="BX41" s="4"/>
      <c r="BY41" s="4"/>
      <c r="BZ41" s="4"/>
      <c r="CA41" s="40"/>
      <c r="CB41" s="40"/>
      <c r="CC41" s="40"/>
      <c r="CD41" s="4"/>
      <c r="CE41" s="4"/>
      <c r="CF41" s="4"/>
      <c r="CG41" s="4"/>
      <c r="CH41" s="40"/>
      <c r="CI41" s="40"/>
      <c r="CJ41" s="40"/>
      <c r="CK41" s="4"/>
      <c r="CL41" s="4"/>
      <c r="CM41" s="4"/>
      <c r="CN41" s="4"/>
      <c r="CO41" s="40"/>
      <c r="CP41" s="40"/>
      <c r="CQ41" s="40"/>
    </row>
    <row r="42" ht="15.75" customHeight="1">
      <c r="A42" s="4"/>
      <c r="B42" s="4"/>
      <c r="C42" s="4"/>
      <c r="D42" s="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"/>
      <c r="AB42" s="4"/>
      <c r="AC42" s="4"/>
      <c r="AD42" s="40"/>
      <c r="AE42" s="40"/>
      <c r="AF42" s="40"/>
      <c r="AG42" s="4"/>
      <c r="AH42" s="4"/>
      <c r="AI42" s="4"/>
      <c r="AJ42" s="4"/>
      <c r="AK42" s="40"/>
      <c r="AL42" s="40"/>
      <c r="AM42" s="40"/>
      <c r="AN42" s="4"/>
      <c r="AO42" s="4"/>
      <c r="AP42" s="4"/>
      <c r="AQ42" s="4"/>
      <c r="AR42" s="40"/>
      <c r="AS42" s="40"/>
      <c r="AT42" s="40"/>
      <c r="AU42" s="4"/>
      <c r="AV42" s="4"/>
      <c r="AW42" s="4"/>
      <c r="AX42" s="4"/>
      <c r="AY42" s="40"/>
      <c r="AZ42" s="40"/>
      <c r="BA42" s="40"/>
      <c r="BB42" s="4"/>
      <c r="BC42" s="4"/>
      <c r="BD42" s="4"/>
      <c r="BE42" s="4"/>
      <c r="BF42" s="40"/>
      <c r="BG42" s="40"/>
      <c r="BH42" s="40"/>
      <c r="BI42" s="4"/>
      <c r="BJ42" s="4"/>
      <c r="BK42" s="4"/>
      <c r="BL42" s="4"/>
      <c r="BM42" s="40"/>
      <c r="BN42" s="40"/>
      <c r="BO42" s="40"/>
      <c r="BP42" s="4"/>
      <c r="BQ42" s="4"/>
      <c r="BR42" s="4"/>
      <c r="BS42" s="4"/>
      <c r="BT42" s="40"/>
      <c r="BU42" s="40"/>
      <c r="BV42" s="40"/>
      <c r="BW42" s="4"/>
      <c r="BX42" s="4"/>
      <c r="BY42" s="4"/>
      <c r="BZ42" s="4"/>
      <c r="CA42" s="40"/>
      <c r="CB42" s="40"/>
      <c r="CC42" s="40"/>
      <c r="CD42" s="4"/>
      <c r="CE42" s="4"/>
      <c r="CF42" s="4"/>
      <c r="CG42" s="4"/>
      <c r="CH42" s="40"/>
      <c r="CI42" s="40"/>
      <c r="CJ42" s="40"/>
      <c r="CK42" s="4"/>
      <c r="CL42" s="4"/>
      <c r="CM42" s="4"/>
      <c r="CN42" s="4"/>
      <c r="CO42" s="40"/>
      <c r="CP42" s="40"/>
      <c r="CQ42" s="40"/>
    </row>
    <row r="43" ht="15.75" customHeight="1">
      <c r="A43" s="4"/>
      <c r="B43" s="4"/>
      <c r="C43" s="4"/>
      <c r="D43" s="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"/>
      <c r="AB43" s="4"/>
      <c r="AC43" s="4"/>
      <c r="AD43" s="40"/>
      <c r="AE43" s="40"/>
      <c r="AF43" s="40"/>
      <c r="AG43" s="4"/>
      <c r="AH43" s="4"/>
      <c r="AI43" s="4"/>
      <c r="AJ43" s="4"/>
      <c r="AK43" s="40"/>
      <c r="AL43" s="40"/>
      <c r="AM43" s="40"/>
      <c r="AN43" s="4"/>
      <c r="AO43" s="4"/>
      <c r="AP43" s="4"/>
      <c r="AQ43" s="4"/>
      <c r="AR43" s="40"/>
      <c r="AS43" s="40"/>
      <c r="AT43" s="40"/>
      <c r="AU43" s="4"/>
      <c r="AV43" s="4"/>
      <c r="AW43" s="4"/>
      <c r="AX43" s="4"/>
      <c r="AY43" s="40"/>
      <c r="AZ43" s="40"/>
      <c r="BA43" s="40"/>
      <c r="BB43" s="4"/>
      <c r="BC43" s="4"/>
      <c r="BD43" s="4"/>
      <c r="BE43" s="4"/>
      <c r="BF43" s="40"/>
      <c r="BG43" s="40"/>
      <c r="BH43" s="40"/>
      <c r="BI43" s="4"/>
      <c r="BJ43" s="4"/>
      <c r="BK43" s="4"/>
      <c r="BL43" s="4"/>
      <c r="BM43" s="40"/>
      <c r="BN43" s="40"/>
      <c r="BO43" s="40"/>
      <c r="BP43" s="4"/>
      <c r="BQ43" s="4"/>
      <c r="BR43" s="4"/>
      <c r="BS43" s="4"/>
      <c r="BT43" s="40"/>
      <c r="BU43" s="40"/>
      <c r="BV43" s="40"/>
      <c r="BW43" s="4"/>
      <c r="BX43" s="4"/>
      <c r="BY43" s="4"/>
      <c r="BZ43" s="4"/>
      <c r="CA43" s="40"/>
      <c r="CB43" s="40"/>
      <c r="CC43" s="40"/>
      <c r="CD43" s="4"/>
      <c r="CE43" s="4"/>
      <c r="CF43" s="4"/>
      <c r="CG43" s="4"/>
      <c r="CH43" s="40"/>
      <c r="CI43" s="40"/>
      <c r="CJ43" s="40"/>
      <c r="CK43" s="4"/>
      <c r="CL43" s="4"/>
      <c r="CM43" s="4"/>
      <c r="CN43" s="4"/>
      <c r="CO43" s="40"/>
      <c r="CP43" s="40"/>
      <c r="CQ43" s="40"/>
    </row>
    <row r="44" ht="15.75" customHeight="1">
      <c r="A44" s="4"/>
      <c r="B44" s="4"/>
      <c r="C44" s="4"/>
      <c r="D44" s="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"/>
      <c r="AB44" s="4"/>
      <c r="AC44" s="4"/>
      <c r="AD44" s="40"/>
      <c r="AE44" s="40"/>
      <c r="AF44" s="40"/>
      <c r="AG44" s="4"/>
      <c r="AH44" s="4"/>
      <c r="AI44" s="4"/>
      <c r="AJ44" s="4"/>
      <c r="AK44" s="40"/>
      <c r="AL44" s="40"/>
      <c r="AM44" s="40"/>
      <c r="AN44" s="4"/>
      <c r="AO44" s="4"/>
      <c r="AP44" s="4"/>
      <c r="AQ44" s="4"/>
      <c r="AR44" s="40"/>
      <c r="AS44" s="40"/>
      <c r="AT44" s="40"/>
      <c r="AU44" s="4"/>
      <c r="AV44" s="4"/>
      <c r="AW44" s="4"/>
      <c r="AX44" s="4"/>
      <c r="AY44" s="40"/>
      <c r="AZ44" s="40"/>
      <c r="BA44" s="40"/>
      <c r="BB44" s="4"/>
      <c r="BC44" s="4"/>
      <c r="BD44" s="4"/>
      <c r="BE44" s="4"/>
      <c r="BF44" s="40"/>
      <c r="BG44" s="40"/>
      <c r="BH44" s="40"/>
      <c r="BI44" s="4"/>
      <c r="BJ44" s="4"/>
      <c r="BK44" s="4"/>
      <c r="BL44" s="4"/>
      <c r="BM44" s="40"/>
      <c r="BN44" s="40"/>
      <c r="BO44" s="40"/>
      <c r="BP44" s="4"/>
      <c r="BQ44" s="4"/>
      <c r="BR44" s="4"/>
      <c r="BS44" s="4"/>
      <c r="BT44" s="40"/>
      <c r="BU44" s="40"/>
      <c r="BV44" s="40"/>
      <c r="BW44" s="4"/>
      <c r="BX44" s="4"/>
      <c r="BY44" s="4"/>
      <c r="BZ44" s="4"/>
      <c r="CA44" s="40"/>
      <c r="CB44" s="40"/>
      <c r="CC44" s="40"/>
      <c r="CD44" s="4"/>
      <c r="CE44" s="4"/>
      <c r="CF44" s="4"/>
      <c r="CG44" s="4"/>
      <c r="CH44" s="40"/>
      <c r="CI44" s="40"/>
      <c r="CJ44" s="40"/>
      <c r="CK44" s="4"/>
      <c r="CL44" s="4"/>
      <c r="CM44" s="4"/>
      <c r="CN44" s="4"/>
      <c r="CO44" s="40"/>
      <c r="CP44" s="40"/>
      <c r="CQ44" s="40"/>
    </row>
    <row r="45" ht="15.75" customHeight="1">
      <c r="A45" s="4"/>
      <c r="B45" s="4"/>
      <c r="C45" s="4"/>
      <c r="D45" s="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"/>
      <c r="AB45" s="4"/>
      <c r="AC45" s="4"/>
      <c r="AD45" s="40"/>
      <c r="AE45" s="40"/>
      <c r="AF45" s="40"/>
      <c r="AG45" s="4"/>
      <c r="AH45" s="4"/>
      <c r="AI45" s="4"/>
      <c r="AJ45" s="4"/>
      <c r="AK45" s="40"/>
      <c r="AL45" s="40"/>
      <c r="AM45" s="40"/>
      <c r="AN45" s="4"/>
      <c r="AO45" s="4"/>
      <c r="AP45" s="4"/>
      <c r="AQ45" s="4"/>
      <c r="AR45" s="40"/>
      <c r="AS45" s="40"/>
      <c r="AT45" s="40"/>
      <c r="AU45" s="4"/>
      <c r="AV45" s="4"/>
      <c r="AW45" s="4"/>
      <c r="AX45" s="4"/>
      <c r="AY45" s="40"/>
      <c r="AZ45" s="40"/>
      <c r="BA45" s="40"/>
      <c r="BB45" s="4"/>
      <c r="BC45" s="4"/>
      <c r="BD45" s="4"/>
      <c r="BE45" s="4"/>
      <c r="BF45" s="40"/>
      <c r="BG45" s="40"/>
      <c r="BH45" s="40"/>
      <c r="BI45" s="4"/>
      <c r="BJ45" s="4"/>
      <c r="BK45" s="4"/>
      <c r="BL45" s="4"/>
      <c r="BM45" s="40"/>
      <c r="BN45" s="40"/>
      <c r="BO45" s="40"/>
      <c r="BP45" s="4"/>
      <c r="BQ45" s="4"/>
      <c r="BR45" s="4"/>
      <c r="BS45" s="4"/>
      <c r="BT45" s="40"/>
      <c r="BU45" s="40"/>
      <c r="BV45" s="40"/>
      <c r="BW45" s="4"/>
      <c r="BX45" s="4"/>
      <c r="BY45" s="4"/>
      <c r="BZ45" s="4"/>
      <c r="CA45" s="40"/>
      <c r="CB45" s="40"/>
      <c r="CC45" s="40"/>
      <c r="CD45" s="4"/>
      <c r="CE45" s="4"/>
      <c r="CF45" s="4"/>
      <c r="CG45" s="4"/>
      <c r="CH45" s="40"/>
      <c r="CI45" s="40"/>
      <c r="CJ45" s="40"/>
      <c r="CK45" s="4"/>
      <c r="CL45" s="4"/>
      <c r="CM45" s="4"/>
      <c r="CN45" s="4"/>
      <c r="CO45" s="40"/>
      <c r="CP45" s="40"/>
      <c r="CQ45" s="40"/>
    </row>
    <row r="46" ht="15.75" customHeight="1">
      <c r="A46" s="4"/>
      <c r="B46" s="4"/>
      <c r="C46" s="4"/>
      <c r="D46" s="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"/>
      <c r="AB46" s="4"/>
      <c r="AC46" s="4"/>
      <c r="AD46" s="40"/>
      <c r="AE46" s="40"/>
      <c r="AF46" s="40"/>
      <c r="AG46" s="4"/>
      <c r="AH46" s="4"/>
      <c r="AI46" s="4"/>
      <c r="AJ46" s="4"/>
      <c r="AK46" s="40"/>
      <c r="AL46" s="40"/>
      <c r="AM46" s="40"/>
      <c r="AN46" s="4"/>
      <c r="AO46" s="4"/>
      <c r="AP46" s="4"/>
      <c r="AQ46" s="4"/>
      <c r="AR46" s="40"/>
      <c r="AS46" s="40"/>
      <c r="AT46" s="40"/>
      <c r="AU46" s="4"/>
      <c r="AV46" s="4"/>
      <c r="AW46" s="4"/>
      <c r="AX46" s="4"/>
      <c r="AY46" s="40"/>
      <c r="AZ46" s="40"/>
      <c r="BA46" s="40"/>
      <c r="BB46" s="4"/>
      <c r="BC46" s="4"/>
      <c r="BD46" s="4"/>
      <c r="BE46" s="4"/>
      <c r="BF46" s="40"/>
      <c r="BG46" s="40"/>
      <c r="BH46" s="40"/>
      <c r="BI46" s="4"/>
      <c r="BJ46" s="4"/>
      <c r="BK46" s="4"/>
      <c r="BL46" s="4"/>
      <c r="BM46" s="40"/>
      <c r="BN46" s="40"/>
      <c r="BO46" s="40"/>
      <c r="BP46" s="4"/>
      <c r="BQ46" s="4"/>
      <c r="BR46" s="4"/>
      <c r="BS46" s="4"/>
      <c r="BT46" s="40"/>
      <c r="BU46" s="40"/>
      <c r="BV46" s="40"/>
      <c r="BW46" s="4"/>
      <c r="BX46" s="4"/>
      <c r="BY46" s="4"/>
      <c r="BZ46" s="4"/>
      <c r="CA46" s="40"/>
      <c r="CB46" s="40"/>
      <c r="CC46" s="40"/>
      <c r="CD46" s="4"/>
      <c r="CE46" s="4"/>
      <c r="CF46" s="4"/>
      <c r="CG46" s="4"/>
      <c r="CH46" s="40"/>
      <c r="CI46" s="40"/>
      <c r="CJ46" s="40"/>
      <c r="CK46" s="4"/>
      <c r="CL46" s="4"/>
      <c r="CM46" s="4"/>
      <c r="CN46" s="4"/>
      <c r="CO46" s="40"/>
      <c r="CP46" s="40"/>
      <c r="CQ46" s="40"/>
    </row>
    <row r="47" ht="15.75" customHeight="1">
      <c r="A47" s="4"/>
      <c r="B47" s="4"/>
      <c r="C47" s="4"/>
      <c r="D47" s="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"/>
      <c r="AB47" s="4"/>
      <c r="AC47" s="4"/>
      <c r="AD47" s="40"/>
      <c r="AE47" s="40"/>
      <c r="AF47" s="40"/>
      <c r="AG47" s="4"/>
      <c r="AH47" s="4"/>
      <c r="AI47" s="4"/>
      <c r="AJ47" s="4"/>
      <c r="AK47" s="40"/>
      <c r="AL47" s="40"/>
      <c r="AM47" s="40"/>
      <c r="AN47" s="4"/>
      <c r="AO47" s="4"/>
      <c r="AP47" s="4"/>
      <c r="AQ47" s="4"/>
      <c r="AR47" s="40"/>
      <c r="AS47" s="40"/>
      <c r="AT47" s="40"/>
      <c r="AU47" s="4"/>
      <c r="AV47" s="4"/>
      <c r="AW47" s="4"/>
      <c r="AX47" s="4"/>
      <c r="AY47" s="40"/>
      <c r="AZ47" s="40"/>
      <c r="BA47" s="40"/>
      <c r="BB47" s="4"/>
      <c r="BC47" s="4"/>
      <c r="BD47" s="4"/>
      <c r="BE47" s="4"/>
      <c r="BF47" s="40"/>
      <c r="BG47" s="40"/>
      <c r="BH47" s="40"/>
      <c r="BI47" s="4"/>
      <c r="BJ47" s="4"/>
      <c r="BK47" s="4"/>
      <c r="BL47" s="4"/>
      <c r="BM47" s="40"/>
      <c r="BN47" s="40"/>
      <c r="BO47" s="40"/>
      <c r="BP47" s="4"/>
      <c r="BQ47" s="4"/>
      <c r="BR47" s="4"/>
      <c r="BS47" s="4"/>
      <c r="BT47" s="40"/>
      <c r="BU47" s="40"/>
      <c r="BV47" s="40"/>
      <c r="BW47" s="4"/>
      <c r="BX47" s="4"/>
      <c r="BY47" s="4"/>
      <c r="BZ47" s="4"/>
      <c r="CA47" s="40"/>
      <c r="CB47" s="40"/>
      <c r="CC47" s="40"/>
      <c r="CD47" s="4"/>
      <c r="CE47" s="4"/>
      <c r="CF47" s="4"/>
      <c r="CG47" s="4"/>
      <c r="CH47" s="40"/>
      <c r="CI47" s="40"/>
      <c r="CJ47" s="40"/>
      <c r="CK47" s="4"/>
      <c r="CL47" s="4"/>
      <c r="CM47" s="4"/>
      <c r="CN47" s="4"/>
      <c r="CO47" s="40"/>
      <c r="CP47" s="40"/>
      <c r="CQ47" s="40"/>
    </row>
    <row r="48" ht="15.75" customHeight="1">
      <c r="A48" s="4"/>
      <c r="B48" s="4"/>
      <c r="C48" s="4"/>
      <c r="D48" s="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"/>
      <c r="AB48" s="4"/>
      <c r="AC48" s="4"/>
      <c r="AD48" s="40"/>
      <c r="AE48" s="40"/>
      <c r="AF48" s="40"/>
      <c r="AG48" s="4"/>
      <c r="AH48" s="4"/>
      <c r="AI48" s="4"/>
      <c r="AJ48" s="4"/>
      <c r="AK48" s="40"/>
      <c r="AL48" s="40"/>
      <c r="AM48" s="40"/>
      <c r="AN48" s="4"/>
      <c r="AO48" s="4"/>
      <c r="AP48" s="4"/>
      <c r="AQ48" s="4"/>
      <c r="AR48" s="40"/>
      <c r="AS48" s="40"/>
      <c r="AT48" s="40"/>
      <c r="AU48" s="4"/>
      <c r="AV48" s="4"/>
      <c r="AW48" s="4"/>
      <c r="AX48" s="4"/>
      <c r="AY48" s="40"/>
      <c r="AZ48" s="40"/>
      <c r="BA48" s="40"/>
      <c r="BB48" s="4"/>
      <c r="BC48" s="4"/>
      <c r="BD48" s="4"/>
      <c r="BE48" s="4"/>
      <c r="BF48" s="40"/>
      <c r="BG48" s="40"/>
      <c r="BH48" s="40"/>
      <c r="BI48" s="4"/>
      <c r="BJ48" s="4"/>
      <c r="BK48" s="4"/>
      <c r="BL48" s="4"/>
      <c r="BM48" s="40"/>
      <c r="BN48" s="40"/>
      <c r="BO48" s="40"/>
      <c r="BP48" s="4"/>
      <c r="BQ48" s="4"/>
      <c r="BR48" s="4"/>
      <c r="BS48" s="4"/>
      <c r="BT48" s="40"/>
      <c r="BU48" s="40"/>
      <c r="BV48" s="40"/>
      <c r="BW48" s="4"/>
      <c r="BX48" s="4"/>
      <c r="BY48" s="4"/>
      <c r="BZ48" s="4"/>
      <c r="CA48" s="40"/>
      <c r="CB48" s="40"/>
      <c r="CC48" s="40"/>
      <c r="CD48" s="4"/>
      <c r="CE48" s="4"/>
      <c r="CF48" s="4"/>
      <c r="CG48" s="4"/>
      <c r="CH48" s="40"/>
      <c r="CI48" s="40"/>
      <c r="CJ48" s="40"/>
      <c r="CK48" s="4"/>
      <c r="CL48" s="4"/>
      <c r="CM48" s="4"/>
      <c r="CN48" s="4"/>
      <c r="CO48" s="40"/>
      <c r="CP48" s="40"/>
      <c r="CQ48" s="40"/>
    </row>
    <row r="49" ht="15.75" customHeight="1">
      <c r="A49" s="4"/>
      <c r="B49" s="4"/>
      <c r="C49" s="4"/>
      <c r="D49" s="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"/>
      <c r="AB49" s="4"/>
      <c r="AC49" s="4"/>
      <c r="AD49" s="40"/>
      <c r="AE49" s="40"/>
      <c r="AF49" s="40"/>
      <c r="AG49" s="4"/>
      <c r="AH49" s="4"/>
      <c r="AI49" s="4"/>
      <c r="AJ49" s="4"/>
      <c r="AK49" s="40"/>
      <c r="AL49" s="40"/>
      <c r="AM49" s="40"/>
      <c r="AN49" s="4"/>
      <c r="AO49" s="4"/>
      <c r="AP49" s="4"/>
      <c r="AQ49" s="4"/>
      <c r="AR49" s="40"/>
      <c r="AS49" s="40"/>
      <c r="AT49" s="40"/>
      <c r="AU49" s="4"/>
      <c r="AV49" s="4"/>
      <c r="AW49" s="4"/>
      <c r="AX49" s="4"/>
      <c r="AY49" s="40"/>
      <c r="AZ49" s="40"/>
      <c r="BA49" s="40"/>
      <c r="BB49" s="4"/>
      <c r="BC49" s="4"/>
      <c r="BD49" s="4"/>
      <c r="BE49" s="4"/>
      <c r="BF49" s="40"/>
      <c r="BG49" s="40"/>
      <c r="BH49" s="40"/>
      <c r="BI49" s="4"/>
      <c r="BJ49" s="4"/>
      <c r="BK49" s="4"/>
      <c r="BL49" s="4"/>
      <c r="BM49" s="40"/>
      <c r="BN49" s="40"/>
      <c r="BO49" s="40"/>
      <c r="BP49" s="4"/>
      <c r="BQ49" s="4"/>
      <c r="BR49" s="4"/>
      <c r="BS49" s="4"/>
      <c r="BT49" s="40"/>
      <c r="BU49" s="40"/>
      <c r="BV49" s="40"/>
      <c r="BW49" s="4"/>
      <c r="BX49" s="4"/>
      <c r="BY49" s="4"/>
      <c r="BZ49" s="4"/>
      <c r="CA49" s="40"/>
      <c r="CB49" s="40"/>
      <c r="CC49" s="40"/>
      <c r="CD49" s="4"/>
      <c r="CE49" s="4"/>
      <c r="CF49" s="4"/>
      <c r="CG49" s="4"/>
      <c r="CH49" s="40"/>
      <c r="CI49" s="40"/>
      <c r="CJ49" s="40"/>
      <c r="CK49" s="4"/>
      <c r="CL49" s="4"/>
      <c r="CM49" s="4"/>
      <c r="CN49" s="4"/>
      <c r="CO49" s="40"/>
      <c r="CP49" s="40"/>
      <c r="CQ49" s="40"/>
    </row>
    <row r="50" ht="15.75" customHeight="1">
      <c r="A50" s="4"/>
      <c r="B50" s="4"/>
      <c r="C50" s="4"/>
      <c r="D50" s="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"/>
      <c r="AB50" s="4"/>
      <c r="AC50" s="4"/>
      <c r="AD50" s="40"/>
      <c r="AE50" s="40"/>
      <c r="AF50" s="40"/>
      <c r="AG50" s="4"/>
      <c r="AH50" s="4"/>
      <c r="AI50" s="4"/>
      <c r="AJ50" s="4"/>
      <c r="AK50" s="40"/>
      <c r="AL50" s="40"/>
      <c r="AM50" s="40"/>
      <c r="AN50" s="4"/>
      <c r="AO50" s="4"/>
      <c r="AP50" s="4"/>
      <c r="AQ50" s="4"/>
      <c r="AR50" s="40"/>
      <c r="AS50" s="40"/>
      <c r="AT50" s="40"/>
      <c r="AU50" s="4"/>
      <c r="AV50" s="4"/>
      <c r="AW50" s="4"/>
      <c r="AX50" s="4"/>
      <c r="AY50" s="40"/>
      <c r="AZ50" s="40"/>
      <c r="BA50" s="40"/>
      <c r="BB50" s="4"/>
      <c r="BC50" s="4"/>
      <c r="BD50" s="4"/>
      <c r="BE50" s="4"/>
      <c r="BF50" s="40"/>
      <c r="BG50" s="40"/>
      <c r="BH50" s="40"/>
      <c r="BI50" s="4"/>
      <c r="BJ50" s="4"/>
      <c r="BK50" s="4"/>
      <c r="BL50" s="4"/>
      <c r="BM50" s="40"/>
      <c r="BN50" s="40"/>
      <c r="BO50" s="40"/>
      <c r="BP50" s="4"/>
      <c r="BQ50" s="4"/>
      <c r="BR50" s="4"/>
      <c r="BS50" s="4"/>
      <c r="BT50" s="40"/>
      <c r="BU50" s="40"/>
      <c r="BV50" s="40"/>
      <c r="BW50" s="4"/>
      <c r="BX50" s="4"/>
      <c r="BY50" s="4"/>
      <c r="BZ50" s="4"/>
      <c r="CA50" s="40"/>
      <c r="CB50" s="40"/>
      <c r="CC50" s="40"/>
      <c r="CD50" s="4"/>
      <c r="CE50" s="4"/>
      <c r="CF50" s="4"/>
      <c r="CG50" s="4"/>
      <c r="CH50" s="40"/>
      <c r="CI50" s="40"/>
      <c r="CJ50" s="40"/>
      <c r="CK50" s="4"/>
      <c r="CL50" s="4"/>
      <c r="CM50" s="4"/>
      <c r="CN50" s="4"/>
      <c r="CO50" s="40"/>
      <c r="CP50" s="40"/>
      <c r="CQ50" s="40"/>
    </row>
    <row r="51" ht="15.75" customHeight="1">
      <c r="A51" s="4"/>
      <c r="B51" s="4"/>
      <c r="C51" s="4"/>
      <c r="D51" s="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"/>
      <c r="AB51" s="4"/>
      <c r="AC51" s="4"/>
      <c r="AD51" s="40"/>
      <c r="AE51" s="40"/>
      <c r="AF51" s="40"/>
      <c r="AG51" s="4"/>
      <c r="AH51" s="4"/>
      <c r="AI51" s="4"/>
      <c r="AJ51" s="4"/>
      <c r="AK51" s="40"/>
      <c r="AL51" s="40"/>
      <c r="AM51" s="40"/>
      <c r="AN51" s="4"/>
      <c r="AO51" s="4"/>
      <c r="AP51" s="4"/>
      <c r="AQ51" s="4"/>
      <c r="AR51" s="40"/>
      <c r="AS51" s="40"/>
      <c r="AT51" s="40"/>
      <c r="AU51" s="4"/>
      <c r="AV51" s="4"/>
      <c r="AW51" s="4"/>
      <c r="AX51" s="4"/>
      <c r="AY51" s="40"/>
      <c r="AZ51" s="40"/>
      <c r="BA51" s="40"/>
      <c r="BB51" s="4"/>
      <c r="BC51" s="4"/>
      <c r="BD51" s="4"/>
      <c r="BE51" s="4"/>
      <c r="BF51" s="40"/>
      <c r="BG51" s="40"/>
      <c r="BH51" s="40"/>
      <c r="BI51" s="4"/>
      <c r="BJ51" s="4"/>
      <c r="BK51" s="4"/>
      <c r="BL51" s="4"/>
      <c r="BM51" s="40"/>
      <c r="BN51" s="40"/>
      <c r="BO51" s="40"/>
      <c r="BP51" s="4"/>
      <c r="BQ51" s="4"/>
      <c r="BR51" s="4"/>
      <c r="BS51" s="4"/>
      <c r="BT51" s="40"/>
      <c r="BU51" s="40"/>
      <c r="BV51" s="40"/>
      <c r="BW51" s="4"/>
      <c r="BX51" s="4"/>
      <c r="BY51" s="4"/>
      <c r="BZ51" s="4"/>
      <c r="CA51" s="40"/>
      <c r="CB51" s="40"/>
      <c r="CC51" s="40"/>
      <c r="CD51" s="4"/>
      <c r="CE51" s="4"/>
      <c r="CF51" s="4"/>
      <c r="CG51" s="4"/>
      <c r="CH51" s="40"/>
      <c r="CI51" s="40"/>
      <c r="CJ51" s="40"/>
      <c r="CK51" s="4"/>
      <c r="CL51" s="4"/>
      <c r="CM51" s="4"/>
      <c r="CN51" s="4"/>
      <c r="CO51" s="40"/>
      <c r="CP51" s="40"/>
      <c r="CQ51" s="40"/>
    </row>
    <row r="52" ht="15.75" customHeight="1">
      <c r="A52" s="4"/>
      <c r="B52" s="4"/>
      <c r="C52" s="4"/>
      <c r="D52" s="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"/>
      <c r="AB52" s="4"/>
      <c r="AC52" s="4"/>
      <c r="AD52" s="40"/>
      <c r="AE52" s="40"/>
      <c r="AF52" s="40"/>
      <c r="AG52" s="4"/>
      <c r="AH52" s="4"/>
      <c r="AI52" s="4"/>
      <c r="AJ52" s="4"/>
      <c r="AK52" s="40"/>
      <c r="AL52" s="40"/>
      <c r="AM52" s="40"/>
      <c r="AN52" s="4"/>
      <c r="AO52" s="4"/>
      <c r="AP52" s="4"/>
      <c r="AQ52" s="4"/>
      <c r="AR52" s="40"/>
      <c r="AS52" s="40"/>
      <c r="AT52" s="40"/>
      <c r="AU52" s="4"/>
      <c r="AV52" s="4"/>
      <c r="AW52" s="4"/>
      <c r="AX52" s="4"/>
      <c r="AY52" s="40"/>
      <c r="AZ52" s="40"/>
      <c r="BA52" s="40"/>
      <c r="BB52" s="4"/>
      <c r="BC52" s="4"/>
      <c r="BD52" s="4"/>
      <c r="BE52" s="4"/>
      <c r="BF52" s="40"/>
      <c r="BG52" s="40"/>
      <c r="BH52" s="40"/>
      <c r="BI52" s="4"/>
      <c r="BJ52" s="4"/>
      <c r="BK52" s="4"/>
      <c r="BL52" s="4"/>
      <c r="BM52" s="40"/>
      <c r="BN52" s="40"/>
      <c r="BO52" s="40"/>
      <c r="BP52" s="4"/>
      <c r="BQ52" s="4"/>
      <c r="BR52" s="4"/>
      <c r="BS52" s="4"/>
      <c r="BT52" s="40"/>
      <c r="BU52" s="40"/>
      <c r="BV52" s="40"/>
      <c r="BW52" s="4"/>
      <c r="BX52" s="4"/>
      <c r="BY52" s="4"/>
      <c r="BZ52" s="4"/>
      <c r="CA52" s="40"/>
      <c r="CB52" s="40"/>
      <c r="CC52" s="40"/>
      <c r="CD52" s="4"/>
      <c r="CE52" s="4"/>
      <c r="CF52" s="4"/>
      <c r="CG52" s="4"/>
      <c r="CH52" s="40"/>
      <c r="CI52" s="40"/>
      <c r="CJ52" s="40"/>
      <c r="CK52" s="4"/>
      <c r="CL52" s="4"/>
      <c r="CM52" s="4"/>
      <c r="CN52" s="4"/>
      <c r="CO52" s="40"/>
      <c r="CP52" s="40"/>
      <c r="CQ52" s="40"/>
    </row>
    <row r="53" ht="15.75" customHeight="1">
      <c r="A53" s="4"/>
      <c r="B53" s="4"/>
      <c r="C53" s="4"/>
      <c r="D53" s="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"/>
      <c r="AB53" s="4"/>
      <c r="AC53" s="4"/>
      <c r="AD53" s="40"/>
      <c r="AE53" s="40"/>
      <c r="AF53" s="40"/>
      <c r="AG53" s="4"/>
      <c r="AH53" s="4"/>
      <c r="AI53" s="4"/>
      <c r="AJ53" s="4"/>
      <c r="AK53" s="40"/>
      <c r="AL53" s="40"/>
      <c r="AM53" s="40"/>
      <c r="AN53" s="4"/>
      <c r="AO53" s="4"/>
      <c r="AP53" s="4"/>
      <c r="AQ53" s="4"/>
      <c r="AR53" s="40"/>
      <c r="AS53" s="40"/>
      <c r="AT53" s="40"/>
      <c r="AU53" s="4"/>
      <c r="AV53" s="4"/>
      <c r="AW53" s="4"/>
      <c r="AX53" s="4"/>
      <c r="AY53" s="40"/>
      <c r="AZ53" s="40"/>
      <c r="BA53" s="40"/>
      <c r="BB53" s="4"/>
      <c r="BC53" s="4"/>
      <c r="BD53" s="4"/>
      <c r="BE53" s="4"/>
      <c r="BF53" s="40"/>
      <c r="BG53" s="40"/>
      <c r="BH53" s="40"/>
      <c r="BI53" s="4"/>
      <c r="BJ53" s="4"/>
      <c r="BK53" s="4"/>
      <c r="BL53" s="4"/>
      <c r="BM53" s="40"/>
      <c r="BN53" s="40"/>
      <c r="BO53" s="40"/>
      <c r="BP53" s="4"/>
      <c r="BQ53" s="4"/>
      <c r="BR53" s="4"/>
      <c r="BS53" s="4"/>
      <c r="BT53" s="40"/>
      <c r="BU53" s="40"/>
      <c r="BV53" s="40"/>
      <c r="BW53" s="4"/>
      <c r="BX53" s="4"/>
      <c r="BY53" s="4"/>
      <c r="BZ53" s="4"/>
      <c r="CA53" s="40"/>
      <c r="CB53" s="40"/>
      <c r="CC53" s="40"/>
      <c r="CD53" s="4"/>
      <c r="CE53" s="4"/>
      <c r="CF53" s="4"/>
      <c r="CG53" s="4"/>
      <c r="CH53" s="40"/>
      <c r="CI53" s="40"/>
      <c r="CJ53" s="40"/>
      <c r="CK53" s="4"/>
      <c r="CL53" s="4"/>
      <c r="CM53" s="4"/>
      <c r="CN53" s="4"/>
      <c r="CO53" s="40"/>
      <c r="CP53" s="40"/>
      <c r="CQ53" s="40"/>
    </row>
    <row r="54" ht="15.75" customHeight="1">
      <c r="A54" s="4"/>
      <c r="B54" s="4"/>
      <c r="C54" s="4"/>
      <c r="D54" s="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"/>
      <c r="AB54" s="4"/>
      <c r="AC54" s="4"/>
      <c r="AD54" s="40"/>
      <c r="AE54" s="40"/>
      <c r="AF54" s="40"/>
      <c r="AG54" s="4"/>
      <c r="AH54" s="4"/>
      <c r="AI54" s="4"/>
      <c r="AJ54" s="4"/>
      <c r="AK54" s="40"/>
      <c r="AL54" s="40"/>
      <c r="AM54" s="40"/>
      <c r="AN54" s="4"/>
      <c r="AO54" s="4"/>
      <c r="AP54" s="4"/>
      <c r="AQ54" s="4"/>
      <c r="AR54" s="40"/>
      <c r="AS54" s="40"/>
      <c r="AT54" s="40"/>
      <c r="AU54" s="4"/>
      <c r="AV54" s="4"/>
      <c r="AW54" s="4"/>
      <c r="AX54" s="4"/>
      <c r="AY54" s="40"/>
      <c r="AZ54" s="40"/>
      <c r="BA54" s="40"/>
      <c r="BB54" s="4"/>
      <c r="BC54" s="4"/>
      <c r="BD54" s="4"/>
      <c r="BE54" s="4"/>
      <c r="BF54" s="40"/>
      <c r="BG54" s="40"/>
      <c r="BH54" s="40"/>
      <c r="BI54" s="4"/>
      <c r="BJ54" s="4"/>
      <c r="BK54" s="4"/>
      <c r="BL54" s="4"/>
      <c r="BM54" s="40"/>
      <c r="BN54" s="40"/>
      <c r="BO54" s="40"/>
      <c r="BP54" s="4"/>
      <c r="BQ54" s="4"/>
      <c r="BR54" s="4"/>
      <c r="BS54" s="4"/>
      <c r="BT54" s="40"/>
      <c r="BU54" s="40"/>
      <c r="BV54" s="40"/>
      <c r="BW54" s="4"/>
      <c r="BX54" s="4"/>
      <c r="BY54" s="4"/>
      <c r="BZ54" s="4"/>
      <c r="CA54" s="40"/>
      <c r="CB54" s="40"/>
      <c r="CC54" s="40"/>
      <c r="CD54" s="4"/>
      <c r="CE54" s="4"/>
      <c r="CF54" s="4"/>
      <c r="CG54" s="4"/>
      <c r="CH54" s="40"/>
      <c r="CI54" s="40"/>
      <c r="CJ54" s="40"/>
      <c r="CK54" s="4"/>
      <c r="CL54" s="4"/>
      <c r="CM54" s="4"/>
      <c r="CN54" s="4"/>
      <c r="CO54" s="40"/>
      <c r="CP54" s="40"/>
      <c r="CQ54" s="40"/>
    </row>
    <row r="55" ht="15.75" customHeight="1">
      <c r="A55" s="4"/>
      <c r="B55" s="4"/>
      <c r="C55" s="4"/>
      <c r="D55" s="4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"/>
      <c r="AB55" s="4"/>
      <c r="AC55" s="4"/>
      <c r="AD55" s="40"/>
      <c r="AE55" s="40"/>
      <c r="AF55" s="40"/>
      <c r="AG55" s="4"/>
      <c r="AH55" s="4"/>
      <c r="AI55" s="4"/>
      <c r="AJ55" s="4"/>
      <c r="AK55" s="40"/>
      <c r="AL55" s="40"/>
      <c r="AM55" s="40"/>
      <c r="AN55" s="4"/>
      <c r="AO55" s="4"/>
      <c r="AP55" s="4"/>
      <c r="AQ55" s="4"/>
      <c r="AR55" s="40"/>
      <c r="AS55" s="40"/>
      <c r="AT55" s="40"/>
      <c r="AU55" s="4"/>
      <c r="AV55" s="4"/>
      <c r="AW55" s="4"/>
      <c r="AX55" s="4"/>
      <c r="AY55" s="40"/>
      <c r="AZ55" s="40"/>
      <c r="BA55" s="40"/>
      <c r="BB55" s="4"/>
      <c r="BC55" s="4"/>
      <c r="BD55" s="4"/>
      <c r="BE55" s="4"/>
      <c r="BF55" s="40"/>
      <c r="BG55" s="40"/>
      <c r="BH55" s="40"/>
      <c r="BI55" s="4"/>
      <c r="BJ55" s="4"/>
      <c r="BK55" s="4"/>
      <c r="BL55" s="4"/>
      <c r="BM55" s="40"/>
      <c r="BN55" s="40"/>
      <c r="BO55" s="40"/>
      <c r="BP55" s="4"/>
      <c r="BQ55" s="4"/>
      <c r="BR55" s="4"/>
      <c r="BS55" s="4"/>
      <c r="BT55" s="40"/>
      <c r="BU55" s="40"/>
      <c r="BV55" s="40"/>
      <c r="BW55" s="4"/>
      <c r="BX55" s="4"/>
      <c r="BY55" s="4"/>
      <c r="BZ55" s="4"/>
      <c r="CA55" s="40"/>
      <c r="CB55" s="40"/>
      <c r="CC55" s="40"/>
      <c r="CD55" s="4"/>
      <c r="CE55" s="4"/>
      <c r="CF55" s="4"/>
      <c r="CG55" s="4"/>
      <c r="CH55" s="40"/>
      <c r="CI55" s="40"/>
      <c r="CJ55" s="40"/>
      <c r="CK55" s="4"/>
      <c r="CL55" s="4"/>
      <c r="CM55" s="4"/>
      <c r="CN55" s="4"/>
      <c r="CO55" s="40"/>
      <c r="CP55" s="40"/>
      <c r="CQ55" s="40"/>
    </row>
    <row r="56" ht="15.75" customHeight="1">
      <c r="A56" s="4"/>
      <c r="B56" s="4"/>
      <c r="C56" s="4"/>
      <c r="D56" s="4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"/>
      <c r="AB56" s="4"/>
      <c r="AC56" s="4"/>
      <c r="AD56" s="40"/>
      <c r="AE56" s="40"/>
      <c r="AF56" s="40"/>
      <c r="AG56" s="4"/>
      <c r="AH56" s="4"/>
      <c r="AI56" s="4"/>
      <c r="AJ56" s="4"/>
      <c r="AK56" s="40"/>
      <c r="AL56" s="40"/>
      <c r="AM56" s="40"/>
      <c r="AN56" s="4"/>
      <c r="AO56" s="4"/>
      <c r="AP56" s="4"/>
      <c r="AQ56" s="4"/>
      <c r="AR56" s="40"/>
      <c r="AS56" s="40"/>
      <c r="AT56" s="40"/>
      <c r="AU56" s="4"/>
      <c r="AV56" s="4"/>
      <c r="AW56" s="4"/>
      <c r="AX56" s="4"/>
      <c r="AY56" s="40"/>
      <c r="AZ56" s="40"/>
      <c r="BA56" s="40"/>
      <c r="BB56" s="4"/>
      <c r="BC56" s="4"/>
      <c r="BD56" s="4"/>
      <c r="BE56" s="4"/>
      <c r="BF56" s="40"/>
      <c r="BG56" s="40"/>
      <c r="BH56" s="40"/>
      <c r="BI56" s="4"/>
      <c r="BJ56" s="4"/>
      <c r="BK56" s="4"/>
      <c r="BL56" s="4"/>
      <c r="BM56" s="40"/>
      <c r="BN56" s="40"/>
      <c r="BO56" s="40"/>
      <c r="BP56" s="4"/>
      <c r="BQ56" s="4"/>
      <c r="BR56" s="4"/>
      <c r="BS56" s="4"/>
      <c r="BT56" s="40"/>
      <c r="BU56" s="40"/>
      <c r="BV56" s="40"/>
      <c r="BW56" s="4"/>
      <c r="BX56" s="4"/>
      <c r="BY56" s="4"/>
      <c r="BZ56" s="4"/>
      <c r="CA56" s="40"/>
      <c r="CB56" s="40"/>
      <c r="CC56" s="40"/>
      <c r="CD56" s="4"/>
      <c r="CE56" s="4"/>
      <c r="CF56" s="4"/>
      <c r="CG56" s="4"/>
      <c r="CH56" s="40"/>
      <c r="CI56" s="40"/>
      <c r="CJ56" s="40"/>
      <c r="CK56" s="4"/>
      <c r="CL56" s="4"/>
      <c r="CM56" s="4"/>
      <c r="CN56" s="4"/>
      <c r="CO56" s="40"/>
      <c r="CP56" s="40"/>
      <c r="CQ56" s="40"/>
    </row>
    <row r="57" ht="15.75" customHeight="1">
      <c r="A57" s="4"/>
      <c r="B57" s="4"/>
      <c r="C57" s="4"/>
      <c r="D57" s="4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"/>
      <c r="AB57" s="4"/>
      <c r="AC57" s="4"/>
      <c r="AD57" s="40"/>
      <c r="AE57" s="40"/>
      <c r="AF57" s="40"/>
      <c r="AG57" s="4"/>
      <c r="AH57" s="4"/>
      <c r="AI57" s="4"/>
      <c r="AJ57" s="4"/>
      <c r="AK57" s="40"/>
      <c r="AL57" s="40"/>
      <c r="AM57" s="40"/>
      <c r="AN57" s="4"/>
      <c r="AO57" s="4"/>
      <c r="AP57" s="4"/>
      <c r="AQ57" s="4"/>
      <c r="AR57" s="40"/>
      <c r="AS57" s="40"/>
      <c r="AT57" s="40"/>
      <c r="AU57" s="4"/>
      <c r="AV57" s="4"/>
      <c r="AW57" s="4"/>
      <c r="AX57" s="4"/>
      <c r="AY57" s="40"/>
      <c r="AZ57" s="40"/>
      <c r="BA57" s="40"/>
      <c r="BB57" s="4"/>
      <c r="BC57" s="4"/>
      <c r="BD57" s="4"/>
      <c r="BE57" s="4"/>
      <c r="BF57" s="40"/>
      <c r="BG57" s="40"/>
      <c r="BH57" s="40"/>
      <c r="BI57" s="4"/>
      <c r="BJ57" s="4"/>
      <c r="BK57" s="4"/>
      <c r="BL57" s="4"/>
      <c r="BM57" s="40"/>
      <c r="BN57" s="40"/>
      <c r="BO57" s="40"/>
      <c r="BP57" s="4"/>
      <c r="BQ57" s="4"/>
      <c r="BR57" s="4"/>
      <c r="BS57" s="4"/>
      <c r="BT57" s="40"/>
      <c r="BU57" s="40"/>
      <c r="BV57" s="40"/>
      <c r="BW57" s="4"/>
      <c r="BX57" s="4"/>
      <c r="BY57" s="4"/>
      <c r="BZ57" s="4"/>
      <c r="CA57" s="40"/>
      <c r="CB57" s="40"/>
      <c r="CC57" s="40"/>
      <c r="CD57" s="4"/>
      <c r="CE57" s="4"/>
      <c r="CF57" s="4"/>
      <c r="CG57" s="4"/>
      <c r="CH57" s="40"/>
      <c r="CI57" s="40"/>
      <c r="CJ57" s="40"/>
      <c r="CK57" s="4"/>
      <c r="CL57" s="4"/>
      <c r="CM57" s="4"/>
      <c r="CN57" s="4"/>
      <c r="CO57" s="40"/>
      <c r="CP57" s="40"/>
      <c r="CQ57" s="40"/>
    </row>
    <row r="58" ht="15.75" customHeight="1">
      <c r="A58" s="4"/>
      <c r="B58" s="4"/>
      <c r="C58" s="4"/>
      <c r="D58" s="4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"/>
      <c r="AB58" s="4"/>
      <c r="AC58" s="4"/>
      <c r="AD58" s="40"/>
      <c r="AE58" s="40"/>
      <c r="AF58" s="40"/>
      <c r="AG58" s="4"/>
      <c r="AH58" s="4"/>
      <c r="AI58" s="4"/>
      <c r="AJ58" s="4"/>
      <c r="AK58" s="40"/>
      <c r="AL58" s="40"/>
      <c r="AM58" s="40"/>
      <c r="AN58" s="4"/>
      <c r="AO58" s="4"/>
      <c r="AP58" s="4"/>
      <c r="AQ58" s="4"/>
      <c r="AR58" s="40"/>
      <c r="AS58" s="40"/>
      <c r="AT58" s="40"/>
      <c r="AU58" s="4"/>
      <c r="AV58" s="4"/>
      <c r="AW58" s="4"/>
      <c r="AX58" s="4"/>
      <c r="AY58" s="40"/>
      <c r="AZ58" s="40"/>
      <c r="BA58" s="40"/>
      <c r="BB58" s="4"/>
      <c r="BC58" s="4"/>
      <c r="BD58" s="4"/>
      <c r="BE58" s="4"/>
      <c r="BF58" s="40"/>
      <c r="BG58" s="40"/>
      <c r="BH58" s="40"/>
      <c r="BI58" s="4"/>
      <c r="BJ58" s="4"/>
      <c r="BK58" s="4"/>
      <c r="BL58" s="4"/>
      <c r="BM58" s="40"/>
      <c r="BN58" s="40"/>
      <c r="BO58" s="40"/>
      <c r="BP58" s="4"/>
      <c r="BQ58" s="4"/>
      <c r="BR58" s="4"/>
      <c r="BS58" s="4"/>
      <c r="BT58" s="40"/>
      <c r="BU58" s="40"/>
      <c r="BV58" s="40"/>
      <c r="BW58" s="4"/>
      <c r="BX58" s="4"/>
      <c r="BY58" s="4"/>
      <c r="BZ58" s="4"/>
      <c r="CA58" s="40"/>
      <c r="CB58" s="40"/>
      <c r="CC58" s="40"/>
      <c r="CD58" s="4"/>
      <c r="CE58" s="4"/>
      <c r="CF58" s="4"/>
      <c r="CG58" s="4"/>
      <c r="CH58" s="40"/>
      <c r="CI58" s="40"/>
      <c r="CJ58" s="40"/>
      <c r="CK58" s="4"/>
      <c r="CL58" s="4"/>
      <c r="CM58" s="4"/>
      <c r="CN58" s="4"/>
      <c r="CO58" s="40"/>
      <c r="CP58" s="40"/>
      <c r="CQ58" s="40"/>
    </row>
    <row r="59" ht="15.75" customHeight="1">
      <c r="A59" s="4"/>
      <c r="B59" s="4"/>
      <c r="C59" s="4"/>
      <c r="D59" s="4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"/>
      <c r="AB59" s="4"/>
      <c r="AC59" s="4"/>
      <c r="AD59" s="40"/>
      <c r="AE59" s="40"/>
      <c r="AF59" s="40"/>
      <c r="AG59" s="4"/>
      <c r="AH59" s="4"/>
      <c r="AI59" s="4"/>
      <c r="AJ59" s="4"/>
      <c r="AK59" s="40"/>
      <c r="AL59" s="40"/>
      <c r="AM59" s="40"/>
      <c r="AN59" s="4"/>
      <c r="AO59" s="4"/>
      <c r="AP59" s="4"/>
      <c r="AQ59" s="4"/>
      <c r="AR59" s="40"/>
      <c r="AS59" s="40"/>
      <c r="AT59" s="40"/>
      <c r="AU59" s="4"/>
      <c r="AV59" s="4"/>
      <c r="AW59" s="4"/>
      <c r="AX59" s="4"/>
      <c r="AY59" s="40"/>
      <c r="AZ59" s="40"/>
      <c r="BA59" s="40"/>
      <c r="BB59" s="4"/>
      <c r="BC59" s="4"/>
      <c r="BD59" s="4"/>
      <c r="BE59" s="4"/>
      <c r="BF59" s="40"/>
      <c r="BG59" s="40"/>
      <c r="BH59" s="40"/>
      <c r="BI59" s="4"/>
      <c r="BJ59" s="4"/>
      <c r="BK59" s="4"/>
      <c r="BL59" s="4"/>
      <c r="BM59" s="40"/>
      <c r="BN59" s="40"/>
      <c r="BO59" s="40"/>
      <c r="BP59" s="4"/>
      <c r="BQ59" s="4"/>
      <c r="BR59" s="4"/>
      <c r="BS59" s="4"/>
      <c r="BT59" s="40"/>
      <c r="BU59" s="40"/>
      <c r="BV59" s="40"/>
      <c r="BW59" s="4"/>
      <c r="BX59" s="4"/>
      <c r="BY59" s="4"/>
      <c r="BZ59" s="4"/>
      <c r="CA59" s="40"/>
      <c r="CB59" s="40"/>
      <c r="CC59" s="40"/>
      <c r="CD59" s="4"/>
      <c r="CE59" s="4"/>
      <c r="CF59" s="4"/>
      <c r="CG59" s="4"/>
      <c r="CH59" s="40"/>
      <c r="CI59" s="40"/>
      <c r="CJ59" s="40"/>
      <c r="CK59" s="4"/>
      <c r="CL59" s="4"/>
      <c r="CM59" s="4"/>
      <c r="CN59" s="4"/>
      <c r="CO59" s="40"/>
      <c r="CP59" s="40"/>
      <c r="CQ59" s="40"/>
    </row>
    <row r="60" ht="15.75" customHeight="1">
      <c r="A60" s="4"/>
      <c r="B60" s="4"/>
      <c r="C60" s="4"/>
      <c r="D60" s="4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"/>
      <c r="AB60" s="4"/>
      <c r="AC60" s="4"/>
      <c r="AD60" s="40"/>
      <c r="AE60" s="40"/>
      <c r="AF60" s="40"/>
      <c r="AG60" s="4"/>
      <c r="AH60" s="4"/>
      <c r="AI60" s="4"/>
      <c r="AJ60" s="4"/>
      <c r="AK60" s="40"/>
      <c r="AL60" s="40"/>
      <c r="AM60" s="40"/>
      <c r="AN60" s="4"/>
      <c r="AO60" s="4"/>
      <c r="AP60" s="4"/>
      <c r="AQ60" s="4"/>
      <c r="AR60" s="40"/>
      <c r="AS60" s="40"/>
      <c r="AT60" s="40"/>
      <c r="AU60" s="4"/>
      <c r="AV60" s="4"/>
      <c r="AW60" s="4"/>
      <c r="AX60" s="4"/>
      <c r="AY60" s="40"/>
      <c r="AZ60" s="40"/>
      <c r="BA60" s="40"/>
      <c r="BB60" s="4"/>
      <c r="BC60" s="4"/>
      <c r="BD60" s="4"/>
      <c r="BE60" s="4"/>
      <c r="BF60" s="40"/>
      <c r="BG60" s="40"/>
      <c r="BH60" s="40"/>
      <c r="BI60" s="4"/>
      <c r="BJ60" s="4"/>
      <c r="BK60" s="4"/>
      <c r="BL60" s="4"/>
      <c r="BM60" s="40"/>
      <c r="BN60" s="40"/>
      <c r="BO60" s="40"/>
      <c r="BP60" s="4"/>
      <c r="BQ60" s="4"/>
      <c r="BR60" s="4"/>
      <c r="BS60" s="4"/>
      <c r="BT60" s="40"/>
      <c r="BU60" s="40"/>
      <c r="BV60" s="40"/>
      <c r="BW60" s="4"/>
      <c r="BX60" s="4"/>
      <c r="BY60" s="4"/>
      <c r="BZ60" s="4"/>
      <c r="CA60" s="40"/>
      <c r="CB60" s="40"/>
      <c r="CC60" s="40"/>
      <c r="CD60" s="4"/>
      <c r="CE60" s="4"/>
      <c r="CF60" s="4"/>
      <c r="CG60" s="4"/>
      <c r="CH60" s="40"/>
      <c r="CI60" s="40"/>
      <c r="CJ60" s="40"/>
      <c r="CK60" s="4"/>
      <c r="CL60" s="4"/>
      <c r="CM60" s="4"/>
      <c r="CN60" s="4"/>
      <c r="CO60" s="40"/>
      <c r="CP60" s="40"/>
      <c r="CQ60" s="40"/>
    </row>
    <row r="61" ht="15.75" customHeight="1">
      <c r="A61" s="4"/>
      <c r="B61" s="4"/>
      <c r="C61" s="4"/>
      <c r="D61" s="4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"/>
      <c r="AB61" s="4"/>
      <c r="AC61" s="4"/>
      <c r="AD61" s="40"/>
      <c r="AE61" s="40"/>
      <c r="AF61" s="40"/>
      <c r="AG61" s="4"/>
      <c r="AH61" s="4"/>
      <c r="AI61" s="4"/>
      <c r="AJ61" s="4"/>
      <c r="AK61" s="40"/>
      <c r="AL61" s="40"/>
      <c r="AM61" s="40"/>
      <c r="AN61" s="4"/>
      <c r="AO61" s="4"/>
      <c r="AP61" s="4"/>
      <c r="AQ61" s="4"/>
      <c r="AR61" s="40"/>
      <c r="AS61" s="40"/>
      <c r="AT61" s="40"/>
      <c r="AU61" s="4"/>
      <c r="AV61" s="4"/>
      <c r="AW61" s="4"/>
      <c r="AX61" s="4"/>
      <c r="AY61" s="40"/>
      <c r="AZ61" s="40"/>
      <c r="BA61" s="40"/>
      <c r="BB61" s="4"/>
      <c r="BC61" s="4"/>
      <c r="BD61" s="4"/>
      <c r="BE61" s="4"/>
      <c r="BF61" s="40"/>
      <c r="BG61" s="40"/>
      <c r="BH61" s="40"/>
      <c r="BI61" s="4"/>
      <c r="BJ61" s="4"/>
      <c r="BK61" s="4"/>
      <c r="BL61" s="4"/>
      <c r="BM61" s="40"/>
      <c r="BN61" s="40"/>
      <c r="BO61" s="40"/>
      <c r="BP61" s="4"/>
      <c r="BQ61" s="4"/>
      <c r="BR61" s="4"/>
      <c r="BS61" s="4"/>
      <c r="BT61" s="40"/>
      <c r="BU61" s="40"/>
      <c r="BV61" s="40"/>
      <c r="BW61" s="4"/>
      <c r="BX61" s="4"/>
      <c r="BY61" s="4"/>
      <c r="BZ61" s="4"/>
      <c r="CA61" s="40"/>
      <c r="CB61" s="40"/>
      <c r="CC61" s="40"/>
      <c r="CD61" s="4"/>
      <c r="CE61" s="4"/>
      <c r="CF61" s="4"/>
      <c r="CG61" s="4"/>
      <c r="CH61" s="40"/>
      <c r="CI61" s="40"/>
      <c r="CJ61" s="40"/>
      <c r="CK61" s="4"/>
      <c r="CL61" s="4"/>
      <c r="CM61" s="4"/>
      <c r="CN61" s="4"/>
      <c r="CO61" s="40"/>
      <c r="CP61" s="40"/>
      <c r="CQ61" s="40"/>
    </row>
    <row r="62" ht="15.75" customHeight="1">
      <c r="A62" s="4"/>
      <c r="B62" s="4"/>
      <c r="C62" s="4"/>
      <c r="D62" s="4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"/>
      <c r="AB62" s="4"/>
      <c r="AC62" s="4"/>
      <c r="AD62" s="40"/>
      <c r="AE62" s="40"/>
      <c r="AF62" s="40"/>
      <c r="AG62" s="4"/>
      <c r="AH62" s="4"/>
      <c r="AI62" s="4"/>
      <c r="AJ62" s="4"/>
      <c r="AK62" s="40"/>
      <c r="AL62" s="40"/>
      <c r="AM62" s="40"/>
      <c r="AN62" s="4"/>
      <c r="AO62" s="4"/>
      <c r="AP62" s="4"/>
      <c r="AQ62" s="4"/>
      <c r="AR62" s="40"/>
      <c r="AS62" s="40"/>
      <c r="AT62" s="40"/>
      <c r="AU62" s="4"/>
      <c r="AV62" s="4"/>
      <c r="AW62" s="4"/>
      <c r="AX62" s="4"/>
      <c r="AY62" s="40"/>
      <c r="AZ62" s="40"/>
      <c r="BA62" s="40"/>
      <c r="BB62" s="4"/>
      <c r="BC62" s="4"/>
      <c r="BD62" s="4"/>
      <c r="BE62" s="4"/>
      <c r="BF62" s="40"/>
      <c r="BG62" s="40"/>
      <c r="BH62" s="40"/>
      <c r="BI62" s="4"/>
      <c r="BJ62" s="4"/>
      <c r="BK62" s="4"/>
      <c r="BL62" s="4"/>
      <c r="BM62" s="40"/>
      <c r="BN62" s="40"/>
      <c r="BO62" s="40"/>
      <c r="BP62" s="4"/>
      <c r="BQ62" s="4"/>
      <c r="BR62" s="4"/>
      <c r="BS62" s="4"/>
      <c r="BT62" s="40"/>
      <c r="BU62" s="40"/>
      <c r="BV62" s="40"/>
      <c r="BW62" s="4"/>
      <c r="BX62" s="4"/>
      <c r="BY62" s="4"/>
      <c r="BZ62" s="4"/>
      <c r="CA62" s="40"/>
      <c r="CB62" s="40"/>
      <c r="CC62" s="40"/>
      <c r="CD62" s="4"/>
      <c r="CE62" s="4"/>
      <c r="CF62" s="4"/>
      <c r="CG62" s="4"/>
      <c r="CH62" s="40"/>
      <c r="CI62" s="40"/>
      <c r="CJ62" s="40"/>
      <c r="CK62" s="4"/>
      <c r="CL62" s="4"/>
      <c r="CM62" s="4"/>
      <c r="CN62" s="4"/>
      <c r="CO62" s="40"/>
      <c r="CP62" s="40"/>
      <c r="CQ62" s="40"/>
    </row>
    <row r="63" ht="15.75" customHeight="1">
      <c r="A63" s="4"/>
      <c r="B63" s="4"/>
      <c r="C63" s="4"/>
      <c r="D63" s="4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"/>
      <c r="AB63" s="4"/>
      <c r="AC63" s="4"/>
      <c r="AD63" s="40"/>
      <c r="AE63" s="40"/>
      <c r="AF63" s="40"/>
      <c r="AG63" s="4"/>
      <c r="AH63" s="4"/>
      <c r="AI63" s="4"/>
      <c r="AJ63" s="4"/>
      <c r="AK63" s="40"/>
      <c r="AL63" s="40"/>
      <c r="AM63" s="40"/>
      <c r="AN63" s="4"/>
      <c r="AO63" s="4"/>
      <c r="AP63" s="4"/>
      <c r="AQ63" s="4"/>
      <c r="AR63" s="40"/>
      <c r="AS63" s="40"/>
      <c r="AT63" s="40"/>
      <c r="AU63" s="4"/>
      <c r="AV63" s="4"/>
      <c r="AW63" s="4"/>
      <c r="AX63" s="4"/>
      <c r="AY63" s="40"/>
      <c r="AZ63" s="40"/>
      <c r="BA63" s="40"/>
      <c r="BB63" s="4"/>
      <c r="BC63" s="4"/>
      <c r="BD63" s="4"/>
      <c r="BE63" s="4"/>
      <c r="BF63" s="40"/>
      <c r="BG63" s="40"/>
      <c r="BH63" s="40"/>
      <c r="BI63" s="4"/>
      <c r="BJ63" s="4"/>
      <c r="BK63" s="4"/>
      <c r="BL63" s="4"/>
      <c r="BM63" s="40"/>
      <c r="BN63" s="40"/>
      <c r="BO63" s="40"/>
      <c r="BP63" s="4"/>
      <c r="BQ63" s="4"/>
      <c r="BR63" s="4"/>
      <c r="BS63" s="4"/>
      <c r="BT63" s="40"/>
      <c r="BU63" s="40"/>
      <c r="BV63" s="40"/>
      <c r="BW63" s="4"/>
      <c r="BX63" s="4"/>
      <c r="BY63" s="4"/>
      <c r="BZ63" s="4"/>
      <c r="CA63" s="40"/>
      <c r="CB63" s="40"/>
      <c r="CC63" s="40"/>
      <c r="CD63" s="4"/>
      <c r="CE63" s="4"/>
      <c r="CF63" s="4"/>
      <c r="CG63" s="4"/>
      <c r="CH63" s="40"/>
      <c r="CI63" s="40"/>
      <c r="CJ63" s="40"/>
      <c r="CK63" s="4"/>
      <c r="CL63" s="4"/>
      <c r="CM63" s="4"/>
      <c r="CN63" s="4"/>
      <c r="CO63" s="40"/>
      <c r="CP63" s="40"/>
      <c r="CQ63" s="40"/>
    </row>
    <row r="64" ht="15.75" customHeight="1">
      <c r="A64" s="4"/>
      <c r="B64" s="4"/>
      <c r="C64" s="4"/>
      <c r="D64" s="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"/>
      <c r="AB64" s="4"/>
      <c r="AC64" s="4"/>
      <c r="AD64" s="40"/>
      <c r="AE64" s="40"/>
      <c r="AF64" s="40"/>
      <c r="AG64" s="4"/>
      <c r="AH64" s="4"/>
      <c r="AI64" s="4"/>
      <c r="AJ64" s="4"/>
      <c r="AK64" s="40"/>
      <c r="AL64" s="40"/>
      <c r="AM64" s="40"/>
      <c r="AN64" s="4"/>
      <c r="AO64" s="4"/>
      <c r="AP64" s="4"/>
      <c r="AQ64" s="4"/>
      <c r="AR64" s="40"/>
      <c r="AS64" s="40"/>
      <c r="AT64" s="40"/>
      <c r="AU64" s="4"/>
      <c r="AV64" s="4"/>
      <c r="AW64" s="4"/>
      <c r="AX64" s="4"/>
      <c r="AY64" s="40"/>
      <c r="AZ64" s="40"/>
      <c r="BA64" s="40"/>
      <c r="BB64" s="4"/>
      <c r="BC64" s="4"/>
      <c r="BD64" s="4"/>
      <c r="BE64" s="4"/>
      <c r="BF64" s="40"/>
      <c r="BG64" s="40"/>
      <c r="BH64" s="40"/>
      <c r="BI64" s="4"/>
      <c r="BJ64" s="4"/>
      <c r="BK64" s="4"/>
      <c r="BL64" s="4"/>
      <c r="BM64" s="40"/>
      <c r="BN64" s="40"/>
      <c r="BO64" s="40"/>
      <c r="BP64" s="4"/>
      <c r="BQ64" s="4"/>
      <c r="BR64" s="4"/>
      <c r="BS64" s="4"/>
      <c r="BT64" s="40"/>
      <c r="BU64" s="40"/>
      <c r="BV64" s="40"/>
      <c r="BW64" s="4"/>
      <c r="BX64" s="4"/>
      <c r="BY64" s="4"/>
      <c r="BZ64" s="4"/>
      <c r="CA64" s="40"/>
      <c r="CB64" s="40"/>
      <c r="CC64" s="40"/>
      <c r="CD64" s="4"/>
      <c r="CE64" s="4"/>
      <c r="CF64" s="4"/>
      <c r="CG64" s="4"/>
      <c r="CH64" s="40"/>
      <c r="CI64" s="40"/>
      <c r="CJ64" s="40"/>
      <c r="CK64" s="4"/>
      <c r="CL64" s="4"/>
      <c r="CM64" s="4"/>
      <c r="CN64" s="4"/>
      <c r="CO64" s="40"/>
      <c r="CP64" s="40"/>
      <c r="CQ64" s="40"/>
    </row>
    <row r="65" ht="15.75" customHeight="1">
      <c r="A65" s="4"/>
      <c r="B65" s="4"/>
      <c r="C65" s="4"/>
      <c r="D65" s="4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"/>
      <c r="AB65" s="4"/>
      <c r="AC65" s="4"/>
      <c r="AD65" s="40"/>
      <c r="AE65" s="40"/>
      <c r="AF65" s="40"/>
      <c r="AG65" s="4"/>
      <c r="AH65" s="4"/>
      <c r="AI65" s="4"/>
      <c r="AJ65" s="4"/>
      <c r="AK65" s="40"/>
      <c r="AL65" s="40"/>
      <c r="AM65" s="40"/>
      <c r="AN65" s="4"/>
      <c r="AO65" s="4"/>
      <c r="AP65" s="4"/>
      <c r="AQ65" s="4"/>
      <c r="AR65" s="40"/>
      <c r="AS65" s="40"/>
      <c r="AT65" s="40"/>
      <c r="AU65" s="4"/>
      <c r="AV65" s="4"/>
      <c r="AW65" s="4"/>
      <c r="AX65" s="4"/>
      <c r="AY65" s="40"/>
      <c r="AZ65" s="40"/>
      <c r="BA65" s="40"/>
      <c r="BB65" s="4"/>
      <c r="BC65" s="4"/>
      <c r="BD65" s="4"/>
      <c r="BE65" s="4"/>
      <c r="BF65" s="40"/>
      <c r="BG65" s="40"/>
      <c r="BH65" s="40"/>
      <c r="BI65" s="4"/>
      <c r="BJ65" s="4"/>
      <c r="BK65" s="4"/>
      <c r="BL65" s="4"/>
      <c r="BM65" s="40"/>
      <c r="BN65" s="40"/>
      <c r="BO65" s="40"/>
      <c r="BP65" s="4"/>
      <c r="BQ65" s="4"/>
      <c r="BR65" s="4"/>
      <c r="BS65" s="4"/>
      <c r="BT65" s="40"/>
      <c r="BU65" s="40"/>
      <c r="BV65" s="40"/>
      <c r="BW65" s="4"/>
      <c r="BX65" s="4"/>
      <c r="BY65" s="4"/>
      <c r="BZ65" s="4"/>
      <c r="CA65" s="40"/>
      <c r="CB65" s="40"/>
      <c r="CC65" s="40"/>
      <c r="CD65" s="4"/>
      <c r="CE65" s="4"/>
      <c r="CF65" s="4"/>
      <c r="CG65" s="4"/>
      <c r="CH65" s="40"/>
      <c r="CI65" s="40"/>
      <c r="CJ65" s="40"/>
      <c r="CK65" s="4"/>
      <c r="CL65" s="4"/>
      <c r="CM65" s="4"/>
      <c r="CN65" s="4"/>
      <c r="CO65" s="40"/>
      <c r="CP65" s="40"/>
      <c r="CQ65" s="40"/>
    </row>
    <row r="66" ht="15.75" customHeight="1">
      <c r="A66" s="4"/>
      <c r="B66" s="4"/>
      <c r="C66" s="4"/>
      <c r="D66" s="4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"/>
      <c r="AB66" s="4"/>
      <c r="AC66" s="4"/>
      <c r="AD66" s="40"/>
      <c r="AE66" s="40"/>
      <c r="AF66" s="40"/>
      <c r="AG66" s="4"/>
      <c r="AH66" s="4"/>
      <c r="AI66" s="4"/>
      <c r="AJ66" s="4"/>
      <c r="AK66" s="40"/>
      <c r="AL66" s="40"/>
      <c r="AM66" s="40"/>
      <c r="AN66" s="4"/>
      <c r="AO66" s="4"/>
      <c r="AP66" s="4"/>
      <c r="AQ66" s="4"/>
      <c r="AR66" s="40"/>
      <c r="AS66" s="40"/>
      <c r="AT66" s="40"/>
      <c r="AU66" s="4"/>
      <c r="AV66" s="4"/>
      <c r="AW66" s="4"/>
      <c r="AX66" s="4"/>
      <c r="AY66" s="40"/>
      <c r="AZ66" s="40"/>
      <c r="BA66" s="40"/>
      <c r="BB66" s="4"/>
      <c r="BC66" s="4"/>
      <c r="BD66" s="4"/>
      <c r="BE66" s="4"/>
      <c r="BF66" s="40"/>
      <c r="BG66" s="40"/>
      <c r="BH66" s="40"/>
      <c r="BI66" s="4"/>
      <c r="BJ66" s="4"/>
      <c r="BK66" s="4"/>
      <c r="BL66" s="4"/>
      <c r="BM66" s="40"/>
      <c r="BN66" s="40"/>
      <c r="BO66" s="40"/>
      <c r="BP66" s="4"/>
      <c r="BQ66" s="4"/>
      <c r="BR66" s="4"/>
      <c r="BS66" s="4"/>
      <c r="BT66" s="40"/>
      <c r="BU66" s="40"/>
      <c r="BV66" s="40"/>
      <c r="BW66" s="4"/>
      <c r="BX66" s="4"/>
      <c r="BY66" s="4"/>
      <c r="BZ66" s="4"/>
      <c r="CA66" s="40"/>
      <c r="CB66" s="40"/>
      <c r="CC66" s="40"/>
      <c r="CD66" s="4"/>
      <c r="CE66" s="4"/>
      <c r="CF66" s="4"/>
      <c r="CG66" s="4"/>
      <c r="CH66" s="40"/>
      <c r="CI66" s="40"/>
      <c r="CJ66" s="40"/>
      <c r="CK66" s="4"/>
      <c r="CL66" s="4"/>
      <c r="CM66" s="4"/>
      <c r="CN66" s="4"/>
      <c r="CO66" s="40"/>
      <c r="CP66" s="40"/>
      <c r="CQ66" s="40"/>
    </row>
    <row r="67" ht="15.75" customHeight="1">
      <c r="A67" s="4"/>
      <c r="B67" s="4"/>
      <c r="C67" s="4"/>
      <c r="D67" s="4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"/>
      <c r="AB67" s="4"/>
      <c r="AC67" s="4"/>
      <c r="AD67" s="40"/>
      <c r="AE67" s="40"/>
      <c r="AF67" s="40"/>
      <c r="AG67" s="4"/>
      <c r="AH67" s="4"/>
      <c r="AI67" s="4"/>
      <c r="AJ67" s="4"/>
      <c r="AK67" s="40"/>
      <c r="AL67" s="40"/>
      <c r="AM67" s="40"/>
      <c r="AN67" s="4"/>
      <c r="AO67" s="4"/>
      <c r="AP67" s="4"/>
      <c r="AQ67" s="4"/>
      <c r="AR67" s="40"/>
      <c r="AS67" s="40"/>
      <c r="AT67" s="40"/>
      <c r="AU67" s="4"/>
      <c r="AV67" s="4"/>
      <c r="AW67" s="4"/>
      <c r="AX67" s="4"/>
      <c r="AY67" s="40"/>
      <c r="AZ67" s="40"/>
      <c r="BA67" s="40"/>
      <c r="BB67" s="4"/>
      <c r="BC67" s="4"/>
      <c r="BD67" s="4"/>
      <c r="BE67" s="4"/>
      <c r="BF67" s="40"/>
      <c r="BG67" s="40"/>
      <c r="BH67" s="40"/>
      <c r="BI67" s="4"/>
      <c r="BJ67" s="4"/>
      <c r="BK67" s="4"/>
      <c r="BL67" s="4"/>
      <c r="BM67" s="40"/>
      <c r="BN67" s="40"/>
      <c r="BO67" s="40"/>
      <c r="BP67" s="4"/>
      <c r="BQ67" s="4"/>
      <c r="BR67" s="4"/>
      <c r="BS67" s="4"/>
      <c r="BT67" s="40"/>
      <c r="BU67" s="40"/>
      <c r="BV67" s="40"/>
      <c r="BW67" s="4"/>
      <c r="BX67" s="4"/>
      <c r="BY67" s="4"/>
      <c r="BZ67" s="4"/>
      <c r="CA67" s="40"/>
      <c r="CB67" s="40"/>
      <c r="CC67" s="40"/>
      <c r="CD67" s="4"/>
      <c r="CE67" s="4"/>
      <c r="CF67" s="4"/>
      <c r="CG67" s="4"/>
      <c r="CH67" s="40"/>
      <c r="CI67" s="40"/>
      <c r="CJ67" s="40"/>
      <c r="CK67" s="4"/>
      <c r="CL67" s="4"/>
      <c r="CM67" s="4"/>
      <c r="CN67" s="4"/>
      <c r="CO67" s="40"/>
      <c r="CP67" s="40"/>
      <c r="CQ67" s="40"/>
    </row>
    <row r="68" ht="15.75" customHeight="1">
      <c r="A68" s="4"/>
      <c r="B68" s="4"/>
      <c r="C68" s="4"/>
      <c r="D68" s="4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"/>
      <c r="AB68" s="4"/>
      <c r="AC68" s="4"/>
      <c r="AD68" s="40"/>
      <c r="AE68" s="40"/>
      <c r="AF68" s="40"/>
      <c r="AG68" s="4"/>
      <c r="AH68" s="4"/>
      <c r="AI68" s="4"/>
      <c r="AJ68" s="4"/>
      <c r="AK68" s="40"/>
      <c r="AL68" s="40"/>
      <c r="AM68" s="40"/>
      <c r="AN68" s="4"/>
      <c r="AO68" s="4"/>
      <c r="AP68" s="4"/>
      <c r="AQ68" s="4"/>
      <c r="AR68" s="40"/>
      <c r="AS68" s="40"/>
      <c r="AT68" s="40"/>
      <c r="AU68" s="4"/>
      <c r="AV68" s="4"/>
      <c r="AW68" s="4"/>
      <c r="AX68" s="4"/>
      <c r="AY68" s="40"/>
      <c r="AZ68" s="40"/>
      <c r="BA68" s="40"/>
      <c r="BB68" s="4"/>
      <c r="BC68" s="4"/>
      <c r="BD68" s="4"/>
      <c r="BE68" s="4"/>
      <c r="BF68" s="40"/>
      <c r="BG68" s="40"/>
      <c r="BH68" s="40"/>
      <c r="BI68" s="4"/>
      <c r="BJ68" s="4"/>
      <c r="BK68" s="4"/>
      <c r="BL68" s="4"/>
      <c r="BM68" s="40"/>
      <c r="BN68" s="40"/>
      <c r="BO68" s="40"/>
      <c r="BP68" s="4"/>
      <c r="BQ68" s="4"/>
      <c r="BR68" s="4"/>
      <c r="BS68" s="4"/>
      <c r="BT68" s="40"/>
      <c r="BU68" s="40"/>
      <c r="BV68" s="40"/>
      <c r="BW68" s="4"/>
      <c r="BX68" s="4"/>
      <c r="BY68" s="4"/>
      <c r="BZ68" s="4"/>
      <c r="CA68" s="40"/>
      <c r="CB68" s="40"/>
      <c r="CC68" s="40"/>
      <c r="CD68" s="4"/>
      <c r="CE68" s="4"/>
      <c r="CF68" s="4"/>
      <c r="CG68" s="4"/>
      <c r="CH68" s="40"/>
      <c r="CI68" s="40"/>
      <c r="CJ68" s="40"/>
      <c r="CK68" s="4"/>
      <c r="CL68" s="4"/>
      <c r="CM68" s="4"/>
      <c r="CN68" s="4"/>
      <c r="CO68" s="40"/>
      <c r="CP68" s="40"/>
      <c r="CQ68" s="40"/>
    </row>
    <row r="69" ht="15.75" customHeight="1">
      <c r="A69" s="4"/>
      <c r="B69" s="4"/>
      <c r="C69" s="4"/>
      <c r="D69" s="4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"/>
      <c r="AB69" s="4"/>
      <c r="AC69" s="4"/>
      <c r="AD69" s="40"/>
      <c r="AE69" s="40"/>
      <c r="AF69" s="40"/>
      <c r="AG69" s="4"/>
      <c r="AH69" s="4"/>
      <c r="AI69" s="4"/>
      <c r="AJ69" s="4"/>
      <c r="AK69" s="40"/>
      <c r="AL69" s="40"/>
      <c r="AM69" s="40"/>
      <c r="AN69" s="4"/>
      <c r="AO69" s="4"/>
      <c r="AP69" s="4"/>
      <c r="AQ69" s="4"/>
      <c r="AR69" s="40"/>
      <c r="AS69" s="40"/>
      <c r="AT69" s="40"/>
      <c r="AU69" s="4"/>
      <c r="AV69" s="4"/>
      <c r="AW69" s="4"/>
      <c r="AX69" s="4"/>
      <c r="AY69" s="40"/>
      <c r="AZ69" s="40"/>
      <c r="BA69" s="40"/>
      <c r="BB69" s="4"/>
      <c r="BC69" s="4"/>
      <c r="BD69" s="4"/>
      <c r="BE69" s="4"/>
      <c r="BF69" s="40"/>
      <c r="BG69" s="40"/>
      <c r="BH69" s="40"/>
      <c r="BI69" s="4"/>
      <c r="BJ69" s="4"/>
      <c r="BK69" s="4"/>
      <c r="BL69" s="4"/>
      <c r="BM69" s="40"/>
      <c r="BN69" s="40"/>
      <c r="BO69" s="40"/>
      <c r="BP69" s="4"/>
      <c r="BQ69" s="4"/>
      <c r="BR69" s="4"/>
      <c r="BS69" s="4"/>
      <c r="BT69" s="40"/>
      <c r="BU69" s="40"/>
      <c r="BV69" s="40"/>
      <c r="BW69" s="4"/>
      <c r="BX69" s="4"/>
      <c r="BY69" s="4"/>
      <c r="BZ69" s="4"/>
      <c r="CA69" s="40"/>
      <c r="CB69" s="40"/>
      <c r="CC69" s="40"/>
      <c r="CD69" s="4"/>
      <c r="CE69" s="4"/>
      <c r="CF69" s="4"/>
      <c r="CG69" s="4"/>
      <c r="CH69" s="40"/>
      <c r="CI69" s="40"/>
      <c r="CJ69" s="40"/>
      <c r="CK69" s="4"/>
      <c r="CL69" s="4"/>
      <c r="CM69" s="4"/>
      <c r="CN69" s="4"/>
      <c r="CO69" s="40"/>
      <c r="CP69" s="40"/>
      <c r="CQ69" s="40"/>
    </row>
    <row r="70" ht="15.75" customHeight="1">
      <c r="A70" s="4"/>
      <c r="B70" s="4"/>
      <c r="C70" s="4"/>
      <c r="D70" s="4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"/>
      <c r="AB70" s="4"/>
      <c r="AC70" s="4"/>
      <c r="AD70" s="40"/>
      <c r="AE70" s="40"/>
      <c r="AF70" s="40"/>
      <c r="AG70" s="4"/>
      <c r="AH70" s="4"/>
      <c r="AI70" s="4"/>
      <c r="AJ70" s="4"/>
      <c r="AK70" s="40"/>
      <c r="AL70" s="40"/>
      <c r="AM70" s="40"/>
      <c r="AN70" s="4"/>
      <c r="AO70" s="4"/>
      <c r="AP70" s="4"/>
      <c r="AQ70" s="4"/>
      <c r="AR70" s="40"/>
      <c r="AS70" s="40"/>
      <c r="AT70" s="40"/>
      <c r="AU70" s="4"/>
      <c r="AV70" s="4"/>
      <c r="AW70" s="4"/>
      <c r="AX70" s="4"/>
      <c r="AY70" s="40"/>
      <c r="AZ70" s="40"/>
      <c r="BA70" s="40"/>
      <c r="BB70" s="4"/>
      <c r="BC70" s="4"/>
      <c r="BD70" s="4"/>
      <c r="BE70" s="4"/>
      <c r="BF70" s="40"/>
      <c r="BG70" s="40"/>
      <c r="BH70" s="40"/>
      <c r="BI70" s="4"/>
      <c r="BJ70" s="4"/>
      <c r="BK70" s="4"/>
      <c r="BL70" s="4"/>
      <c r="BM70" s="40"/>
      <c r="BN70" s="40"/>
      <c r="BO70" s="40"/>
      <c r="BP70" s="4"/>
      <c r="BQ70" s="4"/>
      <c r="BR70" s="4"/>
      <c r="BS70" s="4"/>
      <c r="BT70" s="40"/>
      <c r="BU70" s="40"/>
      <c r="BV70" s="40"/>
      <c r="BW70" s="4"/>
      <c r="BX70" s="4"/>
      <c r="BY70" s="4"/>
      <c r="BZ70" s="4"/>
      <c r="CA70" s="40"/>
      <c r="CB70" s="40"/>
      <c r="CC70" s="40"/>
      <c r="CD70" s="4"/>
      <c r="CE70" s="4"/>
      <c r="CF70" s="4"/>
      <c r="CG70" s="4"/>
      <c r="CH70" s="40"/>
      <c r="CI70" s="40"/>
      <c r="CJ70" s="40"/>
      <c r="CK70" s="4"/>
      <c r="CL70" s="4"/>
      <c r="CM70" s="4"/>
      <c r="CN70" s="4"/>
      <c r="CO70" s="40"/>
      <c r="CP70" s="40"/>
      <c r="CQ70" s="40"/>
    </row>
    <row r="71" ht="15.75" customHeight="1">
      <c r="A71" s="4"/>
      <c r="B71" s="4"/>
      <c r="C71" s="4"/>
      <c r="D71" s="4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"/>
      <c r="AB71" s="4"/>
      <c r="AC71" s="4"/>
      <c r="AD71" s="40"/>
      <c r="AE71" s="40"/>
      <c r="AF71" s="40"/>
      <c r="AG71" s="4"/>
      <c r="AH71" s="4"/>
      <c r="AI71" s="4"/>
      <c r="AJ71" s="4"/>
      <c r="AK71" s="40"/>
      <c r="AL71" s="40"/>
      <c r="AM71" s="40"/>
      <c r="AN71" s="4"/>
      <c r="AO71" s="4"/>
      <c r="AP71" s="4"/>
      <c r="AQ71" s="4"/>
      <c r="AR71" s="40"/>
      <c r="AS71" s="40"/>
      <c r="AT71" s="40"/>
      <c r="AU71" s="4"/>
      <c r="AV71" s="4"/>
      <c r="AW71" s="4"/>
      <c r="AX71" s="4"/>
      <c r="AY71" s="40"/>
      <c r="AZ71" s="40"/>
      <c r="BA71" s="40"/>
      <c r="BB71" s="4"/>
      <c r="BC71" s="4"/>
      <c r="BD71" s="4"/>
      <c r="BE71" s="4"/>
      <c r="BF71" s="40"/>
      <c r="BG71" s="40"/>
      <c r="BH71" s="40"/>
      <c r="BI71" s="4"/>
      <c r="BJ71" s="4"/>
      <c r="BK71" s="4"/>
      <c r="BL71" s="4"/>
      <c r="BM71" s="40"/>
      <c r="BN71" s="40"/>
      <c r="BO71" s="40"/>
      <c r="BP71" s="4"/>
      <c r="BQ71" s="4"/>
      <c r="BR71" s="4"/>
      <c r="BS71" s="4"/>
      <c r="BT71" s="40"/>
      <c r="BU71" s="40"/>
      <c r="BV71" s="40"/>
      <c r="BW71" s="4"/>
      <c r="BX71" s="4"/>
      <c r="BY71" s="4"/>
      <c r="BZ71" s="4"/>
      <c r="CA71" s="40"/>
      <c r="CB71" s="40"/>
      <c r="CC71" s="40"/>
      <c r="CD71" s="4"/>
      <c r="CE71" s="4"/>
      <c r="CF71" s="4"/>
      <c r="CG71" s="4"/>
      <c r="CH71" s="40"/>
      <c r="CI71" s="40"/>
      <c r="CJ71" s="40"/>
      <c r="CK71" s="4"/>
      <c r="CL71" s="4"/>
      <c r="CM71" s="4"/>
      <c r="CN71" s="4"/>
      <c r="CO71" s="40"/>
      <c r="CP71" s="40"/>
      <c r="CQ71" s="40"/>
    </row>
    <row r="72" ht="15.75" customHeight="1">
      <c r="A72" s="4"/>
      <c r="B72" s="4"/>
      <c r="C72" s="4"/>
      <c r="D72" s="4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"/>
      <c r="AB72" s="4"/>
      <c r="AC72" s="4"/>
      <c r="AD72" s="40"/>
      <c r="AE72" s="40"/>
      <c r="AF72" s="40"/>
      <c r="AG72" s="4"/>
      <c r="AH72" s="4"/>
      <c r="AI72" s="4"/>
      <c r="AJ72" s="4"/>
      <c r="AK72" s="40"/>
      <c r="AL72" s="40"/>
      <c r="AM72" s="40"/>
      <c r="AN72" s="4"/>
      <c r="AO72" s="4"/>
      <c r="AP72" s="4"/>
      <c r="AQ72" s="4"/>
      <c r="AR72" s="40"/>
      <c r="AS72" s="40"/>
      <c r="AT72" s="40"/>
      <c r="AU72" s="4"/>
      <c r="AV72" s="4"/>
      <c r="AW72" s="4"/>
      <c r="AX72" s="4"/>
      <c r="AY72" s="40"/>
      <c r="AZ72" s="40"/>
      <c r="BA72" s="40"/>
      <c r="BB72" s="4"/>
      <c r="BC72" s="4"/>
      <c r="BD72" s="4"/>
      <c r="BE72" s="4"/>
      <c r="BF72" s="40"/>
      <c r="BG72" s="40"/>
      <c r="BH72" s="40"/>
      <c r="BI72" s="4"/>
      <c r="BJ72" s="4"/>
      <c r="BK72" s="4"/>
      <c r="BL72" s="4"/>
      <c r="BM72" s="40"/>
      <c r="BN72" s="40"/>
      <c r="BO72" s="40"/>
      <c r="BP72" s="4"/>
      <c r="BQ72" s="4"/>
      <c r="BR72" s="4"/>
      <c r="BS72" s="4"/>
      <c r="BT72" s="40"/>
      <c r="BU72" s="40"/>
      <c r="BV72" s="40"/>
      <c r="BW72" s="4"/>
      <c r="BX72" s="4"/>
      <c r="BY72" s="4"/>
      <c r="BZ72" s="4"/>
      <c r="CA72" s="40"/>
      <c r="CB72" s="40"/>
      <c r="CC72" s="40"/>
      <c r="CD72" s="4"/>
      <c r="CE72" s="4"/>
      <c r="CF72" s="4"/>
      <c r="CG72" s="4"/>
      <c r="CH72" s="40"/>
      <c r="CI72" s="40"/>
      <c r="CJ72" s="40"/>
      <c r="CK72" s="4"/>
      <c r="CL72" s="4"/>
      <c r="CM72" s="4"/>
      <c r="CN72" s="4"/>
      <c r="CO72" s="40"/>
      <c r="CP72" s="40"/>
      <c r="CQ72" s="40"/>
    </row>
    <row r="73" ht="15.75" customHeight="1">
      <c r="A73" s="4"/>
      <c r="B73" s="4"/>
      <c r="C73" s="4"/>
      <c r="D73" s="4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"/>
      <c r="AB73" s="4"/>
      <c r="AC73" s="4"/>
      <c r="AD73" s="40"/>
      <c r="AE73" s="40"/>
      <c r="AF73" s="40"/>
      <c r="AG73" s="4"/>
      <c r="AH73" s="4"/>
      <c r="AI73" s="4"/>
      <c r="AJ73" s="4"/>
      <c r="AK73" s="40"/>
      <c r="AL73" s="40"/>
      <c r="AM73" s="40"/>
      <c r="AN73" s="4"/>
      <c r="AO73" s="4"/>
      <c r="AP73" s="4"/>
      <c r="AQ73" s="4"/>
      <c r="AR73" s="40"/>
      <c r="AS73" s="40"/>
      <c r="AT73" s="40"/>
      <c r="AU73" s="4"/>
      <c r="AV73" s="4"/>
      <c r="AW73" s="4"/>
      <c r="AX73" s="4"/>
      <c r="AY73" s="40"/>
      <c r="AZ73" s="40"/>
      <c r="BA73" s="40"/>
      <c r="BB73" s="4"/>
      <c r="BC73" s="4"/>
      <c r="BD73" s="4"/>
      <c r="BE73" s="4"/>
      <c r="BF73" s="40"/>
      <c r="BG73" s="40"/>
      <c r="BH73" s="40"/>
      <c r="BI73" s="4"/>
      <c r="BJ73" s="4"/>
      <c r="BK73" s="4"/>
      <c r="BL73" s="4"/>
      <c r="BM73" s="40"/>
      <c r="BN73" s="40"/>
      <c r="BO73" s="40"/>
      <c r="BP73" s="4"/>
      <c r="BQ73" s="4"/>
      <c r="BR73" s="4"/>
      <c r="BS73" s="4"/>
      <c r="BT73" s="40"/>
      <c r="BU73" s="40"/>
      <c r="BV73" s="40"/>
      <c r="BW73" s="4"/>
      <c r="BX73" s="4"/>
      <c r="BY73" s="4"/>
      <c r="BZ73" s="4"/>
      <c r="CA73" s="40"/>
      <c r="CB73" s="40"/>
      <c r="CC73" s="40"/>
      <c r="CD73" s="4"/>
      <c r="CE73" s="4"/>
      <c r="CF73" s="4"/>
      <c r="CG73" s="4"/>
      <c r="CH73" s="40"/>
      <c r="CI73" s="40"/>
      <c r="CJ73" s="40"/>
      <c r="CK73" s="4"/>
      <c r="CL73" s="4"/>
      <c r="CM73" s="4"/>
      <c r="CN73" s="4"/>
      <c r="CO73" s="40"/>
      <c r="CP73" s="40"/>
      <c r="CQ73" s="40"/>
    </row>
    <row r="74" ht="15.75" customHeight="1">
      <c r="A74" s="4"/>
      <c r="B74" s="4"/>
      <c r="C74" s="4"/>
      <c r="D74" s="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"/>
      <c r="AB74" s="4"/>
      <c r="AC74" s="4"/>
      <c r="AD74" s="40"/>
      <c r="AE74" s="40"/>
      <c r="AF74" s="40"/>
      <c r="AG74" s="4"/>
      <c r="AH74" s="4"/>
      <c r="AI74" s="4"/>
      <c r="AJ74" s="4"/>
      <c r="AK74" s="40"/>
      <c r="AL74" s="40"/>
      <c r="AM74" s="40"/>
      <c r="AN74" s="4"/>
      <c r="AO74" s="4"/>
      <c r="AP74" s="4"/>
      <c r="AQ74" s="4"/>
      <c r="AR74" s="40"/>
      <c r="AS74" s="40"/>
      <c r="AT74" s="40"/>
      <c r="AU74" s="4"/>
      <c r="AV74" s="4"/>
      <c r="AW74" s="4"/>
      <c r="AX74" s="4"/>
      <c r="AY74" s="40"/>
      <c r="AZ74" s="40"/>
      <c r="BA74" s="40"/>
      <c r="BB74" s="4"/>
      <c r="BC74" s="4"/>
      <c r="BD74" s="4"/>
      <c r="BE74" s="4"/>
      <c r="BF74" s="40"/>
      <c r="BG74" s="40"/>
      <c r="BH74" s="40"/>
      <c r="BI74" s="4"/>
      <c r="BJ74" s="4"/>
      <c r="BK74" s="4"/>
      <c r="BL74" s="4"/>
      <c r="BM74" s="40"/>
      <c r="BN74" s="40"/>
      <c r="BO74" s="40"/>
      <c r="BP74" s="4"/>
      <c r="BQ74" s="4"/>
      <c r="BR74" s="4"/>
      <c r="BS74" s="4"/>
      <c r="BT74" s="40"/>
      <c r="BU74" s="40"/>
      <c r="BV74" s="40"/>
      <c r="BW74" s="4"/>
      <c r="BX74" s="4"/>
      <c r="BY74" s="4"/>
      <c r="BZ74" s="4"/>
      <c r="CA74" s="40"/>
      <c r="CB74" s="40"/>
      <c r="CC74" s="40"/>
      <c r="CD74" s="4"/>
      <c r="CE74" s="4"/>
      <c r="CF74" s="4"/>
      <c r="CG74" s="4"/>
      <c r="CH74" s="40"/>
      <c r="CI74" s="40"/>
      <c r="CJ74" s="40"/>
      <c r="CK74" s="4"/>
      <c r="CL74" s="4"/>
      <c r="CM74" s="4"/>
      <c r="CN74" s="4"/>
      <c r="CO74" s="40"/>
      <c r="CP74" s="40"/>
      <c r="CQ74" s="40"/>
    </row>
    <row r="75" ht="15.75" customHeight="1">
      <c r="A75" s="4"/>
      <c r="B75" s="4"/>
      <c r="C75" s="4"/>
      <c r="D75" s="4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"/>
      <c r="AB75" s="4"/>
      <c r="AC75" s="4"/>
      <c r="AD75" s="40"/>
      <c r="AE75" s="40"/>
      <c r="AF75" s="40"/>
      <c r="AG75" s="4"/>
      <c r="AH75" s="4"/>
      <c r="AI75" s="4"/>
      <c r="AJ75" s="4"/>
      <c r="AK75" s="40"/>
      <c r="AL75" s="40"/>
      <c r="AM75" s="40"/>
      <c r="AN75" s="4"/>
      <c r="AO75" s="4"/>
      <c r="AP75" s="4"/>
      <c r="AQ75" s="4"/>
      <c r="AR75" s="40"/>
      <c r="AS75" s="40"/>
      <c r="AT75" s="40"/>
      <c r="AU75" s="4"/>
      <c r="AV75" s="4"/>
      <c r="AW75" s="4"/>
      <c r="AX75" s="4"/>
      <c r="AY75" s="40"/>
      <c r="AZ75" s="40"/>
      <c r="BA75" s="40"/>
      <c r="BB75" s="4"/>
      <c r="BC75" s="4"/>
      <c r="BD75" s="4"/>
      <c r="BE75" s="4"/>
      <c r="BF75" s="40"/>
      <c r="BG75" s="40"/>
      <c r="BH75" s="40"/>
      <c r="BI75" s="4"/>
      <c r="BJ75" s="4"/>
      <c r="BK75" s="4"/>
      <c r="BL75" s="4"/>
      <c r="BM75" s="40"/>
      <c r="BN75" s="40"/>
      <c r="BO75" s="40"/>
      <c r="BP75" s="4"/>
      <c r="BQ75" s="4"/>
      <c r="BR75" s="4"/>
      <c r="BS75" s="4"/>
      <c r="BT75" s="40"/>
      <c r="BU75" s="40"/>
      <c r="BV75" s="40"/>
      <c r="BW75" s="4"/>
      <c r="BX75" s="4"/>
      <c r="BY75" s="4"/>
      <c r="BZ75" s="4"/>
      <c r="CA75" s="40"/>
      <c r="CB75" s="40"/>
      <c r="CC75" s="40"/>
      <c r="CD75" s="4"/>
      <c r="CE75" s="4"/>
      <c r="CF75" s="4"/>
      <c r="CG75" s="4"/>
      <c r="CH75" s="40"/>
      <c r="CI75" s="40"/>
      <c r="CJ75" s="40"/>
      <c r="CK75" s="4"/>
      <c r="CL75" s="4"/>
      <c r="CM75" s="4"/>
      <c r="CN75" s="4"/>
      <c r="CO75" s="40"/>
      <c r="CP75" s="40"/>
      <c r="CQ75" s="40"/>
    </row>
    <row r="76" ht="15.75" customHeight="1">
      <c r="A76" s="4"/>
      <c r="B76" s="4"/>
      <c r="C76" s="4"/>
      <c r="D76" s="4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"/>
      <c r="AB76" s="4"/>
      <c r="AC76" s="4"/>
      <c r="AD76" s="40"/>
      <c r="AE76" s="40"/>
      <c r="AF76" s="40"/>
      <c r="AG76" s="4"/>
      <c r="AH76" s="4"/>
      <c r="AI76" s="4"/>
      <c r="AJ76" s="4"/>
      <c r="AK76" s="40"/>
      <c r="AL76" s="40"/>
      <c r="AM76" s="40"/>
      <c r="AN76" s="4"/>
      <c r="AO76" s="4"/>
      <c r="AP76" s="4"/>
      <c r="AQ76" s="4"/>
      <c r="AR76" s="40"/>
      <c r="AS76" s="40"/>
      <c r="AT76" s="40"/>
      <c r="AU76" s="4"/>
      <c r="AV76" s="4"/>
      <c r="AW76" s="4"/>
      <c r="AX76" s="4"/>
      <c r="AY76" s="40"/>
      <c r="AZ76" s="40"/>
      <c r="BA76" s="40"/>
      <c r="BB76" s="4"/>
      <c r="BC76" s="4"/>
      <c r="BD76" s="4"/>
      <c r="BE76" s="4"/>
      <c r="BF76" s="40"/>
      <c r="BG76" s="40"/>
      <c r="BH76" s="40"/>
      <c r="BI76" s="4"/>
      <c r="BJ76" s="4"/>
      <c r="BK76" s="4"/>
      <c r="BL76" s="4"/>
      <c r="BM76" s="40"/>
      <c r="BN76" s="40"/>
      <c r="BO76" s="40"/>
      <c r="BP76" s="4"/>
      <c r="BQ76" s="4"/>
      <c r="BR76" s="4"/>
      <c r="BS76" s="4"/>
      <c r="BT76" s="40"/>
      <c r="BU76" s="40"/>
      <c r="BV76" s="40"/>
      <c r="BW76" s="4"/>
      <c r="BX76" s="4"/>
      <c r="BY76" s="4"/>
      <c r="BZ76" s="4"/>
      <c r="CA76" s="40"/>
      <c r="CB76" s="40"/>
      <c r="CC76" s="40"/>
      <c r="CD76" s="4"/>
      <c r="CE76" s="4"/>
      <c r="CF76" s="4"/>
      <c r="CG76" s="4"/>
      <c r="CH76" s="40"/>
      <c r="CI76" s="40"/>
      <c r="CJ76" s="40"/>
      <c r="CK76" s="4"/>
      <c r="CL76" s="4"/>
      <c r="CM76" s="4"/>
      <c r="CN76" s="4"/>
      <c r="CO76" s="40"/>
      <c r="CP76" s="40"/>
      <c r="CQ76" s="40"/>
    </row>
    <row r="77" ht="15.75" customHeight="1">
      <c r="A77" s="4"/>
      <c r="B77" s="4"/>
      <c r="C77" s="4"/>
      <c r="D77" s="4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"/>
      <c r="AB77" s="4"/>
      <c r="AC77" s="4"/>
      <c r="AD77" s="40"/>
      <c r="AE77" s="40"/>
      <c r="AF77" s="40"/>
      <c r="AG77" s="4"/>
      <c r="AH77" s="4"/>
      <c r="AI77" s="4"/>
      <c r="AJ77" s="4"/>
      <c r="AK77" s="40"/>
      <c r="AL77" s="40"/>
      <c r="AM77" s="40"/>
      <c r="AN77" s="4"/>
      <c r="AO77" s="4"/>
      <c r="AP77" s="4"/>
      <c r="AQ77" s="4"/>
      <c r="AR77" s="40"/>
      <c r="AS77" s="40"/>
      <c r="AT77" s="40"/>
      <c r="AU77" s="4"/>
      <c r="AV77" s="4"/>
      <c r="AW77" s="4"/>
      <c r="AX77" s="4"/>
      <c r="AY77" s="40"/>
      <c r="AZ77" s="40"/>
      <c r="BA77" s="40"/>
      <c r="BB77" s="4"/>
      <c r="BC77" s="4"/>
      <c r="BD77" s="4"/>
      <c r="BE77" s="4"/>
      <c r="BF77" s="40"/>
      <c r="BG77" s="40"/>
      <c r="BH77" s="40"/>
      <c r="BI77" s="4"/>
      <c r="BJ77" s="4"/>
      <c r="BK77" s="4"/>
      <c r="BL77" s="4"/>
      <c r="BM77" s="40"/>
      <c r="BN77" s="40"/>
      <c r="BO77" s="40"/>
      <c r="BP77" s="4"/>
      <c r="BQ77" s="4"/>
      <c r="BR77" s="4"/>
      <c r="BS77" s="4"/>
      <c r="BT77" s="40"/>
      <c r="BU77" s="40"/>
      <c r="BV77" s="40"/>
      <c r="BW77" s="4"/>
      <c r="BX77" s="4"/>
      <c r="BY77" s="4"/>
      <c r="BZ77" s="4"/>
      <c r="CA77" s="40"/>
      <c r="CB77" s="40"/>
      <c r="CC77" s="40"/>
      <c r="CD77" s="4"/>
      <c r="CE77" s="4"/>
      <c r="CF77" s="4"/>
      <c r="CG77" s="4"/>
      <c r="CH77" s="40"/>
      <c r="CI77" s="40"/>
      <c r="CJ77" s="40"/>
      <c r="CK77" s="4"/>
      <c r="CL77" s="4"/>
      <c r="CM77" s="4"/>
      <c r="CN77" s="4"/>
      <c r="CO77" s="40"/>
      <c r="CP77" s="40"/>
      <c r="CQ77" s="40"/>
    </row>
    <row r="78" ht="15.75" customHeight="1">
      <c r="A78" s="4"/>
      <c r="B78" s="4"/>
      <c r="C78" s="4"/>
      <c r="D78" s="4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"/>
      <c r="AB78" s="4"/>
      <c r="AC78" s="4"/>
      <c r="AD78" s="40"/>
      <c r="AE78" s="40"/>
      <c r="AF78" s="40"/>
      <c r="AG78" s="4"/>
      <c r="AH78" s="4"/>
      <c r="AI78" s="4"/>
      <c r="AJ78" s="4"/>
      <c r="AK78" s="40"/>
      <c r="AL78" s="40"/>
      <c r="AM78" s="40"/>
      <c r="AN78" s="4"/>
      <c r="AO78" s="4"/>
      <c r="AP78" s="4"/>
      <c r="AQ78" s="4"/>
      <c r="AR78" s="40"/>
      <c r="AS78" s="40"/>
      <c r="AT78" s="40"/>
      <c r="AU78" s="4"/>
      <c r="AV78" s="4"/>
      <c r="AW78" s="4"/>
      <c r="AX78" s="4"/>
      <c r="AY78" s="40"/>
      <c r="AZ78" s="40"/>
      <c r="BA78" s="40"/>
      <c r="BB78" s="4"/>
      <c r="BC78" s="4"/>
      <c r="BD78" s="4"/>
      <c r="BE78" s="4"/>
      <c r="BF78" s="40"/>
      <c r="BG78" s="40"/>
      <c r="BH78" s="40"/>
      <c r="BI78" s="4"/>
      <c r="BJ78" s="4"/>
      <c r="BK78" s="4"/>
      <c r="BL78" s="4"/>
      <c r="BM78" s="40"/>
      <c r="BN78" s="40"/>
      <c r="BO78" s="40"/>
      <c r="BP78" s="4"/>
      <c r="BQ78" s="4"/>
      <c r="BR78" s="4"/>
      <c r="BS78" s="4"/>
      <c r="BT78" s="40"/>
      <c r="BU78" s="40"/>
      <c r="BV78" s="40"/>
      <c r="BW78" s="4"/>
      <c r="BX78" s="4"/>
      <c r="BY78" s="4"/>
      <c r="BZ78" s="4"/>
      <c r="CA78" s="40"/>
      <c r="CB78" s="40"/>
      <c r="CC78" s="40"/>
      <c r="CD78" s="4"/>
      <c r="CE78" s="4"/>
      <c r="CF78" s="4"/>
      <c r="CG78" s="4"/>
      <c r="CH78" s="40"/>
      <c r="CI78" s="40"/>
      <c r="CJ78" s="40"/>
      <c r="CK78" s="4"/>
      <c r="CL78" s="4"/>
      <c r="CM78" s="4"/>
      <c r="CN78" s="4"/>
      <c r="CO78" s="40"/>
      <c r="CP78" s="40"/>
      <c r="CQ78" s="40"/>
    </row>
    <row r="79" ht="15.75" customHeight="1">
      <c r="A79" s="4"/>
      <c r="B79" s="4"/>
      <c r="C79" s="4"/>
      <c r="D79" s="4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"/>
      <c r="AB79" s="4"/>
      <c r="AC79" s="4"/>
      <c r="AD79" s="40"/>
      <c r="AE79" s="40"/>
      <c r="AF79" s="40"/>
      <c r="AG79" s="4"/>
      <c r="AH79" s="4"/>
      <c r="AI79" s="4"/>
      <c r="AJ79" s="4"/>
      <c r="AK79" s="40"/>
      <c r="AL79" s="40"/>
      <c r="AM79" s="40"/>
      <c r="AN79" s="4"/>
      <c r="AO79" s="4"/>
      <c r="AP79" s="4"/>
      <c r="AQ79" s="4"/>
      <c r="AR79" s="40"/>
      <c r="AS79" s="40"/>
      <c r="AT79" s="40"/>
      <c r="AU79" s="4"/>
      <c r="AV79" s="4"/>
      <c r="AW79" s="4"/>
      <c r="AX79" s="4"/>
      <c r="AY79" s="40"/>
      <c r="AZ79" s="40"/>
      <c r="BA79" s="40"/>
      <c r="BB79" s="4"/>
      <c r="BC79" s="4"/>
      <c r="BD79" s="4"/>
      <c r="BE79" s="4"/>
      <c r="BF79" s="40"/>
      <c r="BG79" s="40"/>
      <c r="BH79" s="40"/>
      <c r="BI79" s="4"/>
      <c r="BJ79" s="4"/>
      <c r="BK79" s="4"/>
      <c r="BL79" s="4"/>
      <c r="BM79" s="40"/>
      <c r="BN79" s="40"/>
      <c r="BO79" s="40"/>
      <c r="BP79" s="4"/>
      <c r="BQ79" s="4"/>
      <c r="BR79" s="4"/>
      <c r="BS79" s="4"/>
      <c r="BT79" s="40"/>
      <c r="BU79" s="40"/>
      <c r="BV79" s="40"/>
      <c r="BW79" s="4"/>
      <c r="BX79" s="4"/>
      <c r="BY79" s="4"/>
      <c r="BZ79" s="4"/>
      <c r="CA79" s="40"/>
      <c r="CB79" s="40"/>
      <c r="CC79" s="40"/>
      <c r="CD79" s="4"/>
      <c r="CE79" s="4"/>
      <c r="CF79" s="4"/>
      <c r="CG79" s="4"/>
      <c r="CH79" s="40"/>
      <c r="CI79" s="40"/>
      <c r="CJ79" s="40"/>
      <c r="CK79" s="4"/>
      <c r="CL79" s="4"/>
      <c r="CM79" s="4"/>
      <c r="CN79" s="4"/>
      <c r="CO79" s="40"/>
      <c r="CP79" s="40"/>
      <c r="CQ79" s="40"/>
    </row>
    <row r="80" ht="15.75" customHeight="1">
      <c r="A80" s="4"/>
      <c r="B80" s="4"/>
      <c r="C80" s="4"/>
      <c r="D80" s="4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"/>
      <c r="AB80" s="4"/>
      <c r="AC80" s="4"/>
      <c r="AD80" s="40"/>
      <c r="AE80" s="40"/>
      <c r="AF80" s="40"/>
      <c r="AG80" s="4"/>
      <c r="AH80" s="4"/>
      <c r="AI80" s="4"/>
      <c r="AJ80" s="4"/>
      <c r="AK80" s="40"/>
      <c r="AL80" s="40"/>
      <c r="AM80" s="40"/>
      <c r="AN80" s="4"/>
      <c r="AO80" s="4"/>
      <c r="AP80" s="4"/>
      <c r="AQ80" s="4"/>
      <c r="AR80" s="40"/>
      <c r="AS80" s="40"/>
      <c r="AT80" s="40"/>
      <c r="AU80" s="4"/>
      <c r="AV80" s="4"/>
      <c r="AW80" s="4"/>
      <c r="AX80" s="4"/>
      <c r="AY80" s="40"/>
      <c r="AZ80" s="40"/>
      <c r="BA80" s="40"/>
      <c r="BB80" s="4"/>
      <c r="BC80" s="4"/>
      <c r="BD80" s="4"/>
      <c r="BE80" s="4"/>
      <c r="BF80" s="40"/>
      <c r="BG80" s="40"/>
      <c r="BH80" s="40"/>
      <c r="BI80" s="4"/>
      <c r="BJ80" s="4"/>
      <c r="BK80" s="4"/>
      <c r="BL80" s="4"/>
      <c r="BM80" s="40"/>
      <c r="BN80" s="40"/>
      <c r="BO80" s="40"/>
      <c r="BP80" s="4"/>
      <c r="BQ80" s="4"/>
      <c r="BR80" s="4"/>
      <c r="BS80" s="4"/>
      <c r="BT80" s="40"/>
      <c r="BU80" s="40"/>
      <c r="BV80" s="40"/>
      <c r="BW80" s="4"/>
      <c r="BX80" s="4"/>
      <c r="BY80" s="4"/>
      <c r="BZ80" s="4"/>
      <c r="CA80" s="40"/>
      <c r="CB80" s="40"/>
      <c r="CC80" s="40"/>
      <c r="CD80" s="4"/>
      <c r="CE80" s="4"/>
      <c r="CF80" s="4"/>
      <c r="CG80" s="4"/>
      <c r="CH80" s="40"/>
      <c r="CI80" s="40"/>
      <c r="CJ80" s="40"/>
      <c r="CK80" s="4"/>
      <c r="CL80" s="4"/>
      <c r="CM80" s="4"/>
      <c r="CN80" s="4"/>
      <c r="CO80" s="40"/>
      <c r="CP80" s="40"/>
      <c r="CQ80" s="40"/>
    </row>
    <row r="81" ht="15.75" customHeight="1">
      <c r="A81" s="4"/>
      <c r="B81" s="4"/>
      <c r="C81" s="4"/>
      <c r="D81" s="4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"/>
      <c r="AB81" s="4"/>
      <c r="AC81" s="4"/>
      <c r="AD81" s="40"/>
      <c r="AE81" s="40"/>
      <c r="AF81" s="40"/>
      <c r="AG81" s="4"/>
      <c r="AH81" s="4"/>
      <c r="AI81" s="4"/>
      <c r="AJ81" s="4"/>
      <c r="AK81" s="40"/>
      <c r="AL81" s="40"/>
      <c r="AM81" s="40"/>
      <c r="AN81" s="4"/>
      <c r="AO81" s="4"/>
      <c r="AP81" s="4"/>
      <c r="AQ81" s="4"/>
      <c r="AR81" s="40"/>
      <c r="AS81" s="40"/>
      <c r="AT81" s="40"/>
      <c r="AU81" s="4"/>
      <c r="AV81" s="4"/>
      <c r="AW81" s="4"/>
      <c r="AX81" s="4"/>
      <c r="AY81" s="40"/>
      <c r="AZ81" s="40"/>
      <c r="BA81" s="40"/>
      <c r="BB81" s="4"/>
      <c r="BC81" s="4"/>
      <c r="BD81" s="4"/>
      <c r="BE81" s="4"/>
      <c r="BF81" s="40"/>
      <c r="BG81" s="40"/>
      <c r="BH81" s="40"/>
      <c r="BI81" s="4"/>
      <c r="BJ81" s="4"/>
      <c r="BK81" s="4"/>
      <c r="BL81" s="4"/>
      <c r="BM81" s="40"/>
      <c r="BN81" s="40"/>
      <c r="BO81" s="40"/>
      <c r="BP81" s="4"/>
      <c r="BQ81" s="4"/>
      <c r="BR81" s="4"/>
      <c r="BS81" s="4"/>
      <c r="BT81" s="40"/>
      <c r="BU81" s="40"/>
      <c r="BV81" s="40"/>
      <c r="BW81" s="4"/>
      <c r="BX81" s="4"/>
      <c r="BY81" s="4"/>
      <c r="BZ81" s="4"/>
      <c r="CA81" s="40"/>
      <c r="CB81" s="40"/>
      <c r="CC81" s="40"/>
      <c r="CD81" s="4"/>
      <c r="CE81" s="4"/>
      <c r="CF81" s="4"/>
      <c r="CG81" s="4"/>
      <c r="CH81" s="40"/>
      <c r="CI81" s="40"/>
      <c r="CJ81" s="40"/>
      <c r="CK81" s="4"/>
      <c r="CL81" s="4"/>
      <c r="CM81" s="4"/>
      <c r="CN81" s="4"/>
      <c r="CO81" s="40"/>
      <c r="CP81" s="40"/>
      <c r="CQ81" s="40"/>
    </row>
    <row r="82" ht="15.75" customHeight="1">
      <c r="A82" s="4"/>
      <c r="B82" s="4"/>
      <c r="C82" s="4"/>
      <c r="D82" s="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"/>
      <c r="AB82" s="4"/>
      <c r="AC82" s="4"/>
      <c r="AD82" s="40"/>
      <c r="AE82" s="40"/>
      <c r="AF82" s="40"/>
      <c r="AG82" s="4"/>
      <c r="AH82" s="4"/>
      <c r="AI82" s="4"/>
      <c r="AJ82" s="4"/>
      <c r="AK82" s="40"/>
      <c r="AL82" s="40"/>
      <c r="AM82" s="40"/>
      <c r="AN82" s="4"/>
      <c r="AO82" s="4"/>
      <c r="AP82" s="4"/>
      <c r="AQ82" s="4"/>
      <c r="AR82" s="40"/>
      <c r="AS82" s="40"/>
      <c r="AT82" s="40"/>
      <c r="AU82" s="4"/>
      <c r="AV82" s="4"/>
      <c r="AW82" s="4"/>
      <c r="AX82" s="4"/>
      <c r="AY82" s="40"/>
      <c r="AZ82" s="40"/>
      <c r="BA82" s="40"/>
      <c r="BB82" s="4"/>
      <c r="BC82" s="4"/>
      <c r="BD82" s="4"/>
      <c r="BE82" s="4"/>
      <c r="BF82" s="40"/>
      <c r="BG82" s="40"/>
      <c r="BH82" s="40"/>
      <c r="BI82" s="4"/>
      <c r="BJ82" s="4"/>
      <c r="BK82" s="4"/>
      <c r="BL82" s="4"/>
      <c r="BM82" s="40"/>
      <c r="BN82" s="40"/>
      <c r="BO82" s="40"/>
      <c r="BP82" s="4"/>
      <c r="BQ82" s="4"/>
      <c r="BR82" s="4"/>
      <c r="BS82" s="4"/>
      <c r="BT82" s="40"/>
      <c r="BU82" s="40"/>
      <c r="BV82" s="40"/>
      <c r="BW82" s="4"/>
      <c r="BX82" s="4"/>
      <c r="BY82" s="4"/>
      <c r="BZ82" s="4"/>
      <c r="CA82" s="40"/>
      <c r="CB82" s="40"/>
      <c r="CC82" s="40"/>
      <c r="CD82" s="4"/>
      <c r="CE82" s="4"/>
      <c r="CF82" s="4"/>
      <c r="CG82" s="4"/>
      <c r="CH82" s="40"/>
      <c r="CI82" s="40"/>
      <c r="CJ82" s="40"/>
      <c r="CK82" s="4"/>
      <c r="CL82" s="4"/>
      <c r="CM82" s="4"/>
      <c r="CN82" s="4"/>
      <c r="CO82" s="40"/>
      <c r="CP82" s="40"/>
      <c r="CQ82" s="40"/>
    </row>
    <row r="83" ht="15.75" customHeight="1">
      <c r="A83" s="4"/>
      <c r="B83" s="4"/>
      <c r="C83" s="4"/>
      <c r="D83" s="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"/>
      <c r="AB83" s="4"/>
      <c r="AC83" s="4"/>
      <c r="AD83" s="40"/>
      <c r="AE83" s="40"/>
      <c r="AF83" s="40"/>
      <c r="AG83" s="4"/>
      <c r="AH83" s="4"/>
      <c r="AI83" s="4"/>
      <c r="AJ83" s="4"/>
      <c r="AK83" s="40"/>
      <c r="AL83" s="40"/>
      <c r="AM83" s="40"/>
      <c r="AN83" s="4"/>
      <c r="AO83" s="4"/>
      <c r="AP83" s="4"/>
      <c r="AQ83" s="4"/>
      <c r="AR83" s="40"/>
      <c r="AS83" s="40"/>
      <c r="AT83" s="40"/>
      <c r="AU83" s="4"/>
      <c r="AV83" s="4"/>
      <c r="AW83" s="4"/>
      <c r="AX83" s="4"/>
      <c r="AY83" s="40"/>
      <c r="AZ83" s="40"/>
      <c r="BA83" s="40"/>
      <c r="BB83" s="4"/>
      <c r="BC83" s="4"/>
      <c r="BD83" s="4"/>
      <c r="BE83" s="4"/>
      <c r="BF83" s="40"/>
      <c r="BG83" s="40"/>
      <c r="BH83" s="40"/>
      <c r="BI83" s="4"/>
      <c r="BJ83" s="4"/>
      <c r="BK83" s="4"/>
      <c r="BL83" s="4"/>
      <c r="BM83" s="40"/>
      <c r="BN83" s="40"/>
      <c r="BO83" s="40"/>
      <c r="BP83" s="4"/>
      <c r="BQ83" s="4"/>
      <c r="BR83" s="4"/>
      <c r="BS83" s="4"/>
      <c r="BT83" s="40"/>
      <c r="BU83" s="40"/>
      <c r="BV83" s="40"/>
      <c r="BW83" s="4"/>
      <c r="BX83" s="4"/>
      <c r="BY83" s="4"/>
      <c r="BZ83" s="4"/>
      <c r="CA83" s="40"/>
      <c r="CB83" s="40"/>
      <c r="CC83" s="40"/>
      <c r="CD83" s="4"/>
      <c r="CE83" s="4"/>
      <c r="CF83" s="4"/>
      <c r="CG83" s="4"/>
      <c r="CH83" s="40"/>
      <c r="CI83" s="40"/>
      <c r="CJ83" s="40"/>
      <c r="CK83" s="4"/>
      <c r="CL83" s="4"/>
      <c r="CM83" s="4"/>
      <c r="CN83" s="4"/>
      <c r="CO83" s="40"/>
      <c r="CP83" s="40"/>
      <c r="CQ83" s="40"/>
    </row>
    <row r="84" ht="15.75" customHeight="1">
      <c r="A84" s="4"/>
      <c r="B84" s="4"/>
      <c r="C84" s="4"/>
      <c r="D84" s="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"/>
      <c r="AB84" s="4"/>
      <c r="AC84" s="4"/>
      <c r="AD84" s="40"/>
      <c r="AE84" s="40"/>
      <c r="AF84" s="40"/>
      <c r="AG84" s="4"/>
      <c r="AH84" s="4"/>
      <c r="AI84" s="4"/>
      <c r="AJ84" s="4"/>
      <c r="AK84" s="40"/>
      <c r="AL84" s="40"/>
      <c r="AM84" s="40"/>
      <c r="AN84" s="4"/>
      <c r="AO84" s="4"/>
      <c r="AP84" s="4"/>
      <c r="AQ84" s="4"/>
      <c r="AR84" s="40"/>
      <c r="AS84" s="40"/>
      <c r="AT84" s="40"/>
      <c r="AU84" s="4"/>
      <c r="AV84" s="4"/>
      <c r="AW84" s="4"/>
      <c r="AX84" s="4"/>
      <c r="AY84" s="40"/>
      <c r="AZ84" s="40"/>
      <c r="BA84" s="40"/>
      <c r="BB84" s="4"/>
      <c r="BC84" s="4"/>
      <c r="BD84" s="4"/>
      <c r="BE84" s="4"/>
      <c r="BF84" s="40"/>
      <c r="BG84" s="40"/>
      <c r="BH84" s="40"/>
      <c r="BI84" s="4"/>
      <c r="BJ84" s="4"/>
      <c r="BK84" s="4"/>
      <c r="BL84" s="4"/>
      <c r="BM84" s="40"/>
      <c r="BN84" s="40"/>
      <c r="BO84" s="40"/>
      <c r="BP84" s="4"/>
      <c r="BQ84" s="4"/>
      <c r="BR84" s="4"/>
      <c r="BS84" s="4"/>
      <c r="BT84" s="40"/>
      <c r="BU84" s="40"/>
      <c r="BV84" s="40"/>
      <c r="BW84" s="4"/>
      <c r="BX84" s="4"/>
      <c r="BY84" s="4"/>
      <c r="BZ84" s="4"/>
      <c r="CA84" s="40"/>
      <c r="CB84" s="40"/>
      <c r="CC84" s="40"/>
      <c r="CD84" s="4"/>
      <c r="CE84" s="4"/>
      <c r="CF84" s="4"/>
      <c r="CG84" s="4"/>
      <c r="CH84" s="40"/>
      <c r="CI84" s="40"/>
      <c r="CJ84" s="40"/>
      <c r="CK84" s="4"/>
      <c r="CL84" s="4"/>
      <c r="CM84" s="4"/>
      <c r="CN84" s="4"/>
      <c r="CO84" s="40"/>
      <c r="CP84" s="40"/>
      <c r="CQ84" s="40"/>
    </row>
    <row r="85" ht="15.75" customHeight="1">
      <c r="A85" s="4"/>
      <c r="B85" s="4"/>
      <c r="C85" s="4"/>
      <c r="D85" s="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"/>
      <c r="AB85" s="4"/>
      <c r="AC85" s="4"/>
      <c r="AD85" s="40"/>
      <c r="AE85" s="40"/>
      <c r="AF85" s="40"/>
      <c r="AG85" s="4"/>
      <c r="AH85" s="4"/>
      <c r="AI85" s="4"/>
      <c r="AJ85" s="4"/>
      <c r="AK85" s="40"/>
      <c r="AL85" s="40"/>
      <c r="AM85" s="40"/>
      <c r="AN85" s="4"/>
      <c r="AO85" s="4"/>
      <c r="AP85" s="4"/>
      <c r="AQ85" s="4"/>
      <c r="AR85" s="40"/>
      <c r="AS85" s="40"/>
      <c r="AT85" s="40"/>
      <c r="AU85" s="4"/>
      <c r="AV85" s="4"/>
      <c r="AW85" s="4"/>
      <c r="AX85" s="4"/>
      <c r="AY85" s="40"/>
      <c r="AZ85" s="40"/>
      <c r="BA85" s="40"/>
      <c r="BB85" s="4"/>
      <c r="BC85" s="4"/>
      <c r="BD85" s="4"/>
      <c r="BE85" s="4"/>
      <c r="BF85" s="40"/>
      <c r="BG85" s="40"/>
      <c r="BH85" s="40"/>
      <c r="BI85" s="4"/>
      <c r="BJ85" s="4"/>
      <c r="BK85" s="4"/>
      <c r="BL85" s="4"/>
      <c r="BM85" s="40"/>
      <c r="BN85" s="40"/>
      <c r="BO85" s="40"/>
      <c r="BP85" s="4"/>
      <c r="BQ85" s="4"/>
      <c r="BR85" s="4"/>
      <c r="BS85" s="4"/>
      <c r="BT85" s="40"/>
      <c r="BU85" s="40"/>
      <c r="BV85" s="40"/>
      <c r="BW85" s="4"/>
      <c r="BX85" s="4"/>
      <c r="BY85" s="4"/>
      <c r="BZ85" s="4"/>
      <c r="CA85" s="40"/>
      <c r="CB85" s="40"/>
      <c r="CC85" s="40"/>
      <c r="CD85" s="4"/>
      <c r="CE85" s="4"/>
      <c r="CF85" s="4"/>
      <c r="CG85" s="4"/>
      <c r="CH85" s="40"/>
      <c r="CI85" s="40"/>
      <c r="CJ85" s="40"/>
      <c r="CK85" s="4"/>
      <c r="CL85" s="4"/>
      <c r="CM85" s="4"/>
      <c r="CN85" s="4"/>
      <c r="CO85" s="40"/>
      <c r="CP85" s="40"/>
      <c r="CQ85" s="40"/>
    </row>
    <row r="86" ht="15.75" customHeight="1">
      <c r="A86" s="4"/>
      <c r="B86" s="4"/>
      <c r="C86" s="4"/>
      <c r="D86" s="4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"/>
      <c r="AB86" s="4"/>
      <c r="AC86" s="4"/>
      <c r="AD86" s="40"/>
      <c r="AE86" s="40"/>
      <c r="AF86" s="40"/>
      <c r="AG86" s="4"/>
      <c r="AH86" s="4"/>
      <c r="AI86" s="4"/>
      <c r="AJ86" s="4"/>
      <c r="AK86" s="40"/>
      <c r="AL86" s="40"/>
      <c r="AM86" s="40"/>
      <c r="AN86" s="4"/>
      <c r="AO86" s="4"/>
      <c r="AP86" s="4"/>
      <c r="AQ86" s="4"/>
      <c r="AR86" s="40"/>
      <c r="AS86" s="40"/>
      <c r="AT86" s="40"/>
      <c r="AU86" s="4"/>
      <c r="AV86" s="4"/>
      <c r="AW86" s="4"/>
      <c r="AX86" s="4"/>
      <c r="AY86" s="40"/>
      <c r="AZ86" s="40"/>
      <c r="BA86" s="40"/>
      <c r="BB86" s="4"/>
      <c r="BC86" s="4"/>
      <c r="BD86" s="4"/>
      <c r="BE86" s="4"/>
      <c r="BF86" s="40"/>
      <c r="BG86" s="40"/>
      <c r="BH86" s="40"/>
      <c r="BI86" s="4"/>
      <c r="BJ86" s="4"/>
      <c r="BK86" s="4"/>
      <c r="BL86" s="4"/>
      <c r="BM86" s="40"/>
      <c r="BN86" s="40"/>
      <c r="BO86" s="40"/>
      <c r="BP86" s="4"/>
      <c r="BQ86" s="4"/>
      <c r="BR86" s="4"/>
      <c r="BS86" s="4"/>
      <c r="BT86" s="40"/>
      <c r="BU86" s="40"/>
      <c r="BV86" s="40"/>
      <c r="BW86" s="4"/>
      <c r="BX86" s="4"/>
      <c r="BY86" s="4"/>
      <c r="BZ86" s="4"/>
      <c r="CA86" s="40"/>
      <c r="CB86" s="40"/>
      <c r="CC86" s="40"/>
      <c r="CD86" s="4"/>
      <c r="CE86" s="4"/>
      <c r="CF86" s="4"/>
      <c r="CG86" s="4"/>
      <c r="CH86" s="40"/>
      <c r="CI86" s="40"/>
      <c r="CJ86" s="40"/>
      <c r="CK86" s="4"/>
      <c r="CL86" s="4"/>
      <c r="CM86" s="4"/>
      <c r="CN86" s="4"/>
      <c r="CO86" s="40"/>
      <c r="CP86" s="40"/>
      <c r="CQ86" s="40"/>
    </row>
    <row r="87" ht="15.75" customHeight="1">
      <c r="A87" s="4"/>
      <c r="B87" s="4"/>
      <c r="C87" s="4"/>
      <c r="D87" s="4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"/>
      <c r="AB87" s="4"/>
      <c r="AC87" s="4"/>
      <c r="AD87" s="40"/>
      <c r="AE87" s="40"/>
      <c r="AF87" s="40"/>
      <c r="AG87" s="4"/>
      <c r="AH87" s="4"/>
      <c r="AI87" s="4"/>
      <c r="AJ87" s="4"/>
      <c r="AK87" s="40"/>
      <c r="AL87" s="40"/>
      <c r="AM87" s="40"/>
      <c r="AN87" s="4"/>
      <c r="AO87" s="4"/>
      <c r="AP87" s="4"/>
      <c r="AQ87" s="4"/>
      <c r="AR87" s="40"/>
      <c r="AS87" s="40"/>
      <c r="AT87" s="40"/>
      <c r="AU87" s="4"/>
      <c r="AV87" s="4"/>
      <c r="AW87" s="4"/>
      <c r="AX87" s="4"/>
      <c r="AY87" s="40"/>
      <c r="AZ87" s="40"/>
      <c r="BA87" s="40"/>
      <c r="BB87" s="4"/>
      <c r="BC87" s="4"/>
      <c r="BD87" s="4"/>
      <c r="BE87" s="4"/>
      <c r="BF87" s="40"/>
      <c r="BG87" s="40"/>
      <c r="BH87" s="40"/>
      <c r="BI87" s="4"/>
      <c r="BJ87" s="4"/>
      <c r="BK87" s="4"/>
      <c r="BL87" s="4"/>
      <c r="BM87" s="40"/>
      <c r="BN87" s="40"/>
      <c r="BO87" s="40"/>
      <c r="BP87" s="4"/>
      <c r="BQ87" s="4"/>
      <c r="BR87" s="4"/>
      <c r="BS87" s="4"/>
      <c r="BT87" s="40"/>
      <c r="BU87" s="40"/>
      <c r="BV87" s="40"/>
      <c r="BW87" s="4"/>
      <c r="BX87" s="4"/>
      <c r="BY87" s="4"/>
      <c r="BZ87" s="4"/>
      <c r="CA87" s="40"/>
      <c r="CB87" s="40"/>
      <c r="CC87" s="40"/>
      <c r="CD87" s="4"/>
      <c r="CE87" s="4"/>
      <c r="CF87" s="4"/>
      <c r="CG87" s="4"/>
      <c r="CH87" s="40"/>
      <c r="CI87" s="40"/>
      <c r="CJ87" s="40"/>
      <c r="CK87" s="4"/>
      <c r="CL87" s="4"/>
      <c r="CM87" s="4"/>
      <c r="CN87" s="4"/>
      <c r="CO87" s="40"/>
      <c r="CP87" s="40"/>
      <c r="CQ87" s="40"/>
    </row>
    <row r="88" ht="15.75" customHeight="1">
      <c r="A88" s="4"/>
      <c r="B88" s="4"/>
      <c r="C88" s="4"/>
      <c r="D88" s="4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"/>
      <c r="AB88" s="4"/>
      <c r="AC88" s="4"/>
      <c r="AD88" s="40"/>
      <c r="AE88" s="40"/>
      <c r="AF88" s="40"/>
      <c r="AG88" s="4"/>
      <c r="AH88" s="4"/>
      <c r="AI88" s="4"/>
      <c r="AJ88" s="4"/>
      <c r="AK88" s="40"/>
      <c r="AL88" s="40"/>
      <c r="AM88" s="40"/>
      <c r="AN88" s="4"/>
      <c r="AO88" s="4"/>
      <c r="AP88" s="4"/>
      <c r="AQ88" s="4"/>
      <c r="AR88" s="40"/>
      <c r="AS88" s="40"/>
      <c r="AT88" s="40"/>
      <c r="AU88" s="4"/>
      <c r="AV88" s="4"/>
      <c r="AW88" s="4"/>
      <c r="AX88" s="4"/>
      <c r="AY88" s="40"/>
      <c r="AZ88" s="40"/>
      <c r="BA88" s="40"/>
      <c r="BB88" s="4"/>
      <c r="BC88" s="4"/>
      <c r="BD88" s="4"/>
      <c r="BE88" s="4"/>
      <c r="BF88" s="40"/>
      <c r="BG88" s="40"/>
      <c r="BH88" s="40"/>
      <c r="BI88" s="4"/>
      <c r="BJ88" s="4"/>
      <c r="BK88" s="4"/>
      <c r="BL88" s="4"/>
      <c r="BM88" s="40"/>
      <c r="BN88" s="40"/>
      <c r="BO88" s="40"/>
      <c r="BP88" s="4"/>
      <c r="BQ88" s="4"/>
      <c r="BR88" s="4"/>
      <c r="BS88" s="4"/>
      <c r="BT88" s="40"/>
      <c r="BU88" s="40"/>
      <c r="BV88" s="40"/>
      <c r="BW88" s="4"/>
      <c r="BX88" s="4"/>
      <c r="BY88" s="4"/>
      <c r="BZ88" s="4"/>
      <c r="CA88" s="40"/>
      <c r="CB88" s="40"/>
      <c r="CC88" s="40"/>
      <c r="CD88" s="4"/>
      <c r="CE88" s="4"/>
      <c r="CF88" s="4"/>
      <c r="CG88" s="4"/>
      <c r="CH88" s="40"/>
      <c r="CI88" s="40"/>
      <c r="CJ88" s="40"/>
      <c r="CK88" s="4"/>
      <c r="CL88" s="4"/>
      <c r="CM88" s="4"/>
      <c r="CN88" s="4"/>
      <c r="CO88" s="40"/>
      <c r="CP88" s="40"/>
      <c r="CQ88" s="40"/>
    </row>
    <row r="89" ht="15.75" customHeight="1">
      <c r="A89" s="4"/>
      <c r="B89" s="4"/>
      <c r="C89" s="4"/>
      <c r="D89" s="4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"/>
      <c r="AB89" s="4"/>
      <c r="AC89" s="4"/>
      <c r="AD89" s="40"/>
      <c r="AE89" s="40"/>
      <c r="AF89" s="40"/>
      <c r="AG89" s="4"/>
      <c r="AH89" s="4"/>
      <c r="AI89" s="4"/>
      <c r="AJ89" s="4"/>
      <c r="AK89" s="40"/>
      <c r="AL89" s="40"/>
      <c r="AM89" s="40"/>
      <c r="AN89" s="4"/>
      <c r="AO89" s="4"/>
      <c r="AP89" s="4"/>
      <c r="AQ89" s="4"/>
      <c r="AR89" s="40"/>
      <c r="AS89" s="40"/>
      <c r="AT89" s="40"/>
      <c r="AU89" s="4"/>
      <c r="AV89" s="4"/>
      <c r="AW89" s="4"/>
      <c r="AX89" s="4"/>
      <c r="AY89" s="40"/>
      <c r="AZ89" s="40"/>
      <c r="BA89" s="40"/>
      <c r="BB89" s="4"/>
      <c r="BC89" s="4"/>
      <c r="BD89" s="4"/>
      <c r="BE89" s="4"/>
      <c r="BF89" s="40"/>
      <c r="BG89" s="40"/>
      <c r="BH89" s="40"/>
      <c r="BI89" s="4"/>
      <c r="BJ89" s="4"/>
      <c r="BK89" s="4"/>
      <c r="BL89" s="4"/>
      <c r="BM89" s="40"/>
      <c r="BN89" s="40"/>
      <c r="BO89" s="40"/>
      <c r="BP89" s="4"/>
      <c r="BQ89" s="4"/>
      <c r="BR89" s="4"/>
      <c r="BS89" s="4"/>
      <c r="BT89" s="40"/>
      <c r="BU89" s="40"/>
      <c r="BV89" s="40"/>
      <c r="BW89" s="4"/>
      <c r="BX89" s="4"/>
      <c r="BY89" s="4"/>
      <c r="BZ89" s="4"/>
      <c r="CA89" s="40"/>
      <c r="CB89" s="40"/>
      <c r="CC89" s="40"/>
      <c r="CD89" s="4"/>
      <c r="CE89" s="4"/>
      <c r="CF89" s="4"/>
      <c r="CG89" s="4"/>
      <c r="CH89" s="40"/>
      <c r="CI89" s="40"/>
      <c r="CJ89" s="40"/>
      <c r="CK89" s="4"/>
      <c r="CL89" s="4"/>
      <c r="CM89" s="4"/>
      <c r="CN89" s="4"/>
      <c r="CO89" s="40"/>
      <c r="CP89" s="40"/>
      <c r="CQ89" s="40"/>
    </row>
    <row r="90" ht="15.75" customHeight="1">
      <c r="A90" s="4"/>
      <c r="B90" s="4"/>
      <c r="C90" s="4"/>
      <c r="D90" s="4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"/>
      <c r="AB90" s="4"/>
      <c r="AC90" s="4"/>
      <c r="AD90" s="40"/>
      <c r="AE90" s="40"/>
      <c r="AF90" s="40"/>
      <c r="AG90" s="4"/>
      <c r="AH90" s="4"/>
      <c r="AI90" s="4"/>
      <c r="AJ90" s="4"/>
      <c r="AK90" s="40"/>
      <c r="AL90" s="40"/>
      <c r="AM90" s="40"/>
      <c r="AN90" s="4"/>
      <c r="AO90" s="4"/>
      <c r="AP90" s="4"/>
      <c r="AQ90" s="4"/>
      <c r="AR90" s="40"/>
      <c r="AS90" s="40"/>
      <c r="AT90" s="40"/>
      <c r="AU90" s="4"/>
      <c r="AV90" s="4"/>
      <c r="AW90" s="4"/>
      <c r="AX90" s="4"/>
      <c r="AY90" s="40"/>
      <c r="AZ90" s="40"/>
      <c r="BA90" s="40"/>
      <c r="BB90" s="4"/>
      <c r="BC90" s="4"/>
      <c r="BD90" s="4"/>
      <c r="BE90" s="4"/>
      <c r="BF90" s="40"/>
      <c r="BG90" s="40"/>
      <c r="BH90" s="40"/>
      <c r="BI90" s="4"/>
      <c r="BJ90" s="4"/>
      <c r="BK90" s="4"/>
      <c r="BL90" s="4"/>
      <c r="BM90" s="40"/>
      <c r="BN90" s="40"/>
      <c r="BO90" s="40"/>
      <c r="BP90" s="4"/>
      <c r="BQ90" s="4"/>
      <c r="BR90" s="4"/>
      <c r="BS90" s="4"/>
      <c r="BT90" s="40"/>
      <c r="BU90" s="40"/>
      <c r="BV90" s="40"/>
      <c r="BW90" s="4"/>
      <c r="BX90" s="4"/>
      <c r="BY90" s="4"/>
      <c r="BZ90" s="4"/>
      <c r="CA90" s="40"/>
      <c r="CB90" s="40"/>
      <c r="CC90" s="40"/>
      <c r="CD90" s="4"/>
      <c r="CE90" s="4"/>
      <c r="CF90" s="4"/>
      <c r="CG90" s="4"/>
      <c r="CH90" s="40"/>
      <c r="CI90" s="40"/>
      <c r="CJ90" s="40"/>
      <c r="CK90" s="4"/>
      <c r="CL90" s="4"/>
      <c r="CM90" s="4"/>
      <c r="CN90" s="4"/>
      <c r="CO90" s="40"/>
      <c r="CP90" s="40"/>
      <c r="CQ90" s="40"/>
    </row>
    <row r="91" ht="15.75" customHeight="1">
      <c r="A91" s="4"/>
      <c r="B91" s="4"/>
      <c r="C91" s="4"/>
      <c r="D91" s="4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"/>
      <c r="AB91" s="4"/>
      <c r="AC91" s="4"/>
      <c r="AD91" s="40"/>
      <c r="AE91" s="40"/>
      <c r="AF91" s="40"/>
      <c r="AG91" s="4"/>
      <c r="AH91" s="4"/>
      <c r="AI91" s="4"/>
      <c r="AJ91" s="4"/>
      <c r="AK91" s="40"/>
      <c r="AL91" s="40"/>
      <c r="AM91" s="40"/>
      <c r="AN91" s="4"/>
      <c r="AO91" s="4"/>
      <c r="AP91" s="4"/>
      <c r="AQ91" s="4"/>
      <c r="AR91" s="40"/>
      <c r="AS91" s="40"/>
      <c r="AT91" s="40"/>
      <c r="AU91" s="4"/>
      <c r="AV91" s="4"/>
      <c r="AW91" s="4"/>
      <c r="AX91" s="4"/>
      <c r="AY91" s="40"/>
      <c r="AZ91" s="40"/>
      <c r="BA91" s="40"/>
      <c r="BB91" s="4"/>
      <c r="BC91" s="4"/>
      <c r="BD91" s="4"/>
      <c r="BE91" s="4"/>
      <c r="BF91" s="40"/>
      <c r="BG91" s="40"/>
      <c r="BH91" s="40"/>
      <c r="BI91" s="4"/>
      <c r="BJ91" s="4"/>
      <c r="BK91" s="4"/>
      <c r="BL91" s="4"/>
      <c r="BM91" s="40"/>
      <c r="BN91" s="40"/>
      <c r="BO91" s="40"/>
      <c r="BP91" s="4"/>
      <c r="BQ91" s="4"/>
      <c r="BR91" s="4"/>
      <c r="BS91" s="4"/>
      <c r="BT91" s="40"/>
      <c r="BU91" s="40"/>
      <c r="BV91" s="40"/>
      <c r="BW91" s="4"/>
      <c r="BX91" s="4"/>
      <c r="BY91" s="4"/>
      <c r="BZ91" s="4"/>
      <c r="CA91" s="40"/>
      <c r="CB91" s="40"/>
      <c r="CC91" s="40"/>
      <c r="CD91" s="4"/>
      <c r="CE91" s="4"/>
      <c r="CF91" s="4"/>
      <c r="CG91" s="4"/>
      <c r="CH91" s="40"/>
      <c r="CI91" s="40"/>
      <c r="CJ91" s="40"/>
      <c r="CK91" s="4"/>
      <c r="CL91" s="4"/>
      <c r="CM91" s="4"/>
      <c r="CN91" s="4"/>
      <c r="CO91" s="40"/>
      <c r="CP91" s="40"/>
      <c r="CQ91" s="40"/>
    </row>
    <row r="92" ht="15.75" customHeight="1">
      <c r="A92" s="4"/>
      <c r="B92" s="4"/>
      <c r="C92" s="4"/>
      <c r="D92" s="4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"/>
      <c r="AB92" s="4"/>
      <c r="AC92" s="4"/>
      <c r="AD92" s="40"/>
      <c r="AE92" s="40"/>
      <c r="AF92" s="40"/>
      <c r="AG92" s="4"/>
      <c r="AH92" s="4"/>
      <c r="AI92" s="4"/>
      <c r="AJ92" s="4"/>
      <c r="AK92" s="40"/>
      <c r="AL92" s="40"/>
      <c r="AM92" s="40"/>
      <c r="AN92" s="4"/>
      <c r="AO92" s="4"/>
      <c r="AP92" s="4"/>
      <c r="AQ92" s="4"/>
      <c r="AR92" s="40"/>
      <c r="AS92" s="40"/>
      <c r="AT92" s="40"/>
      <c r="AU92" s="4"/>
      <c r="AV92" s="4"/>
      <c r="AW92" s="4"/>
      <c r="AX92" s="4"/>
      <c r="AY92" s="40"/>
      <c r="AZ92" s="40"/>
      <c r="BA92" s="40"/>
      <c r="BB92" s="4"/>
      <c r="BC92" s="4"/>
      <c r="BD92" s="4"/>
      <c r="BE92" s="4"/>
      <c r="BF92" s="40"/>
      <c r="BG92" s="40"/>
      <c r="BH92" s="40"/>
      <c r="BI92" s="4"/>
      <c r="BJ92" s="4"/>
      <c r="BK92" s="4"/>
      <c r="BL92" s="4"/>
      <c r="BM92" s="40"/>
      <c r="BN92" s="40"/>
      <c r="BO92" s="40"/>
      <c r="BP92" s="4"/>
      <c r="BQ92" s="4"/>
      <c r="BR92" s="4"/>
      <c r="BS92" s="4"/>
      <c r="BT92" s="40"/>
      <c r="BU92" s="40"/>
      <c r="BV92" s="40"/>
      <c r="BW92" s="4"/>
      <c r="BX92" s="4"/>
      <c r="BY92" s="4"/>
      <c r="BZ92" s="4"/>
      <c r="CA92" s="40"/>
      <c r="CB92" s="40"/>
      <c r="CC92" s="40"/>
      <c r="CD92" s="4"/>
      <c r="CE92" s="4"/>
      <c r="CF92" s="4"/>
      <c r="CG92" s="4"/>
      <c r="CH92" s="40"/>
      <c r="CI92" s="40"/>
      <c r="CJ92" s="40"/>
      <c r="CK92" s="4"/>
      <c r="CL92" s="4"/>
      <c r="CM92" s="4"/>
      <c r="CN92" s="4"/>
      <c r="CO92" s="40"/>
      <c r="CP92" s="40"/>
      <c r="CQ92" s="40"/>
    </row>
    <row r="93" ht="15.75" customHeight="1">
      <c r="A93" s="4"/>
      <c r="B93" s="4"/>
      <c r="C93" s="4"/>
      <c r="D93" s="4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"/>
      <c r="AB93" s="4"/>
      <c r="AC93" s="4"/>
      <c r="AD93" s="40"/>
      <c r="AE93" s="40"/>
      <c r="AF93" s="40"/>
      <c r="AG93" s="4"/>
      <c r="AH93" s="4"/>
      <c r="AI93" s="4"/>
      <c r="AJ93" s="4"/>
      <c r="AK93" s="40"/>
      <c r="AL93" s="40"/>
      <c r="AM93" s="40"/>
      <c r="AN93" s="4"/>
      <c r="AO93" s="4"/>
      <c r="AP93" s="4"/>
      <c r="AQ93" s="4"/>
      <c r="AR93" s="40"/>
      <c r="AS93" s="40"/>
      <c r="AT93" s="40"/>
      <c r="AU93" s="4"/>
      <c r="AV93" s="4"/>
      <c r="AW93" s="4"/>
      <c r="AX93" s="4"/>
      <c r="AY93" s="40"/>
      <c r="AZ93" s="40"/>
      <c r="BA93" s="40"/>
      <c r="BB93" s="4"/>
      <c r="BC93" s="4"/>
      <c r="BD93" s="4"/>
      <c r="BE93" s="4"/>
      <c r="BF93" s="40"/>
      <c r="BG93" s="40"/>
      <c r="BH93" s="40"/>
      <c r="BI93" s="4"/>
      <c r="BJ93" s="4"/>
      <c r="BK93" s="4"/>
      <c r="BL93" s="4"/>
      <c r="BM93" s="40"/>
      <c r="BN93" s="40"/>
      <c r="BO93" s="40"/>
      <c r="BP93" s="4"/>
      <c r="BQ93" s="4"/>
      <c r="BR93" s="4"/>
      <c r="BS93" s="4"/>
      <c r="BT93" s="40"/>
      <c r="BU93" s="40"/>
      <c r="BV93" s="40"/>
      <c r="BW93" s="4"/>
      <c r="BX93" s="4"/>
      <c r="BY93" s="4"/>
      <c r="BZ93" s="4"/>
      <c r="CA93" s="40"/>
      <c r="CB93" s="40"/>
      <c r="CC93" s="40"/>
      <c r="CD93" s="4"/>
      <c r="CE93" s="4"/>
      <c r="CF93" s="4"/>
      <c r="CG93" s="4"/>
      <c r="CH93" s="40"/>
      <c r="CI93" s="40"/>
      <c r="CJ93" s="40"/>
      <c r="CK93" s="4"/>
      <c r="CL93" s="4"/>
      <c r="CM93" s="4"/>
      <c r="CN93" s="4"/>
      <c r="CO93" s="40"/>
      <c r="CP93" s="40"/>
      <c r="CQ93" s="40"/>
    </row>
    <row r="94" ht="15.75" customHeight="1">
      <c r="A94" s="4"/>
      <c r="B94" s="4"/>
      <c r="C94" s="4"/>
      <c r="D94" s="4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"/>
      <c r="AB94" s="4"/>
      <c r="AC94" s="4"/>
      <c r="AD94" s="40"/>
      <c r="AE94" s="40"/>
      <c r="AF94" s="40"/>
      <c r="AG94" s="4"/>
      <c r="AH94" s="4"/>
      <c r="AI94" s="4"/>
      <c r="AJ94" s="4"/>
      <c r="AK94" s="40"/>
      <c r="AL94" s="40"/>
      <c r="AM94" s="40"/>
      <c r="AN94" s="4"/>
      <c r="AO94" s="4"/>
      <c r="AP94" s="4"/>
      <c r="AQ94" s="4"/>
      <c r="AR94" s="40"/>
      <c r="AS94" s="40"/>
      <c r="AT94" s="40"/>
      <c r="AU94" s="4"/>
      <c r="AV94" s="4"/>
      <c r="AW94" s="4"/>
      <c r="AX94" s="4"/>
      <c r="AY94" s="40"/>
      <c r="AZ94" s="40"/>
      <c r="BA94" s="40"/>
      <c r="BB94" s="4"/>
      <c r="BC94" s="4"/>
      <c r="BD94" s="4"/>
      <c r="BE94" s="4"/>
      <c r="BF94" s="40"/>
      <c r="BG94" s="40"/>
      <c r="BH94" s="40"/>
      <c r="BI94" s="4"/>
      <c r="BJ94" s="4"/>
      <c r="BK94" s="4"/>
      <c r="BL94" s="4"/>
      <c r="BM94" s="40"/>
      <c r="BN94" s="40"/>
      <c r="BO94" s="40"/>
      <c r="BP94" s="4"/>
      <c r="BQ94" s="4"/>
      <c r="BR94" s="4"/>
      <c r="BS94" s="4"/>
      <c r="BT94" s="40"/>
      <c r="BU94" s="40"/>
      <c r="BV94" s="40"/>
      <c r="BW94" s="4"/>
      <c r="BX94" s="4"/>
      <c r="BY94" s="4"/>
      <c r="BZ94" s="4"/>
      <c r="CA94" s="40"/>
      <c r="CB94" s="40"/>
      <c r="CC94" s="40"/>
      <c r="CD94" s="4"/>
      <c r="CE94" s="4"/>
      <c r="CF94" s="4"/>
      <c r="CG94" s="4"/>
      <c r="CH94" s="40"/>
      <c r="CI94" s="40"/>
      <c r="CJ94" s="40"/>
      <c r="CK94" s="4"/>
      <c r="CL94" s="4"/>
      <c r="CM94" s="4"/>
      <c r="CN94" s="4"/>
      <c r="CO94" s="40"/>
      <c r="CP94" s="40"/>
      <c r="CQ94" s="40"/>
    </row>
    <row r="95" ht="15.75" customHeight="1">
      <c r="A95" s="4"/>
      <c r="B95" s="4"/>
      <c r="C95" s="4"/>
      <c r="D95" s="4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"/>
      <c r="AB95" s="4"/>
      <c r="AC95" s="4"/>
      <c r="AD95" s="40"/>
      <c r="AE95" s="40"/>
      <c r="AF95" s="40"/>
      <c r="AG95" s="4"/>
      <c r="AH95" s="4"/>
      <c r="AI95" s="4"/>
      <c r="AJ95" s="4"/>
      <c r="AK95" s="40"/>
      <c r="AL95" s="40"/>
      <c r="AM95" s="40"/>
      <c r="AN95" s="4"/>
      <c r="AO95" s="4"/>
      <c r="AP95" s="4"/>
      <c r="AQ95" s="4"/>
      <c r="AR95" s="40"/>
      <c r="AS95" s="40"/>
      <c r="AT95" s="40"/>
      <c r="AU95" s="4"/>
      <c r="AV95" s="4"/>
      <c r="AW95" s="4"/>
      <c r="AX95" s="4"/>
      <c r="AY95" s="40"/>
      <c r="AZ95" s="40"/>
      <c r="BA95" s="40"/>
      <c r="BB95" s="4"/>
      <c r="BC95" s="4"/>
      <c r="BD95" s="4"/>
      <c r="BE95" s="4"/>
      <c r="BF95" s="40"/>
      <c r="BG95" s="40"/>
      <c r="BH95" s="40"/>
      <c r="BI95" s="4"/>
      <c r="BJ95" s="4"/>
      <c r="BK95" s="4"/>
      <c r="BL95" s="4"/>
      <c r="BM95" s="40"/>
      <c r="BN95" s="40"/>
      <c r="BO95" s="40"/>
      <c r="BP95" s="4"/>
      <c r="BQ95" s="4"/>
      <c r="BR95" s="4"/>
      <c r="BS95" s="4"/>
      <c r="BT95" s="40"/>
      <c r="BU95" s="40"/>
      <c r="BV95" s="40"/>
      <c r="BW95" s="4"/>
      <c r="BX95" s="4"/>
      <c r="BY95" s="4"/>
      <c r="BZ95" s="4"/>
      <c r="CA95" s="40"/>
      <c r="CB95" s="40"/>
      <c r="CC95" s="40"/>
      <c r="CD95" s="4"/>
      <c r="CE95" s="4"/>
      <c r="CF95" s="4"/>
      <c r="CG95" s="4"/>
      <c r="CH95" s="40"/>
      <c r="CI95" s="40"/>
      <c r="CJ95" s="40"/>
      <c r="CK95" s="4"/>
      <c r="CL95" s="4"/>
      <c r="CM95" s="4"/>
      <c r="CN95" s="4"/>
      <c r="CO95" s="40"/>
      <c r="CP95" s="40"/>
      <c r="CQ95" s="40"/>
    </row>
    <row r="96" ht="15.75" customHeight="1">
      <c r="A96" s="4"/>
      <c r="B96" s="4"/>
      <c r="C96" s="4"/>
      <c r="D96" s="4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"/>
      <c r="AB96" s="4"/>
      <c r="AC96" s="4"/>
      <c r="AD96" s="40"/>
      <c r="AE96" s="40"/>
      <c r="AF96" s="40"/>
      <c r="AG96" s="4"/>
      <c r="AH96" s="4"/>
      <c r="AI96" s="4"/>
      <c r="AJ96" s="4"/>
      <c r="AK96" s="40"/>
      <c r="AL96" s="40"/>
      <c r="AM96" s="40"/>
      <c r="AN96" s="4"/>
      <c r="AO96" s="4"/>
      <c r="AP96" s="4"/>
      <c r="AQ96" s="4"/>
      <c r="AR96" s="40"/>
      <c r="AS96" s="40"/>
      <c r="AT96" s="40"/>
      <c r="AU96" s="4"/>
      <c r="AV96" s="4"/>
      <c r="AW96" s="4"/>
      <c r="AX96" s="4"/>
      <c r="AY96" s="40"/>
      <c r="AZ96" s="40"/>
      <c r="BA96" s="40"/>
      <c r="BB96" s="4"/>
      <c r="BC96" s="4"/>
      <c r="BD96" s="4"/>
      <c r="BE96" s="4"/>
      <c r="BF96" s="40"/>
      <c r="BG96" s="40"/>
      <c r="BH96" s="40"/>
      <c r="BI96" s="4"/>
      <c r="BJ96" s="4"/>
      <c r="BK96" s="4"/>
      <c r="BL96" s="4"/>
      <c r="BM96" s="40"/>
      <c r="BN96" s="40"/>
      <c r="BO96" s="40"/>
      <c r="BP96" s="4"/>
      <c r="BQ96" s="4"/>
      <c r="BR96" s="4"/>
      <c r="BS96" s="4"/>
      <c r="BT96" s="40"/>
      <c r="BU96" s="40"/>
      <c r="BV96" s="40"/>
      <c r="BW96" s="4"/>
      <c r="BX96" s="4"/>
      <c r="BY96" s="4"/>
      <c r="BZ96" s="4"/>
      <c r="CA96" s="40"/>
      <c r="CB96" s="40"/>
      <c r="CC96" s="40"/>
      <c r="CD96" s="4"/>
      <c r="CE96" s="4"/>
      <c r="CF96" s="4"/>
      <c r="CG96" s="4"/>
      <c r="CH96" s="40"/>
      <c r="CI96" s="40"/>
      <c r="CJ96" s="40"/>
      <c r="CK96" s="4"/>
      <c r="CL96" s="4"/>
      <c r="CM96" s="4"/>
      <c r="CN96" s="4"/>
      <c r="CO96" s="40"/>
      <c r="CP96" s="40"/>
      <c r="CQ96" s="40"/>
    </row>
    <row r="97" ht="15.75" customHeight="1">
      <c r="A97" s="4"/>
      <c r="B97" s="4"/>
      <c r="C97" s="4"/>
      <c r="D97" s="4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"/>
      <c r="AB97" s="4"/>
      <c r="AC97" s="4"/>
      <c r="AD97" s="40"/>
      <c r="AE97" s="40"/>
      <c r="AF97" s="40"/>
      <c r="AG97" s="4"/>
      <c r="AH97" s="4"/>
      <c r="AI97" s="4"/>
      <c r="AJ97" s="4"/>
      <c r="AK97" s="40"/>
      <c r="AL97" s="40"/>
      <c r="AM97" s="40"/>
      <c r="AN97" s="4"/>
      <c r="AO97" s="4"/>
      <c r="AP97" s="4"/>
      <c r="AQ97" s="4"/>
      <c r="AR97" s="40"/>
      <c r="AS97" s="40"/>
      <c r="AT97" s="40"/>
      <c r="AU97" s="4"/>
      <c r="AV97" s="4"/>
      <c r="AW97" s="4"/>
      <c r="AX97" s="4"/>
      <c r="AY97" s="40"/>
      <c r="AZ97" s="40"/>
      <c r="BA97" s="40"/>
      <c r="BB97" s="4"/>
      <c r="BC97" s="4"/>
      <c r="BD97" s="4"/>
      <c r="BE97" s="4"/>
      <c r="BF97" s="40"/>
      <c r="BG97" s="40"/>
      <c r="BH97" s="40"/>
      <c r="BI97" s="4"/>
      <c r="BJ97" s="4"/>
      <c r="BK97" s="4"/>
      <c r="BL97" s="4"/>
      <c r="BM97" s="40"/>
      <c r="BN97" s="40"/>
      <c r="BO97" s="40"/>
      <c r="BP97" s="4"/>
      <c r="BQ97" s="4"/>
      <c r="BR97" s="4"/>
      <c r="BS97" s="4"/>
      <c r="BT97" s="40"/>
      <c r="BU97" s="40"/>
      <c r="BV97" s="40"/>
      <c r="BW97" s="4"/>
      <c r="BX97" s="4"/>
      <c r="BY97" s="4"/>
      <c r="BZ97" s="4"/>
      <c r="CA97" s="40"/>
      <c r="CB97" s="40"/>
      <c r="CC97" s="40"/>
      <c r="CD97" s="4"/>
      <c r="CE97" s="4"/>
      <c r="CF97" s="4"/>
      <c r="CG97" s="4"/>
      <c r="CH97" s="40"/>
      <c r="CI97" s="40"/>
      <c r="CJ97" s="40"/>
      <c r="CK97" s="4"/>
      <c r="CL97" s="4"/>
      <c r="CM97" s="4"/>
      <c r="CN97" s="4"/>
      <c r="CO97" s="40"/>
      <c r="CP97" s="40"/>
      <c r="CQ97" s="40"/>
    </row>
    <row r="98" ht="15.75" customHeight="1">
      <c r="A98" s="4"/>
      <c r="B98" s="4"/>
      <c r="C98" s="4"/>
      <c r="D98" s="4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"/>
      <c r="AB98" s="4"/>
      <c r="AC98" s="4"/>
      <c r="AD98" s="40"/>
      <c r="AE98" s="40"/>
      <c r="AF98" s="40"/>
      <c r="AG98" s="4"/>
      <c r="AH98" s="4"/>
      <c r="AI98" s="4"/>
      <c r="AJ98" s="4"/>
      <c r="AK98" s="40"/>
      <c r="AL98" s="40"/>
      <c r="AM98" s="40"/>
      <c r="AN98" s="4"/>
      <c r="AO98" s="4"/>
      <c r="AP98" s="4"/>
      <c r="AQ98" s="4"/>
      <c r="AR98" s="40"/>
      <c r="AS98" s="40"/>
      <c r="AT98" s="40"/>
      <c r="AU98" s="4"/>
      <c r="AV98" s="4"/>
      <c r="AW98" s="4"/>
      <c r="AX98" s="4"/>
      <c r="AY98" s="40"/>
      <c r="AZ98" s="40"/>
      <c r="BA98" s="40"/>
      <c r="BB98" s="4"/>
      <c r="BC98" s="4"/>
      <c r="BD98" s="4"/>
      <c r="BE98" s="4"/>
      <c r="BF98" s="40"/>
      <c r="BG98" s="40"/>
      <c r="BH98" s="40"/>
      <c r="BI98" s="4"/>
      <c r="BJ98" s="4"/>
      <c r="BK98" s="4"/>
      <c r="BL98" s="4"/>
      <c r="BM98" s="40"/>
      <c r="BN98" s="40"/>
      <c r="BO98" s="40"/>
      <c r="BP98" s="4"/>
      <c r="BQ98" s="4"/>
      <c r="BR98" s="4"/>
      <c r="BS98" s="4"/>
      <c r="BT98" s="40"/>
      <c r="BU98" s="40"/>
      <c r="BV98" s="40"/>
      <c r="BW98" s="4"/>
      <c r="BX98" s="4"/>
      <c r="BY98" s="4"/>
      <c r="BZ98" s="4"/>
      <c r="CA98" s="40"/>
      <c r="CB98" s="40"/>
      <c r="CC98" s="40"/>
      <c r="CD98" s="4"/>
      <c r="CE98" s="4"/>
      <c r="CF98" s="4"/>
      <c r="CG98" s="4"/>
      <c r="CH98" s="40"/>
      <c r="CI98" s="40"/>
      <c r="CJ98" s="40"/>
      <c r="CK98" s="4"/>
      <c r="CL98" s="4"/>
      <c r="CM98" s="4"/>
      <c r="CN98" s="4"/>
      <c r="CO98" s="40"/>
      <c r="CP98" s="40"/>
      <c r="CQ98" s="40"/>
    </row>
    <row r="99" ht="15.75" customHeight="1">
      <c r="A99" s="4"/>
      <c r="B99" s="4"/>
      <c r="C99" s="4"/>
      <c r="D99" s="4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"/>
      <c r="AB99" s="4"/>
      <c r="AC99" s="4"/>
      <c r="AD99" s="40"/>
      <c r="AE99" s="40"/>
      <c r="AF99" s="40"/>
      <c r="AG99" s="4"/>
      <c r="AH99" s="4"/>
      <c r="AI99" s="4"/>
      <c r="AJ99" s="4"/>
      <c r="AK99" s="40"/>
      <c r="AL99" s="40"/>
      <c r="AM99" s="40"/>
      <c r="AN99" s="4"/>
      <c r="AO99" s="4"/>
      <c r="AP99" s="4"/>
      <c r="AQ99" s="4"/>
      <c r="AR99" s="40"/>
      <c r="AS99" s="40"/>
      <c r="AT99" s="40"/>
      <c r="AU99" s="4"/>
      <c r="AV99" s="4"/>
      <c r="AW99" s="4"/>
      <c r="AX99" s="4"/>
      <c r="AY99" s="40"/>
      <c r="AZ99" s="40"/>
      <c r="BA99" s="40"/>
      <c r="BB99" s="4"/>
      <c r="BC99" s="4"/>
      <c r="BD99" s="4"/>
      <c r="BE99" s="4"/>
      <c r="BF99" s="40"/>
      <c r="BG99" s="40"/>
      <c r="BH99" s="40"/>
      <c r="BI99" s="4"/>
      <c r="BJ99" s="4"/>
      <c r="BK99" s="4"/>
      <c r="BL99" s="4"/>
      <c r="BM99" s="40"/>
      <c r="BN99" s="40"/>
      <c r="BO99" s="40"/>
      <c r="BP99" s="4"/>
      <c r="BQ99" s="4"/>
      <c r="BR99" s="4"/>
      <c r="BS99" s="4"/>
      <c r="BT99" s="40"/>
      <c r="BU99" s="40"/>
      <c r="BV99" s="40"/>
      <c r="BW99" s="4"/>
      <c r="BX99" s="4"/>
      <c r="BY99" s="4"/>
      <c r="BZ99" s="4"/>
      <c r="CA99" s="40"/>
      <c r="CB99" s="40"/>
      <c r="CC99" s="40"/>
      <c r="CD99" s="4"/>
      <c r="CE99" s="4"/>
      <c r="CF99" s="4"/>
      <c r="CG99" s="4"/>
      <c r="CH99" s="40"/>
      <c r="CI99" s="40"/>
      <c r="CJ99" s="40"/>
      <c r="CK99" s="4"/>
      <c r="CL99" s="4"/>
      <c r="CM99" s="4"/>
      <c r="CN99" s="4"/>
      <c r="CO99" s="40"/>
      <c r="CP99" s="40"/>
      <c r="CQ99" s="40"/>
    </row>
    <row r="100" ht="15.75" customHeight="1">
      <c r="A100" s="4"/>
      <c r="B100" s="4"/>
      <c r="C100" s="4"/>
      <c r="D100" s="4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"/>
      <c r="AB100" s="4"/>
      <c r="AC100" s="4"/>
      <c r="AD100" s="40"/>
      <c r="AE100" s="40"/>
      <c r="AF100" s="40"/>
      <c r="AG100" s="4"/>
      <c r="AH100" s="4"/>
      <c r="AI100" s="4"/>
      <c r="AJ100" s="4"/>
      <c r="AK100" s="40"/>
      <c r="AL100" s="40"/>
      <c r="AM100" s="40"/>
      <c r="AN100" s="4"/>
      <c r="AO100" s="4"/>
      <c r="AP100" s="4"/>
      <c r="AQ100" s="4"/>
      <c r="AR100" s="40"/>
      <c r="AS100" s="40"/>
      <c r="AT100" s="40"/>
      <c r="AU100" s="4"/>
      <c r="AV100" s="4"/>
      <c r="AW100" s="4"/>
      <c r="AX100" s="4"/>
      <c r="AY100" s="40"/>
      <c r="AZ100" s="40"/>
      <c r="BA100" s="40"/>
      <c r="BB100" s="4"/>
      <c r="BC100" s="4"/>
      <c r="BD100" s="4"/>
      <c r="BE100" s="4"/>
      <c r="BF100" s="40"/>
      <c r="BG100" s="40"/>
      <c r="BH100" s="40"/>
      <c r="BI100" s="4"/>
      <c r="BJ100" s="4"/>
      <c r="BK100" s="4"/>
      <c r="BL100" s="4"/>
      <c r="BM100" s="40"/>
      <c r="BN100" s="40"/>
      <c r="BO100" s="40"/>
      <c r="BP100" s="4"/>
      <c r="BQ100" s="4"/>
      <c r="BR100" s="4"/>
      <c r="BS100" s="4"/>
      <c r="BT100" s="40"/>
      <c r="BU100" s="40"/>
      <c r="BV100" s="40"/>
      <c r="BW100" s="4"/>
      <c r="BX100" s="4"/>
      <c r="BY100" s="4"/>
      <c r="BZ100" s="4"/>
      <c r="CA100" s="40"/>
      <c r="CB100" s="40"/>
      <c r="CC100" s="40"/>
      <c r="CD100" s="4"/>
      <c r="CE100" s="4"/>
      <c r="CF100" s="4"/>
      <c r="CG100" s="4"/>
      <c r="CH100" s="40"/>
      <c r="CI100" s="40"/>
      <c r="CJ100" s="40"/>
      <c r="CK100" s="4"/>
      <c r="CL100" s="4"/>
      <c r="CM100" s="4"/>
      <c r="CN100" s="4"/>
      <c r="CO100" s="40"/>
      <c r="CP100" s="40"/>
      <c r="CQ100" s="40"/>
    </row>
    <row r="101" ht="15.75" customHeight="1">
      <c r="A101" s="4"/>
      <c r="B101" s="4"/>
      <c r="C101" s="4"/>
      <c r="D101" s="4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"/>
      <c r="AB101" s="4"/>
      <c r="AC101" s="4"/>
      <c r="AD101" s="40"/>
      <c r="AE101" s="40"/>
      <c r="AF101" s="40"/>
      <c r="AG101" s="4"/>
      <c r="AH101" s="4"/>
      <c r="AI101" s="4"/>
      <c r="AJ101" s="4"/>
      <c r="AK101" s="40"/>
      <c r="AL101" s="40"/>
      <c r="AM101" s="40"/>
      <c r="AN101" s="4"/>
      <c r="AO101" s="4"/>
      <c r="AP101" s="4"/>
      <c r="AQ101" s="4"/>
      <c r="AR101" s="40"/>
      <c r="AS101" s="40"/>
      <c r="AT101" s="40"/>
      <c r="AU101" s="4"/>
      <c r="AV101" s="4"/>
      <c r="AW101" s="4"/>
      <c r="AX101" s="4"/>
      <c r="AY101" s="40"/>
      <c r="AZ101" s="40"/>
      <c r="BA101" s="40"/>
      <c r="BB101" s="4"/>
      <c r="BC101" s="4"/>
      <c r="BD101" s="4"/>
      <c r="BE101" s="4"/>
      <c r="BF101" s="40"/>
      <c r="BG101" s="40"/>
      <c r="BH101" s="40"/>
      <c r="BI101" s="4"/>
      <c r="BJ101" s="4"/>
      <c r="BK101" s="4"/>
      <c r="BL101" s="4"/>
      <c r="BM101" s="40"/>
      <c r="BN101" s="40"/>
      <c r="BO101" s="40"/>
      <c r="BP101" s="4"/>
      <c r="BQ101" s="4"/>
      <c r="BR101" s="4"/>
      <c r="BS101" s="4"/>
      <c r="BT101" s="40"/>
      <c r="BU101" s="40"/>
      <c r="BV101" s="40"/>
      <c r="BW101" s="4"/>
      <c r="BX101" s="4"/>
      <c r="BY101" s="4"/>
      <c r="BZ101" s="4"/>
      <c r="CA101" s="40"/>
      <c r="CB101" s="40"/>
      <c r="CC101" s="40"/>
      <c r="CD101" s="4"/>
      <c r="CE101" s="4"/>
      <c r="CF101" s="4"/>
      <c r="CG101" s="4"/>
      <c r="CH101" s="40"/>
      <c r="CI101" s="40"/>
      <c r="CJ101" s="40"/>
      <c r="CK101" s="4"/>
      <c r="CL101" s="4"/>
      <c r="CM101" s="4"/>
      <c r="CN101" s="4"/>
      <c r="CO101" s="40"/>
      <c r="CP101" s="40"/>
      <c r="CQ101" s="40"/>
    </row>
    <row r="102" ht="15.75" customHeight="1">
      <c r="A102" s="4"/>
      <c r="B102" s="4"/>
      <c r="C102" s="4"/>
      <c r="D102" s="4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"/>
      <c r="AB102" s="4"/>
      <c r="AC102" s="4"/>
      <c r="AD102" s="40"/>
      <c r="AE102" s="40"/>
      <c r="AF102" s="40"/>
      <c r="AG102" s="4"/>
      <c r="AH102" s="4"/>
      <c r="AI102" s="4"/>
      <c r="AJ102" s="4"/>
      <c r="AK102" s="40"/>
      <c r="AL102" s="40"/>
      <c r="AM102" s="40"/>
      <c r="AN102" s="4"/>
      <c r="AO102" s="4"/>
      <c r="AP102" s="4"/>
      <c r="AQ102" s="4"/>
      <c r="AR102" s="40"/>
      <c r="AS102" s="40"/>
      <c r="AT102" s="40"/>
      <c r="AU102" s="4"/>
      <c r="AV102" s="4"/>
      <c r="AW102" s="4"/>
      <c r="AX102" s="4"/>
      <c r="AY102" s="40"/>
      <c r="AZ102" s="40"/>
      <c r="BA102" s="40"/>
      <c r="BB102" s="4"/>
      <c r="BC102" s="4"/>
      <c r="BD102" s="4"/>
      <c r="BE102" s="4"/>
      <c r="BF102" s="40"/>
      <c r="BG102" s="40"/>
      <c r="BH102" s="40"/>
      <c r="BI102" s="4"/>
      <c r="BJ102" s="4"/>
      <c r="BK102" s="4"/>
      <c r="BL102" s="4"/>
      <c r="BM102" s="40"/>
      <c r="BN102" s="40"/>
      <c r="BO102" s="40"/>
      <c r="BP102" s="4"/>
      <c r="BQ102" s="4"/>
      <c r="BR102" s="4"/>
      <c r="BS102" s="4"/>
      <c r="BT102" s="40"/>
      <c r="BU102" s="40"/>
      <c r="BV102" s="40"/>
      <c r="BW102" s="4"/>
      <c r="BX102" s="4"/>
      <c r="BY102" s="4"/>
      <c r="BZ102" s="4"/>
      <c r="CA102" s="40"/>
      <c r="CB102" s="40"/>
      <c r="CC102" s="40"/>
      <c r="CD102" s="4"/>
      <c r="CE102" s="4"/>
      <c r="CF102" s="4"/>
      <c r="CG102" s="4"/>
      <c r="CH102" s="40"/>
      <c r="CI102" s="40"/>
      <c r="CJ102" s="40"/>
      <c r="CK102" s="4"/>
      <c r="CL102" s="4"/>
      <c r="CM102" s="4"/>
      <c r="CN102" s="4"/>
      <c r="CO102" s="40"/>
      <c r="CP102" s="40"/>
      <c r="CQ102" s="40"/>
    </row>
    <row r="103" ht="15.75" customHeight="1">
      <c r="A103" s="4"/>
      <c r="B103" s="4"/>
      <c r="C103" s="4"/>
      <c r="D103" s="4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"/>
      <c r="AB103" s="4"/>
      <c r="AC103" s="4"/>
      <c r="AD103" s="40"/>
      <c r="AE103" s="40"/>
      <c r="AF103" s="40"/>
      <c r="AG103" s="4"/>
      <c r="AH103" s="4"/>
      <c r="AI103" s="4"/>
      <c r="AJ103" s="4"/>
      <c r="AK103" s="40"/>
      <c r="AL103" s="40"/>
      <c r="AM103" s="40"/>
      <c r="AN103" s="4"/>
      <c r="AO103" s="4"/>
      <c r="AP103" s="4"/>
      <c r="AQ103" s="4"/>
      <c r="AR103" s="40"/>
      <c r="AS103" s="40"/>
      <c r="AT103" s="40"/>
      <c r="AU103" s="4"/>
      <c r="AV103" s="4"/>
      <c r="AW103" s="4"/>
      <c r="AX103" s="4"/>
      <c r="AY103" s="40"/>
      <c r="AZ103" s="40"/>
      <c r="BA103" s="40"/>
      <c r="BB103" s="4"/>
      <c r="BC103" s="4"/>
      <c r="BD103" s="4"/>
      <c r="BE103" s="4"/>
      <c r="BF103" s="40"/>
      <c r="BG103" s="40"/>
      <c r="BH103" s="40"/>
      <c r="BI103" s="4"/>
      <c r="BJ103" s="4"/>
      <c r="BK103" s="4"/>
      <c r="BL103" s="4"/>
      <c r="BM103" s="40"/>
      <c r="BN103" s="40"/>
      <c r="BO103" s="40"/>
      <c r="BP103" s="4"/>
      <c r="BQ103" s="4"/>
      <c r="BR103" s="4"/>
      <c r="BS103" s="4"/>
      <c r="BT103" s="40"/>
      <c r="BU103" s="40"/>
      <c r="BV103" s="40"/>
      <c r="BW103" s="4"/>
      <c r="BX103" s="4"/>
      <c r="BY103" s="4"/>
      <c r="BZ103" s="4"/>
      <c r="CA103" s="40"/>
      <c r="CB103" s="40"/>
      <c r="CC103" s="40"/>
      <c r="CD103" s="4"/>
      <c r="CE103" s="4"/>
      <c r="CF103" s="4"/>
      <c r="CG103" s="4"/>
      <c r="CH103" s="40"/>
      <c r="CI103" s="40"/>
      <c r="CJ103" s="40"/>
      <c r="CK103" s="4"/>
      <c r="CL103" s="4"/>
      <c r="CM103" s="4"/>
      <c r="CN103" s="4"/>
      <c r="CO103" s="40"/>
      <c r="CP103" s="40"/>
      <c r="CQ103" s="40"/>
    </row>
    <row r="104" ht="15.75" customHeight="1">
      <c r="A104" s="4"/>
      <c r="B104" s="4"/>
      <c r="C104" s="4"/>
      <c r="D104" s="4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"/>
      <c r="AB104" s="4"/>
      <c r="AC104" s="4"/>
      <c r="AD104" s="40"/>
      <c r="AE104" s="40"/>
      <c r="AF104" s="40"/>
      <c r="AG104" s="4"/>
      <c r="AH104" s="4"/>
      <c r="AI104" s="4"/>
      <c r="AJ104" s="4"/>
      <c r="AK104" s="40"/>
      <c r="AL104" s="40"/>
      <c r="AM104" s="40"/>
      <c r="AN104" s="4"/>
      <c r="AO104" s="4"/>
      <c r="AP104" s="4"/>
      <c r="AQ104" s="4"/>
      <c r="AR104" s="40"/>
      <c r="AS104" s="40"/>
      <c r="AT104" s="40"/>
      <c r="AU104" s="4"/>
      <c r="AV104" s="4"/>
      <c r="AW104" s="4"/>
      <c r="AX104" s="4"/>
      <c r="AY104" s="40"/>
      <c r="AZ104" s="40"/>
      <c r="BA104" s="40"/>
      <c r="BB104" s="4"/>
      <c r="BC104" s="4"/>
      <c r="BD104" s="4"/>
      <c r="BE104" s="4"/>
      <c r="BF104" s="40"/>
      <c r="BG104" s="40"/>
      <c r="BH104" s="40"/>
      <c r="BI104" s="4"/>
      <c r="BJ104" s="4"/>
      <c r="BK104" s="4"/>
      <c r="BL104" s="4"/>
      <c r="BM104" s="40"/>
      <c r="BN104" s="40"/>
      <c r="BO104" s="40"/>
      <c r="BP104" s="4"/>
      <c r="BQ104" s="4"/>
      <c r="BR104" s="4"/>
      <c r="BS104" s="4"/>
      <c r="BT104" s="40"/>
      <c r="BU104" s="40"/>
      <c r="BV104" s="40"/>
      <c r="BW104" s="4"/>
      <c r="BX104" s="4"/>
      <c r="BY104" s="4"/>
      <c r="BZ104" s="4"/>
      <c r="CA104" s="40"/>
      <c r="CB104" s="40"/>
      <c r="CC104" s="40"/>
      <c r="CD104" s="4"/>
      <c r="CE104" s="4"/>
      <c r="CF104" s="4"/>
      <c r="CG104" s="4"/>
      <c r="CH104" s="40"/>
      <c r="CI104" s="40"/>
      <c r="CJ104" s="40"/>
      <c r="CK104" s="4"/>
      <c r="CL104" s="4"/>
      <c r="CM104" s="4"/>
      <c r="CN104" s="4"/>
      <c r="CO104" s="40"/>
      <c r="CP104" s="40"/>
      <c r="CQ104" s="40"/>
    </row>
    <row r="105" ht="15.75" customHeight="1">
      <c r="A105" s="4"/>
      <c r="B105" s="4"/>
      <c r="C105" s="4"/>
      <c r="D105" s="4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"/>
      <c r="AB105" s="4"/>
      <c r="AC105" s="4"/>
      <c r="AD105" s="40"/>
      <c r="AE105" s="40"/>
      <c r="AF105" s="40"/>
      <c r="AG105" s="4"/>
      <c r="AH105" s="4"/>
      <c r="AI105" s="4"/>
      <c r="AJ105" s="4"/>
      <c r="AK105" s="40"/>
      <c r="AL105" s="40"/>
      <c r="AM105" s="40"/>
      <c r="AN105" s="4"/>
      <c r="AO105" s="4"/>
      <c r="AP105" s="4"/>
      <c r="AQ105" s="4"/>
      <c r="AR105" s="40"/>
      <c r="AS105" s="40"/>
      <c r="AT105" s="40"/>
      <c r="AU105" s="4"/>
      <c r="AV105" s="4"/>
      <c r="AW105" s="4"/>
      <c r="AX105" s="4"/>
      <c r="AY105" s="40"/>
      <c r="AZ105" s="40"/>
      <c r="BA105" s="40"/>
      <c r="BB105" s="4"/>
      <c r="BC105" s="4"/>
      <c r="BD105" s="4"/>
      <c r="BE105" s="4"/>
      <c r="BF105" s="40"/>
      <c r="BG105" s="40"/>
      <c r="BH105" s="40"/>
      <c r="BI105" s="4"/>
      <c r="BJ105" s="4"/>
      <c r="BK105" s="4"/>
      <c r="BL105" s="4"/>
      <c r="BM105" s="40"/>
      <c r="BN105" s="40"/>
      <c r="BO105" s="40"/>
      <c r="BP105" s="4"/>
      <c r="BQ105" s="4"/>
      <c r="BR105" s="4"/>
      <c r="BS105" s="4"/>
      <c r="BT105" s="40"/>
      <c r="BU105" s="40"/>
      <c r="BV105" s="40"/>
      <c r="BW105" s="4"/>
      <c r="BX105" s="4"/>
      <c r="BY105" s="4"/>
      <c r="BZ105" s="4"/>
      <c r="CA105" s="40"/>
      <c r="CB105" s="40"/>
      <c r="CC105" s="40"/>
      <c r="CD105" s="4"/>
      <c r="CE105" s="4"/>
      <c r="CF105" s="4"/>
      <c r="CG105" s="4"/>
      <c r="CH105" s="40"/>
      <c r="CI105" s="40"/>
      <c r="CJ105" s="40"/>
      <c r="CK105" s="4"/>
      <c r="CL105" s="4"/>
      <c r="CM105" s="4"/>
      <c r="CN105" s="4"/>
      <c r="CO105" s="40"/>
      <c r="CP105" s="40"/>
      <c r="CQ105" s="40"/>
    </row>
    <row r="106" ht="15.75" customHeight="1">
      <c r="A106" s="4"/>
      <c r="B106" s="4"/>
      <c r="C106" s="4"/>
      <c r="D106" s="4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"/>
      <c r="AB106" s="4"/>
      <c r="AC106" s="4"/>
      <c r="AD106" s="40"/>
      <c r="AE106" s="40"/>
      <c r="AF106" s="40"/>
      <c r="AG106" s="4"/>
      <c r="AH106" s="4"/>
      <c r="AI106" s="4"/>
      <c r="AJ106" s="4"/>
      <c r="AK106" s="40"/>
      <c r="AL106" s="40"/>
      <c r="AM106" s="40"/>
      <c r="AN106" s="4"/>
      <c r="AO106" s="4"/>
      <c r="AP106" s="4"/>
      <c r="AQ106" s="4"/>
      <c r="AR106" s="40"/>
      <c r="AS106" s="40"/>
      <c r="AT106" s="40"/>
      <c r="AU106" s="4"/>
      <c r="AV106" s="4"/>
      <c r="AW106" s="4"/>
      <c r="AX106" s="4"/>
      <c r="AY106" s="40"/>
      <c r="AZ106" s="40"/>
      <c r="BA106" s="40"/>
      <c r="BB106" s="4"/>
      <c r="BC106" s="4"/>
      <c r="BD106" s="4"/>
      <c r="BE106" s="4"/>
      <c r="BF106" s="40"/>
      <c r="BG106" s="40"/>
      <c r="BH106" s="40"/>
      <c r="BI106" s="4"/>
      <c r="BJ106" s="4"/>
      <c r="BK106" s="4"/>
      <c r="BL106" s="4"/>
      <c r="BM106" s="40"/>
      <c r="BN106" s="40"/>
      <c r="BO106" s="40"/>
      <c r="BP106" s="4"/>
      <c r="BQ106" s="4"/>
      <c r="BR106" s="4"/>
      <c r="BS106" s="4"/>
      <c r="BT106" s="40"/>
      <c r="BU106" s="40"/>
      <c r="BV106" s="40"/>
      <c r="BW106" s="4"/>
      <c r="BX106" s="4"/>
      <c r="BY106" s="4"/>
      <c r="BZ106" s="4"/>
      <c r="CA106" s="40"/>
      <c r="CB106" s="40"/>
      <c r="CC106" s="40"/>
      <c r="CD106" s="4"/>
      <c r="CE106" s="4"/>
      <c r="CF106" s="4"/>
      <c r="CG106" s="4"/>
      <c r="CH106" s="40"/>
      <c r="CI106" s="40"/>
      <c r="CJ106" s="40"/>
      <c r="CK106" s="4"/>
      <c r="CL106" s="4"/>
      <c r="CM106" s="4"/>
      <c r="CN106" s="4"/>
      <c r="CO106" s="40"/>
      <c r="CP106" s="40"/>
      <c r="CQ106" s="40"/>
    </row>
    <row r="107" ht="15.75" customHeight="1">
      <c r="A107" s="4"/>
      <c r="B107" s="4"/>
      <c r="C107" s="4"/>
      <c r="D107" s="4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"/>
      <c r="AB107" s="4"/>
      <c r="AC107" s="4"/>
      <c r="AD107" s="40"/>
      <c r="AE107" s="40"/>
      <c r="AF107" s="40"/>
      <c r="AG107" s="4"/>
      <c r="AH107" s="4"/>
      <c r="AI107" s="4"/>
      <c r="AJ107" s="4"/>
      <c r="AK107" s="40"/>
      <c r="AL107" s="40"/>
      <c r="AM107" s="40"/>
      <c r="AN107" s="4"/>
      <c r="AO107" s="4"/>
      <c r="AP107" s="4"/>
      <c r="AQ107" s="4"/>
      <c r="AR107" s="40"/>
      <c r="AS107" s="40"/>
      <c r="AT107" s="40"/>
      <c r="AU107" s="4"/>
      <c r="AV107" s="4"/>
      <c r="AW107" s="4"/>
      <c r="AX107" s="4"/>
      <c r="AY107" s="40"/>
      <c r="AZ107" s="40"/>
      <c r="BA107" s="40"/>
      <c r="BB107" s="4"/>
      <c r="BC107" s="4"/>
      <c r="BD107" s="4"/>
      <c r="BE107" s="4"/>
      <c r="BF107" s="40"/>
      <c r="BG107" s="40"/>
      <c r="BH107" s="40"/>
      <c r="BI107" s="4"/>
      <c r="BJ107" s="4"/>
      <c r="BK107" s="4"/>
      <c r="BL107" s="4"/>
      <c r="BM107" s="40"/>
      <c r="BN107" s="40"/>
      <c r="BO107" s="40"/>
      <c r="BP107" s="4"/>
      <c r="BQ107" s="4"/>
      <c r="BR107" s="4"/>
      <c r="BS107" s="4"/>
      <c r="BT107" s="40"/>
      <c r="BU107" s="40"/>
      <c r="BV107" s="40"/>
      <c r="BW107" s="4"/>
      <c r="BX107" s="4"/>
      <c r="BY107" s="4"/>
      <c r="BZ107" s="4"/>
      <c r="CA107" s="40"/>
      <c r="CB107" s="40"/>
      <c r="CC107" s="40"/>
      <c r="CD107" s="4"/>
      <c r="CE107" s="4"/>
      <c r="CF107" s="4"/>
      <c r="CG107" s="4"/>
      <c r="CH107" s="40"/>
      <c r="CI107" s="40"/>
      <c r="CJ107" s="40"/>
      <c r="CK107" s="4"/>
      <c r="CL107" s="4"/>
      <c r="CM107" s="4"/>
      <c r="CN107" s="4"/>
      <c r="CO107" s="40"/>
      <c r="CP107" s="40"/>
      <c r="CQ107" s="40"/>
    </row>
    <row r="108" ht="15.75" customHeight="1">
      <c r="A108" s="4"/>
      <c r="B108" s="4"/>
      <c r="C108" s="4"/>
      <c r="D108" s="4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"/>
      <c r="AB108" s="4"/>
      <c r="AC108" s="4"/>
      <c r="AD108" s="40"/>
      <c r="AE108" s="40"/>
      <c r="AF108" s="40"/>
      <c r="AG108" s="4"/>
      <c r="AH108" s="4"/>
      <c r="AI108" s="4"/>
      <c r="AJ108" s="4"/>
      <c r="AK108" s="40"/>
      <c r="AL108" s="40"/>
      <c r="AM108" s="40"/>
      <c r="AN108" s="4"/>
      <c r="AO108" s="4"/>
      <c r="AP108" s="4"/>
      <c r="AQ108" s="4"/>
      <c r="AR108" s="40"/>
      <c r="AS108" s="40"/>
      <c r="AT108" s="40"/>
      <c r="AU108" s="4"/>
      <c r="AV108" s="4"/>
      <c r="AW108" s="4"/>
      <c r="AX108" s="4"/>
      <c r="AY108" s="40"/>
      <c r="AZ108" s="40"/>
      <c r="BA108" s="40"/>
      <c r="BB108" s="4"/>
      <c r="BC108" s="4"/>
      <c r="BD108" s="4"/>
      <c r="BE108" s="4"/>
      <c r="BF108" s="40"/>
      <c r="BG108" s="40"/>
      <c r="BH108" s="40"/>
      <c r="BI108" s="4"/>
      <c r="BJ108" s="4"/>
      <c r="BK108" s="4"/>
      <c r="BL108" s="4"/>
      <c r="BM108" s="40"/>
      <c r="BN108" s="40"/>
      <c r="BO108" s="40"/>
      <c r="BP108" s="4"/>
      <c r="BQ108" s="4"/>
      <c r="BR108" s="4"/>
      <c r="BS108" s="4"/>
      <c r="BT108" s="40"/>
      <c r="BU108" s="40"/>
      <c r="BV108" s="40"/>
      <c r="BW108" s="4"/>
      <c r="BX108" s="4"/>
      <c r="BY108" s="4"/>
      <c r="BZ108" s="4"/>
      <c r="CA108" s="40"/>
      <c r="CB108" s="40"/>
      <c r="CC108" s="40"/>
      <c r="CD108" s="4"/>
      <c r="CE108" s="4"/>
      <c r="CF108" s="4"/>
      <c r="CG108" s="4"/>
      <c r="CH108" s="40"/>
      <c r="CI108" s="40"/>
      <c r="CJ108" s="40"/>
      <c r="CK108" s="4"/>
      <c r="CL108" s="4"/>
      <c r="CM108" s="4"/>
      <c r="CN108" s="4"/>
      <c r="CO108" s="40"/>
      <c r="CP108" s="40"/>
      <c r="CQ108" s="40"/>
    </row>
    <row r="109" ht="15.75" customHeight="1">
      <c r="A109" s="4"/>
      <c r="B109" s="4"/>
      <c r="C109" s="4"/>
      <c r="D109" s="4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"/>
      <c r="AB109" s="4"/>
      <c r="AC109" s="4"/>
      <c r="AD109" s="40"/>
      <c r="AE109" s="40"/>
      <c r="AF109" s="40"/>
      <c r="AG109" s="4"/>
      <c r="AH109" s="4"/>
      <c r="AI109" s="4"/>
      <c r="AJ109" s="4"/>
      <c r="AK109" s="40"/>
      <c r="AL109" s="40"/>
      <c r="AM109" s="40"/>
      <c r="AN109" s="4"/>
      <c r="AO109" s="4"/>
      <c r="AP109" s="4"/>
      <c r="AQ109" s="4"/>
      <c r="AR109" s="40"/>
      <c r="AS109" s="40"/>
      <c r="AT109" s="40"/>
      <c r="AU109" s="4"/>
      <c r="AV109" s="4"/>
      <c r="AW109" s="4"/>
      <c r="AX109" s="4"/>
      <c r="AY109" s="40"/>
      <c r="AZ109" s="40"/>
      <c r="BA109" s="40"/>
      <c r="BB109" s="4"/>
      <c r="BC109" s="4"/>
      <c r="BD109" s="4"/>
      <c r="BE109" s="4"/>
      <c r="BF109" s="40"/>
      <c r="BG109" s="40"/>
      <c r="BH109" s="40"/>
      <c r="BI109" s="4"/>
      <c r="BJ109" s="4"/>
      <c r="BK109" s="4"/>
      <c r="BL109" s="4"/>
      <c r="BM109" s="40"/>
      <c r="BN109" s="40"/>
      <c r="BO109" s="40"/>
      <c r="BP109" s="4"/>
      <c r="BQ109" s="4"/>
      <c r="BR109" s="4"/>
      <c r="BS109" s="4"/>
      <c r="BT109" s="40"/>
      <c r="BU109" s="40"/>
      <c r="BV109" s="40"/>
      <c r="BW109" s="4"/>
      <c r="BX109" s="4"/>
      <c r="BY109" s="4"/>
      <c r="BZ109" s="4"/>
      <c r="CA109" s="40"/>
      <c r="CB109" s="40"/>
      <c r="CC109" s="40"/>
      <c r="CD109" s="4"/>
      <c r="CE109" s="4"/>
      <c r="CF109" s="4"/>
      <c r="CG109" s="4"/>
      <c r="CH109" s="40"/>
      <c r="CI109" s="40"/>
      <c r="CJ109" s="40"/>
      <c r="CK109" s="4"/>
      <c r="CL109" s="4"/>
      <c r="CM109" s="4"/>
      <c r="CN109" s="4"/>
      <c r="CO109" s="40"/>
      <c r="CP109" s="40"/>
      <c r="CQ109" s="40"/>
    </row>
    <row r="110" ht="15.75" customHeight="1">
      <c r="A110" s="4"/>
      <c r="B110" s="4"/>
      <c r="C110" s="4"/>
      <c r="D110" s="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"/>
      <c r="AB110" s="4"/>
      <c r="AC110" s="4"/>
      <c r="AD110" s="40"/>
      <c r="AE110" s="40"/>
      <c r="AF110" s="40"/>
      <c r="AG110" s="4"/>
      <c r="AH110" s="4"/>
      <c r="AI110" s="4"/>
      <c r="AJ110" s="4"/>
      <c r="AK110" s="40"/>
      <c r="AL110" s="40"/>
      <c r="AM110" s="40"/>
      <c r="AN110" s="4"/>
      <c r="AO110" s="4"/>
      <c r="AP110" s="4"/>
      <c r="AQ110" s="4"/>
      <c r="AR110" s="40"/>
      <c r="AS110" s="40"/>
      <c r="AT110" s="40"/>
      <c r="AU110" s="4"/>
      <c r="AV110" s="4"/>
      <c r="AW110" s="4"/>
      <c r="AX110" s="4"/>
      <c r="AY110" s="40"/>
      <c r="AZ110" s="40"/>
      <c r="BA110" s="40"/>
      <c r="BB110" s="4"/>
      <c r="BC110" s="4"/>
      <c r="BD110" s="4"/>
      <c r="BE110" s="4"/>
      <c r="BF110" s="40"/>
      <c r="BG110" s="40"/>
      <c r="BH110" s="40"/>
      <c r="BI110" s="4"/>
      <c r="BJ110" s="4"/>
      <c r="BK110" s="4"/>
      <c r="BL110" s="4"/>
      <c r="BM110" s="40"/>
      <c r="BN110" s="40"/>
      <c r="BO110" s="40"/>
      <c r="BP110" s="4"/>
      <c r="BQ110" s="4"/>
      <c r="BR110" s="4"/>
      <c r="BS110" s="4"/>
      <c r="BT110" s="40"/>
      <c r="BU110" s="40"/>
      <c r="BV110" s="40"/>
      <c r="BW110" s="4"/>
      <c r="BX110" s="4"/>
      <c r="BY110" s="4"/>
      <c r="BZ110" s="4"/>
      <c r="CA110" s="40"/>
      <c r="CB110" s="40"/>
      <c r="CC110" s="40"/>
      <c r="CD110" s="4"/>
      <c r="CE110" s="4"/>
      <c r="CF110" s="4"/>
      <c r="CG110" s="4"/>
      <c r="CH110" s="40"/>
      <c r="CI110" s="40"/>
      <c r="CJ110" s="40"/>
      <c r="CK110" s="4"/>
      <c r="CL110" s="4"/>
      <c r="CM110" s="4"/>
      <c r="CN110" s="4"/>
      <c r="CO110" s="40"/>
      <c r="CP110" s="40"/>
      <c r="CQ110" s="40"/>
    </row>
    <row r="111" ht="15.75" customHeight="1">
      <c r="A111" s="4"/>
      <c r="B111" s="4"/>
      <c r="C111" s="4"/>
      <c r="D111" s="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"/>
      <c r="AB111" s="4"/>
      <c r="AC111" s="4"/>
      <c r="AD111" s="40"/>
      <c r="AE111" s="40"/>
      <c r="AF111" s="40"/>
      <c r="AG111" s="4"/>
      <c r="AH111" s="4"/>
      <c r="AI111" s="4"/>
      <c r="AJ111" s="4"/>
      <c r="AK111" s="40"/>
      <c r="AL111" s="40"/>
      <c r="AM111" s="40"/>
      <c r="AN111" s="4"/>
      <c r="AO111" s="4"/>
      <c r="AP111" s="4"/>
      <c r="AQ111" s="4"/>
      <c r="AR111" s="40"/>
      <c r="AS111" s="40"/>
      <c r="AT111" s="40"/>
      <c r="AU111" s="4"/>
      <c r="AV111" s="4"/>
      <c r="AW111" s="4"/>
      <c r="AX111" s="4"/>
      <c r="AY111" s="40"/>
      <c r="AZ111" s="40"/>
      <c r="BA111" s="40"/>
      <c r="BB111" s="4"/>
      <c r="BC111" s="4"/>
      <c r="BD111" s="4"/>
      <c r="BE111" s="4"/>
      <c r="BF111" s="40"/>
      <c r="BG111" s="40"/>
      <c r="BH111" s="40"/>
      <c r="BI111" s="4"/>
      <c r="BJ111" s="4"/>
      <c r="BK111" s="4"/>
      <c r="BL111" s="4"/>
      <c r="BM111" s="40"/>
      <c r="BN111" s="40"/>
      <c r="BO111" s="40"/>
      <c r="BP111" s="4"/>
      <c r="BQ111" s="4"/>
      <c r="BR111" s="4"/>
      <c r="BS111" s="4"/>
      <c r="BT111" s="40"/>
      <c r="BU111" s="40"/>
      <c r="BV111" s="40"/>
      <c r="BW111" s="4"/>
      <c r="BX111" s="4"/>
      <c r="BY111" s="4"/>
      <c r="BZ111" s="4"/>
      <c r="CA111" s="40"/>
      <c r="CB111" s="40"/>
      <c r="CC111" s="40"/>
      <c r="CD111" s="4"/>
      <c r="CE111" s="4"/>
      <c r="CF111" s="4"/>
      <c r="CG111" s="4"/>
      <c r="CH111" s="40"/>
      <c r="CI111" s="40"/>
      <c r="CJ111" s="40"/>
      <c r="CK111" s="4"/>
      <c r="CL111" s="4"/>
      <c r="CM111" s="4"/>
      <c r="CN111" s="4"/>
      <c r="CO111" s="40"/>
      <c r="CP111" s="40"/>
      <c r="CQ111" s="40"/>
    </row>
    <row r="112" ht="15.75" customHeight="1">
      <c r="A112" s="4"/>
      <c r="B112" s="4"/>
      <c r="C112" s="4"/>
      <c r="D112" s="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"/>
      <c r="AB112" s="4"/>
      <c r="AC112" s="4"/>
      <c r="AD112" s="40"/>
      <c r="AE112" s="40"/>
      <c r="AF112" s="40"/>
      <c r="AG112" s="4"/>
      <c r="AH112" s="4"/>
      <c r="AI112" s="4"/>
      <c r="AJ112" s="4"/>
      <c r="AK112" s="40"/>
      <c r="AL112" s="40"/>
      <c r="AM112" s="40"/>
      <c r="AN112" s="4"/>
      <c r="AO112" s="4"/>
      <c r="AP112" s="4"/>
      <c r="AQ112" s="4"/>
      <c r="AR112" s="40"/>
      <c r="AS112" s="40"/>
      <c r="AT112" s="40"/>
      <c r="AU112" s="4"/>
      <c r="AV112" s="4"/>
      <c r="AW112" s="4"/>
      <c r="AX112" s="4"/>
      <c r="AY112" s="40"/>
      <c r="AZ112" s="40"/>
      <c r="BA112" s="40"/>
      <c r="BB112" s="4"/>
      <c r="BC112" s="4"/>
      <c r="BD112" s="4"/>
      <c r="BE112" s="4"/>
      <c r="BF112" s="40"/>
      <c r="BG112" s="40"/>
      <c r="BH112" s="40"/>
      <c r="BI112" s="4"/>
      <c r="BJ112" s="4"/>
      <c r="BK112" s="4"/>
      <c r="BL112" s="4"/>
      <c r="BM112" s="40"/>
      <c r="BN112" s="40"/>
      <c r="BO112" s="40"/>
      <c r="BP112" s="4"/>
      <c r="BQ112" s="4"/>
      <c r="BR112" s="4"/>
      <c r="BS112" s="4"/>
      <c r="BT112" s="40"/>
      <c r="BU112" s="40"/>
      <c r="BV112" s="40"/>
      <c r="BW112" s="4"/>
      <c r="BX112" s="4"/>
      <c r="BY112" s="4"/>
      <c r="BZ112" s="4"/>
      <c r="CA112" s="40"/>
      <c r="CB112" s="40"/>
      <c r="CC112" s="40"/>
      <c r="CD112" s="4"/>
      <c r="CE112" s="4"/>
      <c r="CF112" s="4"/>
      <c r="CG112" s="4"/>
      <c r="CH112" s="40"/>
      <c r="CI112" s="40"/>
      <c r="CJ112" s="40"/>
      <c r="CK112" s="4"/>
      <c r="CL112" s="4"/>
      <c r="CM112" s="4"/>
      <c r="CN112" s="4"/>
      <c r="CO112" s="40"/>
      <c r="CP112" s="40"/>
      <c r="CQ112" s="40"/>
    </row>
    <row r="113" ht="15.75" customHeight="1">
      <c r="A113" s="4"/>
      <c r="B113" s="4"/>
      <c r="C113" s="4"/>
      <c r="D113" s="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"/>
      <c r="AB113" s="4"/>
      <c r="AC113" s="4"/>
      <c r="AD113" s="40"/>
      <c r="AE113" s="40"/>
      <c r="AF113" s="40"/>
      <c r="AG113" s="4"/>
      <c r="AH113" s="4"/>
      <c r="AI113" s="4"/>
      <c r="AJ113" s="4"/>
      <c r="AK113" s="40"/>
      <c r="AL113" s="40"/>
      <c r="AM113" s="40"/>
      <c r="AN113" s="4"/>
      <c r="AO113" s="4"/>
      <c r="AP113" s="4"/>
      <c r="AQ113" s="4"/>
      <c r="AR113" s="40"/>
      <c r="AS113" s="40"/>
      <c r="AT113" s="40"/>
      <c r="AU113" s="4"/>
      <c r="AV113" s="4"/>
      <c r="AW113" s="4"/>
      <c r="AX113" s="4"/>
      <c r="AY113" s="40"/>
      <c r="AZ113" s="40"/>
      <c r="BA113" s="40"/>
      <c r="BB113" s="4"/>
      <c r="BC113" s="4"/>
      <c r="BD113" s="4"/>
      <c r="BE113" s="4"/>
      <c r="BF113" s="40"/>
      <c r="BG113" s="40"/>
      <c r="BH113" s="40"/>
      <c r="BI113" s="4"/>
      <c r="BJ113" s="4"/>
      <c r="BK113" s="4"/>
      <c r="BL113" s="4"/>
      <c r="BM113" s="40"/>
      <c r="BN113" s="40"/>
      <c r="BO113" s="40"/>
      <c r="BP113" s="4"/>
      <c r="BQ113" s="4"/>
      <c r="BR113" s="4"/>
      <c r="BS113" s="4"/>
      <c r="BT113" s="40"/>
      <c r="BU113" s="40"/>
      <c r="BV113" s="40"/>
      <c r="BW113" s="4"/>
      <c r="BX113" s="4"/>
      <c r="BY113" s="4"/>
      <c r="BZ113" s="4"/>
      <c r="CA113" s="40"/>
      <c r="CB113" s="40"/>
      <c r="CC113" s="40"/>
      <c r="CD113" s="4"/>
      <c r="CE113" s="4"/>
      <c r="CF113" s="4"/>
      <c r="CG113" s="4"/>
      <c r="CH113" s="40"/>
      <c r="CI113" s="40"/>
      <c r="CJ113" s="40"/>
      <c r="CK113" s="4"/>
      <c r="CL113" s="4"/>
      <c r="CM113" s="4"/>
      <c r="CN113" s="4"/>
      <c r="CO113" s="40"/>
      <c r="CP113" s="40"/>
      <c r="CQ113" s="40"/>
    </row>
    <row r="114" ht="15.75" customHeight="1">
      <c r="A114" s="4"/>
      <c r="B114" s="4"/>
      <c r="C114" s="4"/>
      <c r="D114" s="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"/>
      <c r="AB114" s="4"/>
      <c r="AC114" s="4"/>
      <c r="AD114" s="40"/>
      <c r="AE114" s="40"/>
      <c r="AF114" s="40"/>
      <c r="AG114" s="4"/>
      <c r="AH114" s="4"/>
      <c r="AI114" s="4"/>
      <c r="AJ114" s="4"/>
      <c r="AK114" s="40"/>
      <c r="AL114" s="40"/>
      <c r="AM114" s="40"/>
      <c r="AN114" s="4"/>
      <c r="AO114" s="4"/>
      <c r="AP114" s="4"/>
      <c r="AQ114" s="4"/>
      <c r="AR114" s="40"/>
      <c r="AS114" s="40"/>
      <c r="AT114" s="40"/>
      <c r="AU114" s="4"/>
      <c r="AV114" s="4"/>
      <c r="AW114" s="4"/>
      <c r="AX114" s="4"/>
      <c r="AY114" s="40"/>
      <c r="AZ114" s="40"/>
      <c r="BA114" s="40"/>
      <c r="BB114" s="4"/>
      <c r="BC114" s="4"/>
      <c r="BD114" s="4"/>
      <c r="BE114" s="4"/>
      <c r="BF114" s="40"/>
      <c r="BG114" s="40"/>
      <c r="BH114" s="40"/>
      <c r="BI114" s="4"/>
      <c r="BJ114" s="4"/>
      <c r="BK114" s="4"/>
      <c r="BL114" s="4"/>
      <c r="BM114" s="40"/>
      <c r="BN114" s="40"/>
      <c r="BO114" s="40"/>
      <c r="BP114" s="4"/>
      <c r="BQ114" s="4"/>
      <c r="BR114" s="4"/>
      <c r="BS114" s="4"/>
      <c r="BT114" s="40"/>
      <c r="BU114" s="40"/>
      <c r="BV114" s="40"/>
      <c r="BW114" s="4"/>
      <c r="BX114" s="4"/>
      <c r="BY114" s="4"/>
      <c r="BZ114" s="4"/>
      <c r="CA114" s="40"/>
      <c r="CB114" s="40"/>
      <c r="CC114" s="40"/>
      <c r="CD114" s="4"/>
      <c r="CE114" s="4"/>
      <c r="CF114" s="4"/>
      <c r="CG114" s="4"/>
      <c r="CH114" s="40"/>
      <c r="CI114" s="40"/>
      <c r="CJ114" s="40"/>
      <c r="CK114" s="4"/>
      <c r="CL114" s="4"/>
      <c r="CM114" s="4"/>
      <c r="CN114" s="4"/>
      <c r="CO114" s="40"/>
      <c r="CP114" s="40"/>
      <c r="CQ114" s="40"/>
    </row>
    <row r="115" ht="15.75" customHeight="1">
      <c r="A115" s="4"/>
      <c r="B115" s="4"/>
      <c r="C115" s="4"/>
      <c r="D115" s="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"/>
      <c r="AB115" s="4"/>
      <c r="AC115" s="4"/>
      <c r="AD115" s="40"/>
      <c r="AE115" s="40"/>
      <c r="AF115" s="40"/>
      <c r="AG115" s="4"/>
      <c r="AH115" s="4"/>
      <c r="AI115" s="4"/>
      <c r="AJ115" s="4"/>
      <c r="AK115" s="40"/>
      <c r="AL115" s="40"/>
      <c r="AM115" s="40"/>
      <c r="AN115" s="4"/>
      <c r="AO115" s="4"/>
      <c r="AP115" s="4"/>
      <c r="AQ115" s="4"/>
      <c r="AR115" s="40"/>
      <c r="AS115" s="40"/>
      <c r="AT115" s="40"/>
      <c r="AU115" s="4"/>
      <c r="AV115" s="4"/>
      <c r="AW115" s="4"/>
      <c r="AX115" s="4"/>
      <c r="AY115" s="40"/>
      <c r="AZ115" s="40"/>
      <c r="BA115" s="40"/>
      <c r="BB115" s="4"/>
      <c r="BC115" s="4"/>
      <c r="BD115" s="4"/>
      <c r="BE115" s="4"/>
      <c r="BF115" s="40"/>
      <c r="BG115" s="40"/>
      <c r="BH115" s="40"/>
      <c r="BI115" s="4"/>
      <c r="BJ115" s="4"/>
      <c r="BK115" s="4"/>
      <c r="BL115" s="4"/>
      <c r="BM115" s="40"/>
      <c r="BN115" s="40"/>
      <c r="BO115" s="40"/>
      <c r="BP115" s="4"/>
      <c r="BQ115" s="4"/>
      <c r="BR115" s="4"/>
      <c r="BS115" s="4"/>
      <c r="BT115" s="40"/>
      <c r="BU115" s="40"/>
      <c r="BV115" s="40"/>
      <c r="BW115" s="4"/>
      <c r="BX115" s="4"/>
      <c r="BY115" s="4"/>
      <c r="BZ115" s="4"/>
      <c r="CA115" s="40"/>
      <c r="CB115" s="40"/>
      <c r="CC115" s="40"/>
      <c r="CD115" s="4"/>
      <c r="CE115" s="4"/>
      <c r="CF115" s="4"/>
      <c r="CG115" s="4"/>
      <c r="CH115" s="40"/>
      <c r="CI115" s="40"/>
      <c r="CJ115" s="40"/>
      <c r="CK115" s="4"/>
      <c r="CL115" s="4"/>
      <c r="CM115" s="4"/>
      <c r="CN115" s="4"/>
      <c r="CO115" s="40"/>
      <c r="CP115" s="40"/>
      <c r="CQ115" s="40"/>
    </row>
    <row r="116" ht="15.75" customHeight="1">
      <c r="A116" s="4"/>
      <c r="B116" s="4"/>
      <c r="C116" s="4"/>
      <c r="D116" s="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"/>
      <c r="AB116" s="4"/>
      <c r="AC116" s="4"/>
      <c r="AD116" s="40"/>
      <c r="AE116" s="40"/>
      <c r="AF116" s="40"/>
      <c r="AG116" s="4"/>
      <c r="AH116" s="4"/>
      <c r="AI116" s="4"/>
      <c r="AJ116" s="4"/>
      <c r="AK116" s="40"/>
      <c r="AL116" s="40"/>
      <c r="AM116" s="40"/>
      <c r="AN116" s="4"/>
      <c r="AO116" s="4"/>
      <c r="AP116" s="4"/>
      <c r="AQ116" s="4"/>
      <c r="AR116" s="40"/>
      <c r="AS116" s="40"/>
      <c r="AT116" s="40"/>
      <c r="AU116" s="4"/>
      <c r="AV116" s="4"/>
      <c r="AW116" s="4"/>
      <c r="AX116" s="4"/>
      <c r="AY116" s="40"/>
      <c r="AZ116" s="40"/>
      <c r="BA116" s="40"/>
      <c r="BB116" s="4"/>
      <c r="BC116" s="4"/>
      <c r="BD116" s="4"/>
      <c r="BE116" s="4"/>
      <c r="BF116" s="40"/>
      <c r="BG116" s="40"/>
      <c r="BH116" s="40"/>
      <c r="BI116" s="4"/>
      <c r="BJ116" s="4"/>
      <c r="BK116" s="4"/>
      <c r="BL116" s="4"/>
      <c r="BM116" s="40"/>
      <c r="BN116" s="40"/>
      <c r="BO116" s="40"/>
      <c r="BP116" s="4"/>
      <c r="BQ116" s="4"/>
      <c r="BR116" s="4"/>
      <c r="BS116" s="4"/>
      <c r="BT116" s="40"/>
      <c r="BU116" s="40"/>
      <c r="BV116" s="40"/>
      <c r="BW116" s="4"/>
      <c r="BX116" s="4"/>
      <c r="BY116" s="4"/>
      <c r="BZ116" s="4"/>
      <c r="CA116" s="40"/>
      <c r="CB116" s="40"/>
      <c r="CC116" s="40"/>
      <c r="CD116" s="4"/>
      <c r="CE116" s="4"/>
      <c r="CF116" s="4"/>
      <c r="CG116" s="4"/>
      <c r="CH116" s="40"/>
      <c r="CI116" s="40"/>
      <c r="CJ116" s="40"/>
      <c r="CK116" s="4"/>
      <c r="CL116" s="4"/>
      <c r="CM116" s="4"/>
      <c r="CN116" s="4"/>
      <c r="CO116" s="40"/>
      <c r="CP116" s="40"/>
      <c r="CQ116" s="40"/>
    </row>
    <row r="117" ht="15.75" customHeight="1">
      <c r="A117" s="4"/>
      <c r="B117" s="4"/>
      <c r="C117" s="4"/>
      <c r="D117" s="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"/>
      <c r="AB117" s="4"/>
      <c r="AC117" s="4"/>
      <c r="AD117" s="40"/>
      <c r="AE117" s="40"/>
      <c r="AF117" s="40"/>
      <c r="AG117" s="4"/>
      <c r="AH117" s="4"/>
      <c r="AI117" s="4"/>
      <c r="AJ117" s="4"/>
      <c r="AK117" s="40"/>
      <c r="AL117" s="40"/>
      <c r="AM117" s="40"/>
      <c r="AN117" s="4"/>
      <c r="AO117" s="4"/>
      <c r="AP117" s="4"/>
      <c r="AQ117" s="4"/>
      <c r="AR117" s="40"/>
      <c r="AS117" s="40"/>
      <c r="AT117" s="40"/>
      <c r="AU117" s="4"/>
      <c r="AV117" s="4"/>
      <c r="AW117" s="4"/>
      <c r="AX117" s="4"/>
      <c r="AY117" s="40"/>
      <c r="AZ117" s="40"/>
      <c r="BA117" s="40"/>
      <c r="BB117" s="4"/>
      <c r="BC117" s="4"/>
      <c r="BD117" s="4"/>
      <c r="BE117" s="4"/>
      <c r="BF117" s="40"/>
      <c r="BG117" s="40"/>
      <c r="BH117" s="40"/>
      <c r="BI117" s="4"/>
      <c r="BJ117" s="4"/>
      <c r="BK117" s="4"/>
      <c r="BL117" s="4"/>
      <c r="BM117" s="40"/>
      <c r="BN117" s="40"/>
      <c r="BO117" s="40"/>
      <c r="BP117" s="4"/>
      <c r="BQ117" s="4"/>
      <c r="BR117" s="4"/>
      <c r="BS117" s="4"/>
      <c r="BT117" s="40"/>
      <c r="BU117" s="40"/>
      <c r="BV117" s="40"/>
      <c r="BW117" s="4"/>
      <c r="BX117" s="4"/>
      <c r="BY117" s="4"/>
      <c r="BZ117" s="4"/>
      <c r="CA117" s="40"/>
      <c r="CB117" s="40"/>
      <c r="CC117" s="40"/>
      <c r="CD117" s="4"/>
      <c r="CE117" s="4"/>
      <c r="CF117" s="4"/>
      <c r="CG117" s="4"/>
      <c r="CH117" s="40"/>
      <c r="CI117" s="40"/>
      <c r="CJ117" s="40"/>
      <c r="CK117" s="4"/>
      <c r="CL117" s="4"/>
      <c r="CM117" s="4"/>
      <c r="CN117" s="4"/>
      <c r="CO117" s="40"/>
      <c r="CP117" s="40"/>
      <c r="CQ117" s="40"/>
    </row>
    <row r="118" ht="15.75" customHeight="1">
      <c r="A118" s="4"/>
      <c r="B118" s="4"/>
      <c r="C118" s="4"/>
      <c r="D118" s="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"/>
      <c r="AB118" s="4"/>
      <c r="AC118" s="4"/>
      <c r="AD118" s="40"/>
      <c r="AE118" s="40"/>
      <c r="AF118" s="40"/>
      <c r="AG118" s="4"/>
      <c r="AH118" s="4"/>
      <c r="AI118" s="4"/>
      <c r="AJ118" s="4"/>
      <c r="AK118" s="40"/>
      <c r="AL118" s="40"/>
      <c r="AM118" s="40"/>
      <c r="AN118" s="4"/>
      <c r="AO118" s="4"/>
      <c r="AP118" s="4"/>
      <c r="AQ118" s="4"/>
      <c r="AR118" s="40"/>
      <c r="AS118" s="40"/>
      <c r="AT118" s="40"/>
      <c r="AU118" s="4"/>
      <c r="AV118" s="4"/>
      <c r="AW118" s="4"/>
      <c r="AX118" s="4"/>
      <c r="AY118" s="40"/>
      <c r="AZ118" s="40"/>
      <c r="BA118" s="40"/>
      <c r="BB118" s="4"/>
      <c r="BC118" s="4"/>
      <c r="BD118" s="4"/>
      <c r="BE118" s="4"/>
      <c r="BF118" s="40"/>
      <c r="BG118" s="40"/>
      <c r="BH118" s="40"/>
      <c r="BI118" s="4"/>
      <c r="BJ118" s="4"/>
      <c r="BK118" s="4"/>
      <c r="BL118" s="4"/>
      <c r="BM118" s="40"/>
      <c r="BN118" s="40"/>
      <c r="BO118" s="40"/>
      <c r="BP118" s="4"/>
      <c r="BQ118" s="4"/>
      <c r="BR118" s="4"/>
      <c r="BS118" s="4"/>
      <c r="BT118" s="40"/>
      <c r="BU118" s="40"/>
      <c r="BV118" s="40"/>
      <c r="BW118" s="4"/>
      <c r="BX118" s="4"/>
      <c r="BY118" s="4"/>
      <c r="BZ118" s="4"/>
      <c r="CA118" s="40"/>
      <c r="CB118" s="40"/>
      <c r="CC118" s="40"/>
      <c r="CD118" s="4"/>
      <c r="CE118" s="4"/>
      <c r="CF118" s="4"/>
      <c r="CG118" s="4"/>
      <c r="CH118" s="40"/>
      <c r="CI118" s="40"/>
      <c r="CJ118" s="40"/>
      <c r="CK118" s="4"/>
      <c r="CL118" s="4"/>
      <c r="CM118" s="4"/>
      <c r="CN118" s="4"/>
      <c r="CO118" s="40"/>
      <c r="CP118" s="40"/>
      <c r="CQ118" s="40"/>
    </row>
    <row r="119" ht="15.75" customHeight="1">
      <c r="A119" s="4"/>
      <c r="B119" s="4"/>
      <c r="C119" s="4"/>
      <c r="D119" s="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"/>
      <c r="AB119" s="4"/>
      <c r="AC119" s="4"/>
      <c r="AD119" s="40"/>
      <c r="AE119" s="40"/>
      <c r="AF119" s="40"/>
      <c r="AG119" s="4"/>
      <c r="AH119" s="4"/>
      <c r="AI119" s="4"/>
      <c r="AJ119" s="4"/>
      <c r="AK119" s="40"/>
      <c r="AL119" s="40"/>
      <c r="AM119" s="40"/>
      <c r="AN119" s="4"/>
      <c r="AO119" s="4"/>
      <c r="AP119" s="4"/>
      <c r="AQ119" s="4"/>
      <c r="AR119" s="40"/>
      <c r="AS119" s="40"/>
      <c r="AT119" s="40"/>
      <c r="AU119" s="4"/>
      <c r="AV119" s="4"/>
      <c r="AW119" s="4"/>
      <c r="AX119" s="4"/>
      <c r="AY119" s="40"/>
      <c r="AZ119" s="40"/>
      <c r="BA119" s="40"/>
      <c r="BB119" s="4"/>
      <c r="BC119" s="4"/>
      <c r="BD119" s="4"/>
      <c r="BE119" s="4"/>
      <c r="BF119" s="40"/>
      <c r="BG119" s="40"/>
      <c r="BH119" s="40"/>
      <c r="BI119" s="4"/>
      <c r="BJ119" s="4"/>
      <c r="BK119" s="4"/>
      <c r="BL119" s="4"/>
      <c r="BM119" s="40"/>
      <c r="BN119" s="40"/>
      <c r="BO119" s="40"/>
      <c r="BP119" s="4"/>
      <c r="BQ119" s="4"/>
      <c r="BR119" s="4"/>
      <c r="BS119" s="4"/>
      <c r="BT119" s="40"/>
      <c r="BU119" s="40"/>
      <c r="BV119" s="40"/>
      <c r="BW119" s="4"/>
      <c r="BX119" s="4"/>
      <c r="BY119" s="4"/>
      <c r="BZ119" s="4"/>
      <c r="CA119" s="40"/>
      <c r="CB119" s="40"/>
      <c r="CC119" s="40"/>
      <c r="CD119" s="4"/>
      <c r="CE119" s="4"/>
      <c r="CF119" s="4"/>
      <c r="CG119" s="4"/>
      <c r="CH119" s="40"/>
      <c r="CI119" s="40"/>
      <c r="CJ119" s="40"/>
      <c r="CK119" s="4"/>
      <c r="CL119" s="4"/>
      <c r="CM119" s="4"/>
      <c r="CN119" s="4"/>
      <c r="CO119" s="40"/>
      <c r="CP119" s="40"/>
      <c r="CQ119" s="40"/>
    </row>
    <row r="120" ht="15.75" customHeight="1">
      <c r="A120" s="4"/>
      <c r="B120" s="4"/>
      <c r="C120" s="4"/>
      <c r="D120" s="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"/>
      <c r="AB120" s="4"/>
      <c r="AC120" s="4"/>
      <c r="AD120" s="40"/>
      <c r="AE120" s="40"/>
      <c r="AF120" s="40"/>
      <c r="AG120" s="4"/>
      <c r="AH120" s="4"/>
      <c r="AI120" s="4"/>
      <c r="AJ120" s="4"/>
      <c r="AK120" s="40"/>
      <c r="AL120" s="40"/>
      <c r="AM120" s="40"/>
      <c r="AN120" s="4"/>
      <c r="AO120" s="4"/>
      <c r="AP120" s="4"/>
      <c r="AQ120" s="4"/>
      <c r="AR120" s="40"/>
      <c r="AS120" s="40"/>
      <c r="AT120" s="40"/>
      <c r="AU120" s="4"/>
      <c r="AV120" s="4"/>
      <c r="AW120" s="4"/>
      <c r="AX120" s="4"/>
      <c r="AY120" s="40"/>
      <c r="AZ120" s="40"/>
      <c r="BA120" s="40"/>
      <c r="BB120" s="4"/>
      <c r="BC120" s="4"/>
      <c r="BD120" s="4"/>
      <c r="BE120" s="4"/>
      <c r="BF120" s="40"/>
      <c r="BG120" s="40"/>
      <c r="BH120" s="40"/>
      <c r="BI120" s="4"/>
      <c r="BJ120" s="4"/>
      <c r="BK120" s="4"/>
      <c r="BL120" s="4"/>
      <c r="BM120" s="40"/>
      <c r="BN120" s="40"/>
      <c r="BO120" s="40"/>
      <c r="BP120" s="4"/>
      <c r="BQ120" s="4"/>
      <c r="BR120" s="4"/>
      <c r="BS120" s="4"/>
      <c r="BT120" s="40"/>
      <c r="BU120" s="40"/>
      <c r="BV120" s="40"/>
      <c r="BW120" s="4"/>
      <c r="BX120" s="4"/>
      <c r="BY120" s="4"/>
      <c r="BZ120" s="4"/>
      <c r="CA120" s="40"/>
      <c r="CB120" s="40"/>
      <c r="CC120" s="40"/>
      <c r="CD120" s="4"/>
      <c r="CE120" s="4"/>
      <c r="CF120" s="4"/>
      <c r="CG120" s="4"/>
      <c r="CH120" s="40"/>
      <c r="CI120" s="40"/>
      <c r="CJ120" s="40"/>
      <c r="CK120" s="4"/>
      <c r="CL120" s="4"/>
      <c r="CM120" s="4"/>
      <c r="CN120" s="4"/>
      <c r="CO120" s="40"/>
      <c r="CP120" s="40"/>
      <c r="CQ120" s="40"/>
    </row>
    <row r="121" ht="15.75" customHeight="1">
      <c r="A121" s="4"/>
      <c r="B121" s="4"/>
      <c r="C121" s="4"/>
      <c r="D121" s="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"/>
      <c r="AB121" s="4"/>
      <c r="AC121" s="4"/>
      <c r="AD121" s="40"/>
      <c r="AE121" s="40"/>
      <c r="AF121" s="40"/>
      <c r="AG121" s="4"/>
      <c r="AH121" s="4"/>
      <c r="AI121" s="4"/>
      <c r="AJ121" s="4"/>
      <c r="AK121" s="40"/>
      <c r="AL121" s="40"/>
      <c r="AM121" s="40"/>
      <c r="AN121" s="4"/>
      <c r="AO121" s="4"/>
      <c r="AP121" s="4"/>
      <c r="AQ121" s="4"/>
      <c r="AR121" s="40"/>
      <c r="AS121" s="40"/>
      <c r="AT121" s="40"/>
      <c r="AU121" s="4"/>
      <c r="AV121" s="4"/>
      <c r="AW121" s="4"/>
      <c r="AX121" s="4"/>
      <c r="AY121" s="40"/>
      <c r="AZ121" s="40"/>
      <c r="BA121" s="40"/>
      <c r="BB121" s="4"/>
      <c r="BC121" s="4"/>
      <c r="BD121" s="4"/>
      <c r="BE121" s="4"/>
      <c r="BF121" s="40"/>
      <c r="BG121" s="40"/>
      <c r="BH121" s="40"/>
      <c r="BI121" s="4"/>
      <c r="BJ121" s="4"/>
      <c r="BK121" s="4"/>
      <c r="BL121" s="4"/>
      <c r="BM121" s="40"/>
      <c r="BN121" s="40"/>
      <c r="BO121" s="40"/>
      <c r="BP121" s="4"/>
      <c r="BQ121" s="4"/>
      <c r="BR121" s="4"/>
      <c r="BS121" s="4"/>
      <c r="BT121" s="40"/>
      <c r="BU121" s="40"/>
      <c r="BV121" s="40"/>
      <c r="BW121" s="4"/>
      <c r="BX121" s="4"/>
      <c r="BY121" s="4"/>
      <c r="BZ121" s="4"/>
      <c r="CA121" s="40"/>
      <c r="CB121" s="40"/>
      <c r="CC121" s="40"/>
      <c r="CD121" s="4"/>
      <c r="CE121" s="4"/>
      <c r="CF121" s="4"/>
      <c r="CG121" s="4"/>
      <c r="CH121" s="40"/>
      <c r="CI121" s="40"/>
      <c r="CJ121" s="40"/>
      <c r="CK121" s="4"/>
      <c r="CL121" s="4"/>
      <c r="CM121" s="4"/>
      <c r="CN121" s="4"/>
      <c r="CO121" s="40"/>
      <c r="CP121" s="40"/>
      <c r="CQ121" s="40"/>
    </row>
    <row r="122" ht="15.75" customHeight="1">
      <c r="A122" s="4"/>
      <c r="B122" s="4"/>
      <c r="C122" s="4"/>
      <c r="D122" s="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"/>
      <c r="AB122" s="4"/>
      <c r="AC122" s="4"/>
      <c r="AD122" s="40"/>
      <c r="AE122" s="40"/>
      <c r="AF122" s="40"/>
      <c r="AG122" s="4"/>
      <c r="AH122" s="4"/>
      <c r="AI122" s="4"/>
      <c r="AJ122" s="4"/>
      <c r="AK122" s="40"/>
      <c r="AL122" s="40"/>
      <c r="AM122" s="40"/>
      <c r="AN122" s="4"/>
      <c r="AO122" s="4"/>
      <c r="AP122" s="4"/>
      <c r="AQ122" s="4"/>
      <c r="AR122" s="40"/>
      <c r="AS122" s="40"/>
      <c r="AT122" s="40"/>
      <c r="AU122" s="4"/>
      <c r="AV122" s="4"/>
      <c r="AW122" s="4"/>
      <c r="AX122" s="4"/>
      <c r="AY122" s="40"/>
      <c r="AZ122" s="40"/>
      <c r="BA122" s="40"/>
      <c r="BB122" s="4"/>
      <c r="BC122" s="4"/>
      <c r="BD122" s="4"/>
      <c r="BE122" s="4"/>
      <c r="BF122" s="40"/>
      <c r="BG122" s="40"/>
      <c r="BH122" s="40"/>
      <c r="BI122" s="4"/>
      <c r="BJ122" s="4"/>
      <c r="BK122" s="4"/>
      <c r="BL122" s="4"/>
      <c r="BM122" s="40"/>
      <c r="BN122" s="40"/>
      <c r="BO122" s="40"/>
      <c r="BP122" s="4"/>
      <c r="BQ122" s="4"/>
      <c r="BR122" s="4"/>
      <c r="BS122" s="4"/>
      <c r="BT122" s="40"/>
      <c r="BU122" s="40"/>
      <c r="BV122" s="40"/>
      <c r="BW122" s="4"/>
      <c r="BX122" s="4"/>
      <c r="BY122" s="4"/>
      <c r="BZ122" s="4"/>
      <c r="CA122" s="40"/>
      <c r="CB122" s="40"/>
      <c r="CC122" s="40"/>
      <c r="CD122" s="4"/>
      <c r="CE122" s="4"/>
      <c r="CF122" s="4"/>
      <c r="CG122" s="4"/>
      <c r="CH122" s="40"/>
      <c r="CI122" s="40"/>
      <c r="CJ122" s="40"/>
      <c r="CK122" s="4"/>
      <c r="CL122" s="4"/>
      <c r="CM122" s="4"/>
      <c r="CN122" s="4"/>
      <c r="CO122" s="40"/>
      <c r="CP122" s="40"/>
      <c r="CQ122" s="40"/>
    </row>
    <row r="123" ht="15.75" customHeight="1">
      <c r="A123" s="4"/>
      <c r="B123" s="4"/>
      <c r="C123" s="4"/>
      <c r="D123" s="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"/>
      <c r="AB123" s="4"/>
      <c r="AC123" s="4"/>
      <c r="AD123" s="40"/>
      <c r="AE123" s="40"/>
      <c r="AF123" s="40"/>
      <c r="AG123" s="4"/>
      <c r="AH123" s="4"/>
      <c r="AI123" s="4"/>
      <c r="AJ123" s="4"/>
      <c r="AK123" s="40"/>
      <c r="AL123" s="40"/>
      <c r="AM123" s="40"/>
      <c r="AN123" s="4"/>
      <c r="AO123" s="4"/>
      <c r="AP123" s="4"/>
      <c r="AQ123" s="4"/>
      <c r="AR123" s="40"/>
      <c r="AS123" s="40"/>
      <c r="AT123" s="40"/>
      <c r="AU123" s="4"/>
      <c r="AV123" s="4"/>
      <c r="AW123" s="4"/>
      <c r="AX123" s="4"/>
      <c r="AY123" s="40"/>
      <c r="AZ123" s="40"/>
      <c r="BA123" s="40"/>
      <c r="BB123" s="4"/>
      <c r="BC123" s="4"/>
      <c r="BD123" s="4"/>
      <c r="BE123" s="4"/>
      <c r="BF123" s="40"/>
      <c r="BG123" s="40"/>
      <c r="BH123" s="40"/>
      <c r="BI123" s="4"/>
      <c r="BJ123" s="4"/>
      <c r="BK123" s="4"/>
      <c r="BL123" s="4"/>
      <c r="BM123" s="40"/>
      <c r="BN123" s="40"/>
      <c r="BO123" s="40"/>
      <c r="BP123" s="4"/>
      <c r="BQ123" s="4"/>
      <c r="BR123" s="4"/>
      <c r="BS123" s="4"/>
      <c r="BT123" s="40"/>
      <c r="BU123" s="40"/>
      <c r="BV123" s="40"/>
      <c r="BW123" s="4"/>
      <c r="BX123" s="4"/>
      <c r="BY123" s="4"/>
      <c r="BZ123" s="4"/>
      <c r="CA123" s="40"/>
      <c r="CB123" s="40"/>
      <c r="CC123" s="40"/>
      <c r="CD123" s="4"/>
      <c r="CE123" s="4"/>
      <c r="CF123" s="4"/>
      <c r="CG123" s="4"/>
      <c r="CH123" s="40"/>
      <c r="CI123" s="40"/>
      <c r="CJ123" s="40"/>
      <c r="CK123" s="4"/>
      <c r="CL123" s="4"/>
      <c r="CM123" s="4"/>
      <c r="CN123" s="4"/>
      <c r="CO123" s="40"/>
      <c r="CP123" s="40"/>
      <c r="CQ123" s="40"/>
    </row>
    <row r="124" ht="15.75" customHeight="1">
      <c r="A124" s="4"/>
      <c r="B124" s="4"/>
      <c r="C124" s="4"/>
      <c r="D124" s="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"/>
      <c r="AB124" s="4"/>
      <c r="AC124" s="4"/>
      <c r="AD124" s="40"/>
      <c r="AE124" s="40"/>
      <c r="AF124" s="40"/>
      <c r="AG124" s="4"/>
      <c r="AH124" s="4"/>
      <c r="AI124" s="4"/>
      <c r="AJ124" s="4"/>
      <c r="AK124" s="40"/>
      <c r="AL124" s="40"/>
      <c r="AM124" s="40"/>
      <c r="AN124" s="4"/>
      <c r="AO124" s="4"/>
      <c r="AP124" s="4"/>
      <c r="AQ124" s="4"/>
      <c r="AR124" s="40"/>
      <c r="AS124" s="40"/>
      <c r="AT124" s="40"/>
      <c r="AU124" s="4"/>
      <c r="AV124" s="4"/>
      <c r="AW124" s="4"/>
      <c r="AX124" s="4"/>
      <c r="AY124" s="40"/>
      <c r="AZ124" s="40"/>
      <c r="BA124" s="40"/>
      <c r="BB124" s="4"/>
      <c r="BC124" s="4"/>
      <c r="BD124" s="4"/>
      <c r="BE124" s="4"/>
      <c r="BF124" s="40"/>
      <c r="BG124" s="40"/>
      <c r="BH124" s="40"/>
      <c r="BI124" s="4"/>
      <c r="BJ124" s="4"/>
      <c r="BK124" s="4"/>
      <c r="BL124" s="4"/>
      <c r="BM124" s="40"/>
      <c r="BN124" s="40"/>
      <c r="BO124" s="40"/>
      <c r="BP124" s="4"/>
      <c r="BQ124" s="4"/>
      <c r="BR124" s="4"/>
      <c r="BS124" s="4"/>
      <c r="BT124" s="40"/>
      <c r="BU124" s="40"/>
      <c r="BV124" s="40"/>
      <c r="BW124" s="4"/>
      <c r="BX124" s="4"/>
      <c r="BY124" s="4"/>
      <c r="BZ124" s="4"/>
      <c r="CA124" s="40"/>
      <c r="CB124" s="40"/>
      <c r="CC124" s="40"/>
      <c r="CD124" s="4"/>
      <c r="CE124" s="4"/>
      <c r="CF124" s="4"/>
      <c r="CG124" s="4"/>
      <c r="CH124" s="40"/>
      <c r="CI124" s="40"/>
      <c r="CJ124" s="40"/>
      <c r="CK124" s="4"/>
      <c r="CL124" s="4"/>
      <c r="CM124" s="4"/>
      <c r="CN124" s="4"/>
      <c r="CO124" s="40"/>
      <c r="CP124" s="40"/>
      <c r="CQ124" s="40"/>
    </row>
    <row r="125" ht="15.75" customHeight="1">
      <c r="A125" s="4"/>
      <c r="B125" s="4"/>
      <c r="C125" s="4"/>
      <c r="D125" s="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"/>
      <c r="AB125" s="4"/>
      <c r="AC125" s="4"/>
      <c r="AD125" s="40"/>
      <c r="AE125" s="40"/>
      <c r="AF125" s="40"/>
      <c r="AG125" s="4"/>
      <c r="AH125" s="4"/>
      <c r="AI125" s="4"/>
      <c r="AJ125" s="4"/>
      <c r="AK125" s="40"/>
      <c r="AL125" s="40"/>
      <c r="AM125" s="40"/>
      <c r="AN125" s="4"/>
      <c r="AO125" s="4"/>
      <c r="AP125" s="4"/>
      <c r="AQ125" s="4"/>
      <c r="AR125" s="40"/>
      <c r="AS125" s="40"/>
      <c r="AT125" s="40"/>
      <c r="AU125" s="4"/>
      <c r="AV125" s="4"/>
      <c r="AW125" s="4"/>
      <c r="AX125" s="4"/>
      <c r="AY125" s="40"/>
      <c r="AZ125" s="40"/>
      <c r="BA125" s="40"/>
      <c r="BB125" s="4"/>
      <c r="BC125" s="4"/>
      <c r="BD125" s="4"/>
      <c r="BE125" s="4"/>
      <c r="BF125" s="40"/>
      <c r="BG125" s="40"/>
      <c r="BH125" s="40"/>
      <c r="BI125" s="4"/>
      <c r="BJ125" s="4"/>
      <c r="BK125" s="4"/>
      <c r="BL125" s="4"/>
      <c r="BM125" s="40"/>
      <c r="BN125" s="40"/>
      <c r="BO125" s="40"/>
      <c r="BP125" s="4"/>
      <c r="BQ125" s="4"/>
      <c r="BR125" s="4"/>
      <c r="BS125" s="4"/>
      <c r="BT125" s="40"/>
      <c r="BU125" s="40"/>
      <c r="BV125" s="40"/>
      <c r="BW125" s="4"/>
      <c r="BX125" s="4"/>
      <c r="BY125" s="4"/>
      <c r="BZ125" s="4"/>
      <c r="CA125" s="40"/>
      <c r="CB125" s="40"/>
      <c r="CC125" s="40"/>
      <c r="CD125" s="4"/>
      <c r="CE125" s="4"/>
      <c r="CF125" s="4"/>
      <c r="CG125" s="4"/>
      <c r="CH125" s="40"/>
      <c r="CI125" s="40"/>
      <c r="CJ125" s="40"/>
      <c r="CK125" s="4"/>
      <c r="CL125" s="4"/>
      <c r="CM125" s="4"/>
      <c r="CN125" s="4"/>
      <c r="CO125" s="40"/>
      <c r="CP125" s="40"/>
      <c r="CQ125" s="40"/>
    </row>
    <row r="126" ht="15.75" customHeight="1">
      <c r="A126" s="4"/>
      <c r="B126" s="4"/>
      <c r="C126" s="4"/>
      <c r="D126" s="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"/>
      <c r="AB126" s="4"/>
      <c r="AC126" s="4"/>
      <c r="AD126" s="40"/>
      <c r="AE126" s="40"/>
      <c r="AF126" s="40"/>
      <c r="AG126" s="4"/>
      <c r="AH126" s="4"/>
      <c r="AI126" s="4"/>
      <c r="AJ126" s="4"/>
      <c r="AK126" s="40"/>
      <c r="AL126" s="40"/>
      <c r="AM126" s="40"/>
      <c r="AN126" s="4"/>
      <c r="AO126" s="4"/>
      <c r="AP126" s="4"/>
      <c r="AQ126" s="4"/>
      <c r="AR126" s="40"/>
      <c r="AS126" s="40"/>
      <c r="AT126" s="40"/>
      <c r="AU126" s="4"/>
      <c r="AV126" s="4"/>
      <c r="AW126" s="4"/>
      <c r="AX126" s="4"/>
      <c r="AY126" s="40"/>
      <c r="AZ126" s="40"/>
      <c r="BA126" s="40"/>
      <c r="BB126" s="4"/>
      <c r="BC126" s="4"/>
      <c r="BD126" s="4"/>
      <c r="BE126" s="4"/>
      <c r="BF126" s="40"/>
      <c r="BG126" s="40"/>
      <c r="BH126" s="40"/>
      <c r="BI126" s="4"/>
      <c r="BJ126" s="4"/>
      <c r="BK126" s="4"/>
      <c r="BL126" s="4"/>
      <c r="BM126" s="40"/>
      <c r="BN126" s="40"/>
      <c r="BO126" s="40"/>
      <c r="BP126" s="4"/>
      <c r="BQ126" s="4"/>
      <c r="BR126" s="4"/>
      <c r="BS126" s="4"/>
      <c r="BT126" s="40"/>
      <c r="BU126" s="40"/>
      <c r="BV126" s="40"/>
      <c r="BW126" s="4"/>
      <c r="BX126" s="4"/>
      <c r="BY126" s="4"/>
      <c r="BZ126" s="4"/>
      <c r="CA126" s="40"/>
      <c r="CB126" s="40"/>
      <c r="CC126" s="40"/>
      <c r="CD126" s="4"/>
      <c r="CE126" s="4"/>
      <c r="CF126" s="4"/>
      <c r="CG126" s="4"/>
      <c r="CH126" s="40"/>
      <c r="CI126" s="40"/>
      <c r="CJ126" s="40"/>
      <c r="CK126" s="4"/>
      <c r="CL126" s="4"/>
      <c r="CM126" s="4"/>
      <c r="CN126" s="4"/>
      <c r="CO126" s="40"/>
      <c r="CP126" s="40"/>
      <c r="CQ126" s="40"/>
    </row>
    <row r="127" ht="15.75" customHeight="1">
      <c r="A127" s="4"/>
      <c r="B127" s="4"/>
      <c r="C127" s="4"/>
      <c r="D127" s="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"/>
      <c r="AB127" s="4"/>
      <c r="AC127" s="4"/>
      <c r="AD127" s="40"/>
      <c r="AE127" s="40"/>
      <c r="AF127" s="40"/>
      <c r="AG127" s="4"/>
      <c r="AH127" s="4"/>
      <c r="AI127" s="4"/>
      <c r="AJ127" s="4"/>
      <c r="AK127" s="40"/>
      <c r="AL127" s="40"/>
      <c r="AM127" s="40"/>
      <c r="AN127" s="4"/>
      <c r="AO127" s="4"/>
      <c r="AP127" s="4"/>
      <c r="AQ127" s="4"/>
      <c r="AR127" s="40"/>
      <c r="AS127" s="40"/>
      <c r="AT127" s="40"/>
      <c r="AU127" s="4"/>
      <c r="AV127" s="4"/>
      <c r="AW127" s="4"/>
      <c r="AX127" s="4"/>
      <c r="AY127" s="40"/>
      <c r="AZ127" s="40"/>
      <c r="BA127" s="40"/>
      <c r="BB127" s="4"/>
      <c r="BC127" s="4"/>
      <c r="BD127" s="4"/>
      <c r="BE127" s="4"/>
      <c r="BF127" s="40"/>
      <c r="BG127" s="40"/>
      <c r="BH127" s="40"/>
      <c r="BI127" s="4"/>
      <c r="BJ127" s="4"/>
      <c r="BK127" s="4"/>
      <c r="BL127" s="4"/>
      <c r="BM127" s="40"/>
      <c r="BN127" s="40"/>
      <c r="BO127" s="40"/>
      <c r="BP127" s="4"/>
      <c r="BQ127" s="4"/>
      <c r="BR127" s="4"/>
      <c r="BS127" s="4"/>
      <c r="BT127" s="40"/>
      <c r="BU127" s="40"/>
      <c r="BV127" s="40"/>
      <c r="BW127" s="4"/>
      <c r="BX127" s="4"/>
      <c r="BY127" s="4"/>
      <c r="BZ127" s="4"/>
      <c r="CA127" s="40"/>
      <c r="CB127" s="40"/>
      <c r="CC127" s="40"/>
      <c r="CD127" s="4"/>
      <c r="CE127" s="4"/>
      <c r="CF127" s="4"/>
      <c r="CG127" s="4"/>
      <c r="CH127" s="40"/>
      <c r="CI127" s="40"/>
      <c r="CJ127" s="40"/>
      <c r="CK127" s="4"/>
      <c r="CL127" s="4"/>
      <c r="CM127" s="4"/>
      <c r="CN127" s="4"/>
      <c r="CO127" s="40"/>
      <c r="CP127" s="40"/>
      <c r="CQ127" s="40"/>
    </row>
    <row r="128" ht="15.75" customHeight="1">
      <c r="A128" s="4"/>
      <c r="B128" s="4"/>
      <c r="C128" s="4"/>
      <c r="D128" s="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"/>
      <c r="AB128" s="4"/>
      <c r="AC128" s="4"/>
      <c r="AD128" s="40"/>
      <c r="AE128" s="40"/>
      <c r="AF128" s="40"/>
      <c r="AG128" s="4"/>
      <c r="AH128" s="4"/>
      <c r="AI128" s="4"/>
      <c r="AJ128" s="4"/>
      <c r="AK128" s="40"/>
      <c r="AL128" s="40"/>
      <c r="AM128" s="40"/>
      <c r="AN128" s="4"/>
      <c r="AO128" s="4"/>
      <c r="AP128" s="4"/>
      <c r="AQ128" s="4"/>
      <c r="AR128" s="40"/>
      <c r="AS128" s="40"/>
      <c r="AT128" s="40"/>
      <c r="AU128" s="4"/>
      <c r="AV128" s="4"/>
      <c r="AW128" s="4"/>
      <c r="AX128" s="4"/>
      <c r="AY128" s="40"/>
      <c r="AZ128" s="40"/>
      <c r="BA128" s="40"/>
      <c r="BB128" s="4"/>
      <c r="BC128" s="4"/>
      <c r="BD128" s="4"/>
      <c r="BE128" s="4"/>
      <c r="BF128" s="40"/>
      <c r="BG128" s="40"/>
      <c r="BH128" s="40"/>
      <c r="BI128" s="4"/>
      <c r="BJ128" s="4"/>
      <c r="BK128" s="4"/>
      <c r="BL128" s="4"/>
      <c r="BM128" s="40"/>
      <c r="BN128" s="40"/>
      <c r="BO128" s="40"/>
      <c r="BP128" s="4"/>
      <c r="BQ128" s="4"/>
      <c r="BR128" s="4"/>
      <c r="BS128" s="4"/>
      <c r="BT128" s="40"/>
      <c r="BU128" s="40"/>
      <c r="BV128" s="40"/>
      <c r="BW128" s="4"/>
      <c r="BX128" s="4"/>
      <c r="BY128" s="4"/>
      <c r="BZ128" s="4"/>
      <c r="CA128" s="40"/>
      <c r="CB128" s="40"/>
      <c r="CC128" s="40"/>
      <c r="CD128" s="4"/>
      <c r="CE128" s="4"/>
      <c r="CF128" s="4"/>
      <c r="CG128" s="4"/>
      <c r="CH128" s="40"/>
      <c r="CI128" s="40"/>
      <c r="CJ128" s="40"/>
      <c r="CK128" s="4"/>
      <c r="CL128" s="4"/>
      <c r="CM128" s="4"/>
      <c r="CN128" s="4"/>
      <c r="CO128" s="40"/>
      <c r="CP128" s="40"/>
      <c r="CQ128" s="40"/>
    </row>
    <row r="129" ht="15.75" customHeight="1">
      <c r="A129" s="4"/>
      <c r="B129" s="4"/>
      <c r="C129" s="4"/>
      <c r="D129" s="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"/>
      <c r="AB129" s="4"/>
      <c r="AC129" s="4"/>
      <c r="AD129" s="40"/>
      <c r="AE129" s="40"/>
      <c r="AF129" s="40"/>
      <c r="AG129" s="4"/>
      <c r="AH129" s="4"/>
      <c r="AI129" s="4"/>
      <c r="AJ129" s="4"/>
      <c r="AK129" s="40"/>
      <c r="AL129" s="40"/>
      <c r="AM129" s="40"/>
      <c r="AN129" s="4"/>
      <c r="AO129" s="4"/>
      <c r="AP129" s="4"/>
      <c r="AQ129" s="4"/>
      <c r="AR129" s="40"/>
      <c r="AS129" s="40"/>
      <c r="AT129" s="40"/>
      <c r="AU129" s="4"/>
      <c r="AV129" s="4"/>
      <c r="AW129" s="4"/>
      <c r="AX129" s="4"/>
      <c r="AY129" s="40"/>
      <c r="AZ129" s="40"/>
      <c r="BA129" s="40"/>
      <c r="BB129" s="4"/>
      <c r="BC129" s="4"/>
      <c r="BD129" s="4"/>
      <c r="BE129" s="4"/>
      <c r="BF129" s="40"/>
      <c r="BG129" s="40"/>
      <c r="BH129" s="40"/>
      <c r="BI129" s="4"/>
      <c r="BJ129" s="4"/>
      <c r="BK129" s="4"/>
      <c r="BL129" s="4"/>
      <c r="BM129" s="40"/>
      <c r="BN129" s="40"/>
      <c r="BO129" s="40"/>
      <c r="BP129" s="4"/>
      <c r="BQ129" s="4"/>
      <c r="BR129" s="4"/>
      <c r="BS129" s="4"/>
      <c r="BT129" s="40"/>
      <c r="BU129" s="40"/>
      <c r="BV129" s="40"/>
      <c r="BW129" s="4"/>
      <c r="BX129" s="4"/>
      <c r="BY129" s="4"/>
      <c r="BZ129" s="4"/>
      <c r="CA129" s="40"/>
      <c r="CB129" s="40"/>
      <c r="CC129" s="40"/>
      <c r="CD129" s="4"/>
      <c r="CE129" s="4"/>
      <c r="CF129" s="4"/>
      <c r="CG129" s="4"/>
      <c r="CH129" s="40"/>
      <c r="CI129" s="40"/>
      <c r="CJ129" s="40"/>
      <c r="CK129" s="4"/>
      <c r="CL129" s="4"/>
      <c r="CM129" s="4"/>
      <c r="CN129" s="4"/>
      <c r="CO129" s="40"/>
      <c r="CP129" s="40"/>
      <c r="CQ129" s="40"/>
    </row>
    <row r="130" ht="15.75" customHeight="1">
      <c r="A130" s="4"/>
      <c r="B130" s="4"/>
      <c r="C130" s="4"/>
      <c r="D130" s="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"/>
      <c r="AB130" s="4"/>
      <c r="AC130" s="4"/>
      <c r="AD130" s="40"/>
      <c r="AE130" s="40"/>
      <c r="AF130" s="40"/>
      <c r="AG130" s="4"/>
      <c r="AH130" s="4"/>
      <c r="AI130" s="4"/>
      <c r="AJ130" s="4"/>
      <c r="AK130" s="40"/>
      <c r="AL130" s="40"/>
      <c r="AM130" s="40"/>
      <c r="AN130" s="4"/>
      <c r="AO130" s="4"/>
      <c r="AP130" s="4"/>
      <c r="AQ130" s="4"/>
      <c r="AR130" s="40"/>
      <c r="AS130" s="40"/>
      <c r="AT130" s="40"/>
      <c r="AU130" s="4"/>
      <c r="AV130" s="4"/>
      <c r="AW130" s="4"/>
      <c r="AX130" s="4"/>
      <c r="AY130" s="40"/>
      <c r="AZ130" s="40"/>
      <c r="BA130" s="40"/>
      <c r="BB130" s="4"/>
      <c r="BC130" s="4"/>
      <c r="BD130" s="4"/>
      <c r="BE130" s="4"/>
      <c r="BF130" s="40"/>
      <c r="BG130" s="40"/>
      <c r="BH130" s="40"/>
      <c r="BI130" s="4"/>
      <c r="BJ130" s="4"/>
      <c r="BK130" s="4"/>
      <c r="BL130" s="4"/>
      <c r="BM130" s="40"/>
      <c r="BN130" s="40"/>
      <c r="BO130" s="40"/>
      <c r="BP130" s="4"/>
      <c r="BQ130" s="4"/>
      <c r="BR130" s="4"/>
      <c r="BS130" s="4"/>
      <c r="BT130" s="40"/>
      <c r="BU130" s="40"/>
      <c r="BV130" s="40"/>
      <c r="BW130" s="4"/>
      <c r="BX130" s="4"/>
      <c r="BY130" s="4"/>
      <c r="BZ130" s="4"/>
      <c r="CA130" s="40"/>
      <c r="CB130" s="40"/>
      <c r="CC130" s="40"/>
      <c r="CD130" s="4"/>
      <c r="CE130" s="4"/>
      <c r="CF130" s="4"/>
      <c r="CG130" s="4"/>
      <c r="CH130" s="40"/>
      <c r="CI130" s="40"/>
      <c r="CJ130" s="40"/>
      <c r="CK130" s="4"/>
      <c r="CL130" s="4"/>
      <c r="CM130" s="4"/>
      <c r="CN130" s="4"/>
      <c r="CO130" s="40"/>
      <c r="CP130" s="40"/>
      <c r="CQ130" s="40"/>
    </row>
    <row r="131" ht="15.75" customHeight="1">
      <c r="A131" s="4"/>
      <c r="B131" s="4"/>
      <c r="C131" s="4"/>
      <c r="D131" s="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"/>
      <c r="AB131" s="4"/>
      <c r="AC131" s="4"/>
      <c r="AD131" s="40"/>
      <c r="AE131" s="40"/>
      <c r="AF131" s="40"/>
      <c r="AG131" s="4"/>
      <c r="AH131" s="4"/>
      <c r="AI131" s="4"/>
      <c r="AJ131" s="4"/>
      <c r="AK131" s="40"/>
      <c r="AL131" s="40"/>
      <c r="AM131" s="40"/>
      <c r="AN131" s="4"/>
      <c r="AO131" s="4"/>
      <c r="AP131" s="4"/>
      <c r="AQ131" s="4"/>
      <c r="AR131" s="40"/>
      <c r="AS131" s="40"/>
      <c r="AT131" s="40"/>
      <c r="AU131" s="4"/>
      <c r="AV131" s="4"/>
      <c r="AW131" s="4"/>
      <c r="AX131" s="4"/>
      <c r="AY131" s="40"/>
      <c r="AZ131" s="40"/>
      <c r="BA131" s="40"/>
      <c r="BB131" s="4"/>
      <c r="BC131" s="4"/>
      <c r="BD131" s="4"/>
      <c r="BE131" s="4"/>
      <c r="BF131" s="40"/>
      <c r="BG131" s="40"/>
      <c r="BH131" s="40"/>
      <c r="BI131" s="4"/>
      <c r="BJ131" s="4"/>
      <c r="BK131" s="4"/>
      <c r="BL131" s="4"/>
      <c r="BM131" s="40"/>
      <c r="BN131" s="40"/>
      <c r="BO131" s="40"/>
      <c r="BP131" s="4"/>
      <c r="BQ131" s="4"/>
      <c r="BR131" s="4"/>
      <c r="BS131" s="4"/>
      <c r="BT131" s="40"/>
      <c r="BU131" s="40"/>
      <c r="BV131" s="40"/>
      <c r="BW131" s="4"/>
      <c r="BX131" s="4"/>
      <c r="BY131" s="4"/>
      <c r="BZ131" s="4"/>
      <c r="CA131" s="40"/>
      <c r="CB131" s="40"/>
      <c r="CC131" s="40"/>
      <c r="CD131" s="4"/>
      <c r="CE131" s="4"/>
      <c r="CF131" s="4"/>
      <c r="CG131" s="4"/>
      <c r="CH131" s="40"/>
      <c r="CI131" s="40"/>
      <c r="CJ131" s="40"/>
      <c r="CK131" s="4"/>
      <c r="CL131" s="4"/>
      <c r="CM131" s="4"/>
      <c r="CN131" s="4"/>
      <c r="CO131" s="40"/>
      <c r="CP131" s="40"/>
      <c r="CQ131" s="40"/>
    </row>
    <row r="132" ht="15.75" customHeight="1">
      <c r="A132" s="4"/>
      <c r="B132" s="4"/>
      <c r="C132" s="4"/>
      <c r="D132" s="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"/>
      <c r="AB132" s="4"/>
      <c r="AC132" s="4"/>
      <c r="AD132" s="40"/>
      <c r="AE132" s="40"/>
      <c r="AF132" s="40"/>
      <c r="AG132" s="4"/>
      <c r="AH132" s="4"/>
      <c r="AI132" s="4"/>
      <c r="AJ132" s="4"/>
      <c r="AK132" s="40"/>
      <c r="AL132" s="40"/>
      <c r="AM132" s="40"/>
      <c r="AN132" s="4"/>
      <c r="AO132" s="4"/>
      <c r="AP132" s="4"/>
      <c r="AQ132" s="4"/>
      <c r="AR132" s="40"/>
      <c r="AS132" s="40"/>
      <c r="AT132" s="40"/>
      <c r="AU132" s="4"/>
      <c r="AV132" s="4"/>
      <c r="AW132" s="4"/>
      <c r="AX132" s="4"/>
      <c r="AY132" s="40"/>
      <c r="AZ132" s="40"/>
      <c r="BA132" s="40"/>
      <c r="BB132" s="4"/>
      <c r="BC132" s="4"/>
      <c r="BD132" s="4"/>
      <c r="BE132" s="4"/>
      <c r="BF132" s="40"/>
      <c r="BG132" s="40"/>
      <c r="BH132" s="40"/>
      <c r="BI132" s="4"/>
      <c r="BJ132" s="4"/>
      <c r="BK132" s="4"/>
      <c r="BL132" s="4"/>
      <c r="BM132" s="40"/>
      <c r="BN132" s="40"/>
      <c r="BO132" s="40"/>
      <c r="BP132" s="4"/>
      <c r="BQ132" s="4"/>
      <c r="BR132" s="4"/>
      <c r="BS132" s="4"/>
      <c r="BT132" s="40"/>
      <c r="BU132" s="40"/>
      <c r="BV132" s="40"/>
      <c r="BW132" s="4"/>
      <c r="BX132" s="4"/>
      <c r="BY132" s="4"/>
      <c r="BZ132" s="4"/>
      <c r="CA132" s="40"/>
      <c r="CB132" s="40"/>
      <c r="CC132" s="40"/>
      <c r="CD132" s="4"/>
      <c r="CE132" s="4"/>
      <c r="CF132" s="4"/>
      <c r="CG132" s="4"/>
      <c r="CH132" s="40"/>
      <c r="CI132" s="40"/>
      <c r="CJ132" s="40"/>
      <c r="CK132" s="4"/>
      <c r="CL132" s="4"/>
      <c r="CM132" s="4"/>
      <c r="CN132" s="4"/>
      <c r="CO132" s="40"/>
      <c r="CP132" s="40"/>
      <c r="CQ132" s="40"/>
    </row>
    <row r="133" ht="15.75" customHeight="1">
      <c r="A133" s="4"/>
      <c r="B133" s="4"/>
      <c r="C133" s="4"/>
      <c r="D133" s="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"/>
      <c r="AB133" s="4"/>
      <c r="AC133" s="4"/>
      <c r="AD133" s="40"/>
      <c r="AE133" s="40"/>
      <c r="AF133" s="40"/>
      <c r="AG133" s="4"/>
      <c r="AH133" s="4"/>
      <c r="AI133" s="4"/>
      <c r="AJ133" s="4"/>
      <c r="AK133" s="40"/>
      <c r="AL133" s="40"/>
      <c r="AM133" s="40"/>
      <c r="AN133" s="4"/>
      <c r="AO133" s="4"/>
      <c r="AP133" s="4"/>
      <c r="AQ133" s="4"/>
      <c r="AR133" s="40"/>
      <c r="AS133" s="40"/>
      <c r="AT133" s="40"/>
      <c r="AU133" s="4"/>
      <c r="AV133" s="4"/>
      <c r="AW133" s="4"/>
      <c r="AX133" s="4"/>
      <c r="AY133" s="40"/>
      <c r="AZ133" s="40"/>
      <c r="BA133" s="40"/>
      <c r="BB133" s="4"/>
      <c r="BC133" s="4"/>
      <c r="BD133" s="4"/>
      <c r="BE133" s="4"/>
      <c r="BF133" s="40"/>
      <c r="BG133" s="40"/>
      <c r="BH133" s="40"/>
      <c r="BI133" s="4"/>
      <c r="BJ133" s="4"/>
      <c r="BK133" s="4"/>
      <c r="BL133" s="4"/>
      <c r="BM133" s="40"/>
      <c r="BN133" s="40"/>
      <c r="BO133" s="40"/>
      <c r="BP133" s="4"/>
      <c r="BQ133" s="4"/>
      <c r="BR133" s="4"/>
      <c r="BS133" s="4"/>
      <c r="BT133" s="40"/>
      <c r="BU133" s="40"/>
      <c r="BV133" s="40"/>
      <c r="BW133" s="4"/>
      <c r="BX133" s="4"/>
      <c r="BY133" s="4"/>
      <c r="BZ133" s="4"/>
      <c r="CA133" s="40"/>
      <c r="CB133" s="40"/>
      <c r="CC133" s="40"/>
      <c r="CD133" s="4"/>
      <c r="CE133" s="4"/>
      <c r="CF133" s="4"/>
      <c r="CG133" s="4"/>
      <c r="CH133" s="40"/>
      <c r="CI133" s="40"/>
      <c r="CJ133" s="40"/>
      <c r="CK133" s="4"/>
      <c r="CL133" s="4"/>
      <c r="CM133" s="4"/>
      <c r="CN133" s="4"/>
      <c r="CO133" s="40"/>
      <c r="CP133" s="40"/>
      <c r="CQ133" s="40"/>
    </row>
    <row r="134" ht="15.75" customHeight="1">
      <c r="A134" s="4"/>
      <c r="B134" s="4"/>
      <c r="C134" s="4"/>
      <c r="D134" s="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"/>
      <c r="AB134" s="4"/>
      <c r="AC134" s="4"/>
      <c r="AD134" s="40"/>
      <c r="AE134" s="40"/>
      <c r="AF134" s="40"/>
      <c r="AG134" s="4"/>
      <c r="AH134" s="4"/>
      <c r="AI134" s="4"/>
      <c r="AJ134" s="4"/>
      <c r="AK134" s="40"/>
      <c r="AL134" s="40"/>
      <c r="AM134" s="40"/>
      <c r="AN134" s="4"/>
      <c r="AO134" s="4"/>
      <c r="AP134" s="4"/>
      <c r="AQ134" s="4"/>
      <c r="AR134" s="40"/>
      <c r="AS134" s="40"/>
      <c r="AT134" s="40"/>
      <c r="AU134" s="4"/>
      <c r="AV134" s="4"/>
      <c r="AW134" s="4"/>
      <c r="AX134" s="4"/>
      <c r="AY134" s="40"/>
      <c r="AZ134" s="40"/>
      <c r="BA134" s="40"/>
      <c r="BB134" s="4"/>
      <c r="BC134" s="4"/>
      <c r="BD134" s="4"/>
      <c r="BE134" s="4"/>
      <c r="BF134" s="40"/>
      <c r="BG134" s="40"/>
      <c r="BH134" s="40"/>
      <c r="BI134" s="4"/>
      <c r="BJ134" s="4"/>
      <c r="BK134" s="4"/>
      <c r="BL134" s="4"/>
      <c r="BM134" s="40"/>
      <c r="BN134" s="40"/>
      <c r="BO134" s="40"/>
      <c r="BP134" s="4"/>
      <c r="BQ134" s="4"/>
      <c r="BR134" s="4"/>
      <c r="BS134" s="4"/>
      <c r="BT134" s="40"/>
      <c r="BU134" s="40"/>
      <c r="BV134" s="40"/>
      <c r="BW134" s="4"/>
      <c r="BX134" s="4"/>
      <c r="BY134" s="4"/>
      <c r="BZ134" s="4"/>
      <c r="CA134" s="40"/>
      <c r="CB134" s="40"/>
      <c r="CC134" s="40"/>
      <c r="CD134" s="4"/>
      <c r="CE134" s="4"/>
      <c r="CF134" s="4"/>
      <c r="CG134" s="4"/>
      <c r="CH134" s="40"/>
      <c r="CI134" s="40"/>
      <c r="CJ134" s="40"/>
      <c r="CK134" s="4"/>
      <c r="CL134" s="4"/>
      <c r="CM134" s="4"/>
      <c r="CN134" s="4"/>
      <c r="CO134" s="40"/>
      <c r="CP134" s="40"/>
      <c r="CQ134" s="40"/>
    </row>
    <row r="135" ht="15.75" customHeight="1">
      <c r="A135" s="4"/>
      <c r="B135" s="4"/>
      <c r="C135" s="4"/>
      <c r="D135" s="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"/>
      <c r="AB135" s="4"/>
      <c r="AC135" s="4"/>
      <c r="AD135" s="40"/>
      <c r="AE135" s="40"/>
      <c r="AF135" s="40"/>
      <c r="AG135" s="4"/>
      <c r="AH135" s="4"/>
      <c r="AI135" s="4"/>
      <c r="AJ135" s="4"/>
      <c r="AK135" s="40"/>
      <c r="AL135" s="40"/>
      <c r="AM135" s="40"/>
      <c r="AN135" s="4"/>
      <c r="AO135" s="4"/>
      <c r="AP135" s="4"/>
      <c r="AQ135" s="4"/>
      <c r="AR135" s="40"/>
      <c r="AS135" s="40"/>
      <c r="AT135" s="40"/>
      <c r="AU135" s="4"/>
      <c r="AV135" s="4"/>
      <c r="AW135" s="4"/>
      <c r="AX135" s="4"/>
      <c r="AY135" s="40"/>
      <c r="AZ135" s="40"/>
      <c r="BA135" s="40"/>
      <c r="BB135" s="4"/>
      <c r="BC135" s="4"/>
      <c r="BD135" s="4"/>
      <c r="BE135" s="4"/>
      <c r="BF135" s="40"/>
      <c r="BG135" s="40"/>
      <c r="BH135" s="40"/>
      <c r="BI135" s="4"/>
      <c r="BJ135" s="4"/>
      <c r="BK135" s="4"/>
      <c r="BL135" s="4"/>
      <c r="BM135" s="40"/>
      <c r="BN135" s="40"/>
      <c r="BO135" s="40"/>
      <c r="BP135" s="4"/>
      <c r="BQ135" s="4"/>
      <c r="BR135" s="4"/>
      <c r="BS135" s="4"/>
      <c r="BT135" s="40"/>
      <c r="BU135" s="40"/>
      <c r="BV135" s="40"/>
      <c r="BW135" s="4"/>
      <c r="BX135" s="4"/>
      <c r="BY135" s="4"/>
      <c r="BZ135" s="4"/>
      <c r="CA135" s="40"/>
      <c r="CB135" s="40"/>
      <c r="CC135" s="40"/>
      <c r="CD135" s="4"/>
      <c r="CE135" s="4"/>
      <c r="CF135" s="4"/>
      <c r="CG135" s="4"/>
      <c r="CH135" s="40"/>
      <c r="CI135" s="40"/>
      <c r="CJ135" s="40"/>
      <c r="CK135" s="4"/>
      <c r="CL135" s="4"/>
      <c r="CM135" s="4"/>
      <c r="CN135" s="4"/>
      <c r="CO135" s="40"/>
      <c r="CP135" s="40"/>
      <c r="CQ135" s="40"/>
    </row>
    <row r="136" ht="15.75" customHeight="1">
      <c r="A136" s="4"/>
      <c r="B136" s="4"/>
      <c r="C136" s="4"/>
      <c r="D136" s="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"/>
      <c r="AB136" s="4"/>
      <c r="AC136" s="4"/>
      <c r="AD136" s="40"/>
      <c r="AE136" s="40"/>
      <c r="AF136" s="40"/>
      <c r="AG136" s="4"/>
      <c r="AH136" s="4"/>
      <c r="AI136" s="4"/>
      <c r="AJ136" s="4"/>
      <c r="AK136" s="40"/>
      <c r="AL136" s="40"/>
      <c r="AM136" s="40"/>
      <c r="AN136" s="4"/>
      <c r="AO136" s="4"/>
      <c r="AP136" s="4"/>
      <c r="AQ136" s="4"/>
      <c r="AR136" s="40"/>
      <c r="AS136" s="40"/>
      <c r="AT136" s="40"/>
      <c r="AU136" s="4"/>
      <c r="AV136" s="4"/>
      <c r="AW136" s="4"/>
      <c r="AX136" s="4"/>
      <c r="AY136" s="40"/>
      <c r="AZ136" s="40"/>
      <c r="BA136" s="40"/>
      <c r="BB136" s="4"/>
      <c r="BC136" s="4"/>
      <c r="BD136" s="4"/>
      <c r="BE136" s="4"/>
      <c r="BF136" s="40"/>
      <c r="BG136" s="40"/>
      <c r="BH136" s="40"/>
      <c r="BI136" s="4"/>
      <c r="BJ136" s="4"/>
      <c r="BK136" s="4"/>
      <c r="BL136" s="4"/>
      <c r="BM136" s="40"/>
      <c r="BN136" s="40"/>
      <c r="BO136" s="40"/>
      <c r="BP136" s="4"/>
      <c r="BQ136" s="4"/>
      <c r="BR136" s="4"/>
      <c r="BS136" s="4"/>
      <c r="BT136" s="40"/>
      <c r="BU136" s="40"/>
      <c r="BV136" s="40"/>
      <c r="BW136" s="4"/>
      <c r="BX136" s="4"/>
      <c r="BY136" s="4"/>
      <c r="BZ136" s="4"/>
      <c r="CA136" s="40"/>
      <c r="CB136" s="40"/>
      <c r="CC136" s="40"/>
      <c r="CD136" s="4"/>
      <c r="CE136" s="4"/>
      <c r="CF136" s="4"/>
      <c r="CG136" s="4"/>
      <c r="CH136" s="40"/>
      <c r="CI136" s="40"/>
      <c r="CJ136" s="40"/>
      <c r="CK136" s="4"/>
      <c r="CL136" s="4"/>
      <c r="CM136" s="4"/>
      <c r="CN136" s="4"/>
      <c r="CO136" s="40"/>
      <c r="CP136" s="40"/>
      <c r="CQ136" s="40"/>
    </row>
    <row r="137" ht="15.75" customHeight="1">
      <c r="A137" s="4"/>
      <c r="B137" s="4"/>
      <c r="C137" s="4"/>
      <c r="D137" s="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"/>
      <c r="AB137" s="4"/>
      <c r="AC137" s="4"/>
      <c r="AD137" s="40"/>
      <c r="AE137" s="40"/>
      <c r="AF137" s="40"/>
      <c r="AG137" s="4"/>
      <c r="AH137" s="4"/>
      <c r="AI137" s="4"/>
      <c r="AJ137" s="4"/>
      <c r="AK137" s="40"/>
      <c r="AL137" s="40"/>
      <c r="AM137" s="40"/>
      <c r="AN137" s="4"/>
      <c r="AO137" s="4"/>
      <c r="AP137" s="4"/>
      <c r="AQ137" s="4"/>
      <c r="AR137" s="40"/>
      <c r="AS137" s="40"/>
      <c r="AT137" s="40"/>
      <c r="AU137" s="4"/>
      <c r="AV137" s="4"/>
      <c r="AW137" s="4"/>
      <c r="AX137" s="4"/>
      <c r="AY137" s="40"/>
      <c r="AZ137" s="40"/>
      <c r="BA137" s="40"/>
      <c r="BB137" s="4"/>
      <c r="BC137" s="4"/>
      <c r="BD137" s="4"/>
      <c r="BE137" s="4"/>
      <c r="BF137" s="40"/>
      <c r="BG137" s="40"/>
      <c r="BH137" s="40"/>
      <c r="BI137" s="4"/>
      <c r="BJ137" s="4"/>
      <c r="BK137" s="4"/>
      <c r="BL137" s="4"/>
      <c r="BM137" s="40"/>
      <c r="BN137" s="40"/>
      <c r="BO137" s="40"/>
      <c r="BP137" s="4"/>
      <c r="BQ137" s="4"/>
      <c r="BR137" s="4"/>
      <c r="BS137" s="4"/>
      <c r="BT137" s="40"/>
      <c r="BU137" s="40"/>
      <c r="BV137" s="40"/>
      <c r="BW137" s="4"/>
      <c r="BX137" s="4"/>
      <c r="BY137" s="4"/>
      <c r="BZ137" s="4"/>
      <c r="CA137" s="40"/>
      <c r="CB137" s="40"/>
      <c r="CC137" s="40"/>
      <c r="CD137" s="4"/>
      <c r="CE137" s="4"/>
      <c r="CF137" s="4"/>
      <c r="CG137" s="4"/>
      <c r="CH137" s="40"/>
      <c r="CI137" s="40"/>
      <c r="CJ137" s="40"/>
      <c r="CK137" s="4"/>
      <c r="CL137" s="4"/>
      <c r="CM137" s="4"/>
      <c r="CN137" s="4"/>
      <c r="CO137" s="40"/>
      <c r="CP137" s="40"/>
      <c r="CQ137" s="40"/>
    </row>
    <row r="138" ht="15.75" customHeight="1">
      <c r="A138" s="4"/>
      <c r="B138" s="4"/>
      <c r="C138" s="4"/>
      <c r="D138" s="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"/>
      <c r="AB138" s="4"/>
      <c r="AC138" s="4"/>
      <c r="AD138" s="40"/>
      <c r="AE138" s="40"/>
      <c r="AF138" s="40"/>
      <c r="AG138" s="4"/>
      <c r="AH138" s="4"/>
      <c r="AI138" s="4"/>
      <c r="AJ138" s="4"/>
      <c r="AK138" s="40"/>
      <c r="AL138" s="40"/>
      <c r="AM138" s="40"/>
      <c r="AN138" s="4"/>
      <c r="AO138" s="4"/>
      <c r="AP138" s="4"/>
      <c r="AQ138" s="4"/>
      <c r="AR138" s="40"/>
      <c r="AS138" s="40"/>
      <c r="AT138" s="40"/>
      <c r="AU138" s="4"/>
      <c r="AV138" s="4"/>
      <c r="AW138" s="4"/>
      <c r="AX138" s="4"/>
      <c r="AY138" s="40"/>
      <c r="AZ138" s="40"/>
      <c r="BA138" s="40"/>
      <c r="BB138" s="4"/>
      <c r="BC138" s="4"/>
      <c r="BD138" s="4"/>
      <c r="BE138" s="4"/>
      <c r="BF138" s="40"/>
      <c r="BG138" s="40"/>
      <c r="BH138" s="40"/>
      <c r="BI138" s="4"/>
      <c r="BJ138" s="4"/>
      <c r="BK138" s="4"/>
      <c r="BL138" s="4"/>
      <c r="BM138" s="40"/>
      <c r="BN138" s="40"/>
      <c r="BO138" s="40"/>
      <c r="BP138" s="4"/>
      <c r="BQ138" s="4"/>
      <c r="BR138" s="4"/>
      <c r="BS138" s="4"/>
      <c r="BT138" s="40"/>
      <c r="BU138" s="40"/>
      <c r="BV138" s="40"/>
      <c r="BW138" s="4"/>
      <c r="BX138" s="4"/>
      <c r="BY138" s="4"/>
      <c r="BZ138" s="4"/>
      <c r="CA138" s="40"/>
      <c r="CB138" s="40"/>
      <c r="CC138" s="40"/>
      <c r="CD138" s="4"/>
      <c r="CE138" s="4"/>
      <c r="CF138" s="4"/>
      <c r="CG138" s="4"/>
      <c r="CH138" s="40"/>
      <c r="CI138" s="40"/>
      <c r="CJ138" s="40"/>
      <c r="CK138" s="4"/>
      <c r="CL138" s="4"/>
      <c r="CM138" s="4"/>
      <c r="CN138" s="4"/>
      <c r="CO138" s="40"/>
      <c r="CP138" s="40"/>
      <c r="CQ138" s="40"/>
    </row>
    <row r="139" ht="15.75" customHeight="1">
      <c r="A139" s="4"/>
      <c r="B139" s="4"/>
      <c r="C139" s="4"/>
      <c r="D139" s="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"/>
      <c r="AB139" s="4"/>
      <c r="AC139" s="4"/>
      <c r="AD139" s="40"/>
      <c r="AE139" s="40"/>
      <c r="AF139" s="40"/>
      <c r="AG139" s="4"/>
      <c r="AH139" s="4"/>
      <c r="AI139" s="4"/>
      <c r="AJ139" s="4"/>
      <c r="AK139" s="40"/>
      <c r="AL139" s="40"/>
      <c r="AM139" s="40"/>
      <c r="AN139" s="4"/>
      <c r="AO139" s="4"/>
      <c r="AP139" s="4"/>
      <c r="AQ139" s="4"/>
      <c r="AR139" s="40"/>
      <c r="AS139" s="40"/>
      <c r="AT139" s="40"/>
      <c r="AU139" s="4"/>
      <c r="AV139" s="4"/>
      <c r="AW139" s="4"/>
      <c r="AX139" s="4"/>
      <c r="AY139" s="40"/>
      <c r="AZ139" s="40"/>
      <c r="BA139" s="40"/>
      <c r="BB139" s="4"/>
      <c r="BC139" s="4"/>
      <c r="BD139" s="4"/>
      <c r="BE139" s="4"/>
      <c r="BF139" s="40"/>
      <c r="BG139" s="40"/>
      <c r="BH139" s="40"/>
      <c r="BI139" s="4"/>
      <c r="BJ139" s="4"/>
      <c r="BK139" s="4"/>
      <c r="BL139" s="4"/>
      <c r="BM139" s="40"/>
      <c r="BN139" s="40"/>
      <c r="BO139" s="40"/>
      <c r="BP139" s="4"/>
      <c r="BQ139" s="4"/>
      <c r="BR139" s="4"/>
      <c r="BS139" s="4"/>
      <c r="BT139" s="40"/>
      <c r="BU139" s="40"/>
      <c r="BV139" s="40"/>
      <c r="BW139" s="4"/>
      <c r="BX139" s="4"/>
      <c r="BY139" s="4"/>
      <c r="BZ139" s="4"/>
      <c r="CA139" s="40"/>
      <c r="CB139" s="40"/>
      <c r="CC139" s="40"/>
      <c r="CD139" s="4"/>
      <c r="CE139" s="4"/>
      <c r="CF139" s="4"/>
      <c r="CG139" s="4"/>
      <c r="CH139" s="40"/>
      <c r="CI139" s="40"/>
      <c r="CJ139" s="40"/>
      <c r="CK139" s="4"/>
      <c r="CL139" s="4"/>
      <c r="CM139" s="4"/>
      <c r="CN139" s="4"/>
      <c r="CO139" s="40"/>
      <c r="CP139" s="40"/>
      <c r="CQ139" s="40"/>
    </row>
    <row r="140" ht="15.75" customHeight="1">
      <c r="A140" s="4"/>
      <c r="B140" s="4"/>
      <c r="C140" s="4"/>
      <c r="D140" s="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"/>
      <c r="AB140" s="4"/>
      <c r="AC140" s="4"/>
      <c r="AD140" s="40"/>
      <c r="AE140" s="40"/>
      <c r="AF140" s="40"/>
      <c r="AG140" s="4"/>
      <c r="AH140" s="4"/>
      <c r="AI140" s="4"/>
      <c r="AJ140" s="4"/>
      <c r="AK140" s="40"/>
      <c r="AL140" s="40"/>
      <c r="AM140" s="40"/>
      <c r="AN140" s="4"/>
      <c r="AO140" s="4"/>
      <c r="AP140" s="4"/>
      <c r="AQ140" s="4"/>
      <c r="AR140" s="40"/>
      <c r="AS140" s="40"/>
      <c r="AT140" s="40"/>
      <c r="AU140" s="4"/>
      <c r="AV140" s="4"/>
      <c r="AW140" s="4"/>
      <c r="AX140" s="4"/>
      <c r="AY140" s="40"/>
      <c r="AZ140" s="40"/>
      <c r="BA140" s="40"/>
      <c r="BB140" s="4"/>
      <c r="BC140" s="4"/>
      <c r="BD140" s="4"/>
      <c r="BE140" s="4"/>
      <c r="BF140" s="40"/>
      <c r="BG140" s="40"/>
      <c r="BH140" s="40"/>
      <c r="BI140" s="4"/>
      <c r="BJ140" s="4"/>
      <c r="BK140" s="4"/>
      <c r="BL140" s="4"/>
      <c r="BM140" s="40"/>
      <c r="BN140" s="40"/>
      <c r="BO140" s="40"/>
      <c r="BP140" s="4"/>
      <c r="BQ140" s="4"/>
      <c r="BR140" s="4"/>
      <c r="BS140" s="4"/>
      <c r="BT140" s="40"/>
      <c r="BU140" s="40"/>
      <c r="BV140" s="40"/>
      <c r="BW140" s="4"/>
      <c r="BX140" s="4"/>
      <c r="BY140" s="4"/>
      <c r="BZ140" s="4"/>
      <c r="CA140" s="40"/>
      <c r="CB140" s="40"/>
      <c r="CC140" s="40"/>
      <c r="CD140" s="4"/>
      <c r="CE140" s="4"/>
      <c r="CF140" s="4"/>
      <c r="CG140" s="4"/>
      <c r="CH140" s="40"/>
      <c r="CI140" s="40"/>
      <c r="CJ140" s="40"/>
      <c r="CK140" s="4"/>
      <c r="CL140" s="4"/>
      <c r="CM140" s="4"/>
      <c r="CN140" s="4"/>
      <c r="CO140" s="40"/>
      <c r="CP140" s="40"/>
      <c r="CQ140" s="40"/>
    </row>
    <row r="141" ht="15.75" customHeight="1">
      <c r="A141" s="4"/>
      <c r="B141" s="4"/>
      <c r="C141" s="4"/>
      <c r="D141" s="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"/>
      <c r="AB141" s="4"/>
      <c r="AC141" s="4"/>
      <c r="AD141" s="40"/>
      <c r="AE141" s="40"/>
      <c r="AF141" s="40"/>
      <c r="AG141" s="4"/>
      <c r="AH141" s="4"/>
      <c r="AI141" s="4"/>
      <c r="AJ141" s="4"/>
      <c r="AK141" s="40"/>
      <c r="AL141" s="40"/>
      <c r="AM141" s="40"/>
      <c r="AN141" s="4"/>
      <c r="AO141" s="4"/>
      <c r="AP141" s="4"/>
      <c r="AQ141" s="4"/>
      <c r="AR141" s="40"/>
      <c r="AS141" s="40"/>
      <c r="AT141" s="40"/>
      <c r="AU141" s="4"/>
      <c r="AV141" s="4"/>
      <c r="AW141" s="4"/>
      <c r="AX141" s="4"/>
      <c r="AY141" s="40"/>
      <c r="AZ141" s="40"/>
      <c r="BA141" s="40"/>
      <c r="BB141" s="4"/>
      <c r="BC141" s="4"/>
      <c r="BD141" s="4"/>
      <c r="BE141" s="4"/>
      <c r="BF141" s="40"/>
      <c r="BG141" s="40"/>
      <c r="BH141" s="40"/>
      <c r="BI141" s="4"/>
      <c r="BJ141" s="4"/>
      <c r="BK141" s="4"/>
      <c r="BL141" s="4"/>
      <c r="BM141" s="40"/>
      <c r="BN141" s="40"/>
      <c r="BO141" s="40"/>
      <c r="BP141" s="4"/>
      <c r="BQ141" s="4"/>
      <c r="BR141" s="4"/>
      <c r="BS141" s="4"/>
      <c r="BT141" s="40"/>
      <c r="BU141" s="40"/>
      <c r="BV141" s="40"/>
      <c r="BW141" s="4"/>
      <c r="BX141" s="4"/>
      <c r="BY141" s="4"/>
      <c r="BZ141" s="4"/>
      <c r="CA141" s="40"/>
      <c r="CB141" s="40"/>
      <c r="CC141" s="40"/>
      <c r="CD141" s="4"/>
      <c r="CE141" s="4"/>
      <c r="CF141" s="4"/>
      <c r="CG141" s="4"/>
      <c r="CH141" s="40"/>
      <c r="CI141" s="40"/>
      <c r="CJ141" s="40"/>
      <c r="CK141" s="4"/>
      <c r="CL141" s="4"/>
      <c r="CM141" s="4"/>
      <c r="CN141" s="4"/>
      <c r="CO141" s="40"/>
      <c r="CP141" s="40"/>
      <c r="CQ141" s="40"/>
    </row>
    <row r="142" ht="15.75" customHeight="1">
      <c r="A142" s="4"/>
      <c r="B142" s="4"/>
      <c r="C142" s="4"/>
      <c r="D142" s="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"/>
      <c r="AB142" s="4"/>
      <c r="AC142" s="4"/>
      <c r="AD142" s="40"/>
      <c r="AE142" s="40"/>
      <c r="AF142" s="40"/>
      <c r="AG142" s="4"/>
      <c r="AH142" s="4"/>
      <c r="AI142" s="4"/>
      <c r="AJ142" s="4"/>
      <c r="AK142" s="40"/>
      <c r="AL142" s="40"/>
      <c r="AM142" s="40"/>
      <c r="AN142" s="4"/>
      <c r="AO142" s="4"/>
      <c r="AP142" s="4"/>
      <c r="AQ142" s="4"/>
      <c r="AR142" s="40"/>
      <c r="AS142" s="40"/>
      <c r="AT142" s="40"/>
      <c r="AU142" s="4"/>
      <c r="AV142" s="4"/>
      <c r="AW142" s="4"/>
      <c r="AX142" s="4"/>
      <c r="AY142" s="40"/>
      <c r="AZ142" s="40"/>
      <c r="BA142" s="40"/>
      <c r="BB142" s="4"/>
      <c r="BC142" s="4"/>
      <c r="BD142" s="4"/>
      <c r="BE142" s="4"/>
      <c r="BF142" s="40"/>
      <c r="BG142" s="40"/>
      <c r="BH142" s="40"/>
      <c r="BI142" s="4"/>
      <c r="BJ142" s="4"/>
      <c r="BK142" s="4"/>
      <c r="BL142" s="4"/>
      <c r="BM142" s="40"/>
      <c r="BN142" s="40"/>
      <c r="BO142" s="40"/>
      <c r="BP142" s="4"/>
      <c r="BQ142" s="4"/>
      <c r="BR142" s="4"/>
      <c r="BS142" s="4"/>
      <c r="BT142" s="40"/>
      <c r="BU142" s="40"/>
      <c r="BV142" s="40"/>
      <c r="BW142" s="4"/>
      <c r="BX142" s="4"/>
      <c r="BY142" s="4"/>
      <c r="BZ142" s="4"/>
      <c r="CA142" s="40"/>
      <c r="CB142" s="40"/>
      <c r="CC142" s="40"/>
      <c r="CD142" s="4"/>
      <c r="CE142" s="4"/>
      <c r="CF142" s="4"/>
      <c r="CG142" s="4"/>
      <c r="CH142" s="40"/>
      <c r="CI142" s="40"/>
      <c r="CJ142" s="40"/>
      <c r="CK142" s="4"/>
      <c r="CL142" s="4"/>
      <c r="CM142" s="4"/>
      <c r="CN142" s="4"/>
      <c r="CO142" s="40"/>
      <c r="CP142" s="40"/>
      <c r="CQ142" s="40"/>
    </row>
    <row r="143" ht="15.75" customHeight="1">
      <c r="A143" s="4"/>
      <c r="B143" s="4"/>
      <c r="C143" s="4"/>
      <c r="D143" s="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"/>
      <c r="AB143" s="4"/>
      <c r="AC143" s="4"/>
      <c r="AD143" s="40"/>
      <c r="AE143" s="40"/>
      <c r="AF143" s="40"/>
      <c r="AG143" s="4"/>
      <c r="AH143" s="4"/>
      <c r="AI143" s="4"/>
      <c r="AJ143" s="4"/>
      <c r="AK143" s="40"/>
      <c r="AL143" s="40"/>
      <c r="AM143" s="40"/>
      <c r="AN143" s="4"/>
      <c r="AO143" s="4"/>
      <c r="AP143" s="4"/>
      <c r="AQ143" s="4"/>
      <c r="AR143" s="40"/>
      <c r="AS143" s="40"/>
      <c r="AT143" s="40"/>
      <c r="AU143" s="4"/>
      <c r="AV143" s="4"/>
      <c r="AW143" s="4"/>
      <c r="AX143" s="4"/>
      <c r="AY143" s="40"/>
      <c r="AZ143" s="40"/>
      <c r="BA143" s="40"/>
      <c r="BB143" s="4"/>
      <c r="BC143" s="4"/>
      <c r="BD143" s="4"/>
      <c r="BE143" s="4"/>
      <c r="BF143" s="40"/>
      <c r="BG143" s="40"/>
      <c r="BH143" s="40"/>
      <c r="BI143" s="4"/>
      <c r="BJ143" s="4"/>
      <c r="BK143" s="4"/>
      <c r="BL143" s="4"/>
      <c r="BM143" s="40"/>
      <c r="BN143" s="40"/>
      <c r="BO143" s="40"/>
      <c r="BP143" s="4"/>
      <c r="BQ143" s="4"/>
      <c r="BR143" s="4"/>
      <c r="BS143" s="4"/>
      <c r="BT143" s="40"/>
      <c r="BU143" s="40"/>
      <c r="BV143" s="40"/>
      <c r="BW143" s="4"/>
      <c r="BX143" s="4"/>
      <c r="BY143" s="4"/>
      <c r="BZ143" s="4"/>
      <c r="CA143" s="40"/>
      <c r="CB143" s="40"/>
      <c r="CC143" s="40"/>
      <c r="CD143" s="4"/>
      <c r="CE143" s="4"/>
      <c r="CF143" s="4"/>
      <c r="CG143" s="4"/>
      <c r="CH143" s="40"/>
      <c r="CI143" s="40"/>
      <c r="CJ143" s="40"/>
      <c r="CK143" s="4"/>
      <c r="CL143" s="4"/>
      <c r="CM143" s="4"/>
      <c r="CN143" s="4"/>
      <c r="CO143" s="40"/>
      <c r="CP143" s="40"/>
      <c r="CQ143" s="40"/>
    </row>
    <row r="144" ht="15.75" customHeight="1">
      <c r="A144" s="4"/>
      <c r="B144" s="4"/>
      <c r="C144" s="4"/>
      <c r="D144" s="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"/>
      <c r="AB144" s="4"/>
      <c r="AC144" s="4"/>
      <c r="AD144" s="40"/>
      <c r="AE144" s="40"/>
      <c r="AF144" s="40"/>
      <c r="AG144" s="4"/>
      <c r="AH144" s="4"/>
      <c r="AI144" s="4"/>
      <c r="AJ144" s="4"/>
      <c r="AK144" s="40"/>
      <c r="AL144" s="40"/>
      <c r="AM144" s="40"/>
      <c r="AN144" s="4"/>
      <c r="AO144" s="4"/>
      <c r="AP144" s="4"/>
      <c r="AQ144" s="4"/>
      <c r="AR144" s="40"/>
      <c r="AS144" s="40"/>
      <c r="AT144" s="40"/>
      <c r="AU144" s="4"/>
      <c r="AV144" s="4"/>
      <c r="AW144" s="4"/>
      <c r="AX144" s="4"/>
      <c r="AY144" s="40"/>
      <c r="AZ144" s="40"/>
      <c r="BA144" s="40"/>
      <c r="BB144" s="4"/>
      <c r="BC144" s="4"/>
      <c r="BD144" s="4"/>
      <c r="BE144" s="4"/>
      <c r="BF144" s="40"/>
      <c r="BG144" s="40"/>
      <c r="BH144" s="40"/>
      <c r="BI144" s="4"/>
      <c r="BJ144" s="4"/>
      <c r="BK144" s="4"/>
      <c r="BL144" s="4"/>
      <c r="BM144" s="40"/>
      <c r="BN144" s="40"/>
      <c r="BO144" s="40"/>
      <c r="BP144" s="4"/>
      <c r="BQ144" s="4"/>
      <c r="BR144" s="4"/>
      <c r="BS144" s="4"/>
      <c r="BT144" s="40"/>
      <c r="BU144" s="40"/>
      <c r="BV144" s="40"/>
      <c r="BW144" s="4"/>
      <c r="BX144" s="4"/>
      <c r="BY144" s="4"/>
      <c r="BZ144" s="4"/>
      <c r="CA144" s="40"/>
      <c r="CB144" s="40"/>
      <c r="CC144" s="40"/>
      <c r="CD144" s="4"/>
      <c r="CE144" s="4"/>
      <c r="CF144" s="4"/>
      <c r="CG144" s="4"/>
      <c r="CH144" s="40"/>
      <c r="CI144" s="40"/>
      <c r="CJ144" s="40"/>
      <c r="CK144" s="4"/>
      <c r="CL144" s="4"/>
      <c r="CM144" s="4"/>
      <c r="CN144" s="4"/>
      <c r="CO144" s="40"/>
      <c r="CP144" s="40"/>
      <c r="CQ144" s="40"/>
    </row>
    <row r="145" ht="15.75" customHeight="1">
      <c r="A145" s="4"/>
      <c r="B145" s="4"/>
      <c r="C145" s="4"/>
      <c r="D145" s="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"/>
      <c r="AB145" s="4"/>
      <c r="AC145" s="4"/>
      <c r="AD145" s="40"/>
      <c r="AE145" s="40"/>
      <c r="AF145" s="40"/>
      <c r="AG145" s="4"/>
      <c r="AH145" s="4"/>
      <c r="AI145" s="4"/>
      <c r="AJ145" s="4"/>
      <c r="AK145" s="40"/>
      <c r="AL145" s="40"/>
      <c r="AM145" s="40"/>
      <c r="AN145" s="4"/>
      <c r="AO145" s="4"/>
      <c r="AP145" s="4"/>
      <c r="AQ145" s="4"/>
      <c r="AR145" s="40"/>
      <c r="AS145" s="40"/>
      <c r="AT145" s="40"/>
      <c r="AU145" s="4"/>
      <c r="AV145" s="4"/>
      <c r="AW145" s="4"/>
      <c r="AX145" s="4"/>
      <c r="AY145" s="40"/>
      <c r="AZ145" s="40"/>
      <c r="BA145" s="40"/>
      <c r="BB145" s="4"/>
      <c r="BC145" s="4"/>
      <c r="BD145" s="4"/>
      <c r="BE145" s="4"/>
      <c r="BF145" s="40"/>
      <c r="BG145" s="40"/>
      <c r="BH145" s="40"/>
      <c r="BI145" s="4"/>
      <c r="BJ145" s="4"/>
      <c r="BK145" s="4"/>
      <c r="BL145" s="4"/>
      <c r="BM145" s="40"/>
      <c r="BN145" s="40"/>
      <c r="BO145" s="40"/>
      <c r="BP145" s="4"/>
      <c r="BQ145" s="4"/>
      <c r="BR145" s="4"/>
      <c r="BS145" s="4"/>
      <c r="BT145" s="40"/>
      <c r="BU145" s="40"/>
      <c r="BV145" s="40"/>
      <c r="BW145" s="4"/>
      <c r="BX145" s="4"/>
      <c r="BY145" s="4"/>
      <c r="BZ145" s="4"/>
      <c r="CA145" s="40"/>
      <c r="CB145" s="40"/>
      <c r="CC145" s="40"/>
      <c r="CD145" s="4"/>
      <c r="CE145" s="4"/>
      <c r="CF145" s="4"/>
      <c r="CG145" s="4"/>
      <c r="CH145" s="40"/>
      <c r="CI145" s="40"/>
      <c r="CJ145" s="40"/>
      <c r="CK145" s="4"/>
      <c r="CL145" s="4"/>
      <c r="CM145" s="4"/>
      <c r="CN145" s="4"/>
      <c r="CO145" s="40"/>
      <c r="CP145" s="40"/>
      <c r="CQ145" s="40"/>
    </row>
    <row r="146" ht="15.75" customHeight="1">
      <c r="A146" s="4"/>
      <c r="B146" s="4"/>
      <c r="C146" s="4"/>
      <c r="D146" s="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"/>
      <c r="AB146" s="4"/>
      <c r="AC146" s="4"/>
      <c r="AD146" s="40"/>
      <c r="AE146" s="40"/>
      <c r="AF146" s="40"/>
      <c r="AG146" s="4"/>
      <c r="AH146" s="4"/>
      <c r="AI146" s="4"/>
      <c r="AJ146" s="4"/>
      <c r="AK146" s="40"/>
      <c r="AL146" s="40"/>
      <c r="AM146" s="40"/>
      <c r="AN146" s="4"/>
      <c r="AO146" s="4"/>
      <c r="AP146" s="4"/>
      <c r="AQ146" s="4"/>
      <c r="AR146" s="40"/>
      <c r="AS146" s="40"/>
      <c r="AT146" s="40"/>
      <c r="AU146" s="4"/>
      <c r="AV146" s="4"/>
      <c r="AW146" s="4"/>
      <c r="AX146" s="4"/>
      <c r="AY146" s="40"/>
      <c r="AZ146" s="40"/>
      <c r="BA146" s="40"/>
      <c r="BB146" s="4"/>
      <c r="BC146" s="4"/>
      <c r="BD146" s="4"/>
      <c r="BE146" s="4"/>
      <c r="BF146" s="40"/>
      <c r="BG146" s="40"/>
      <c r="BH146" s="40"/>
      <c r="BI146" s="4"/>
      <c r="BJ146" s="4"/>
      <c r="BK146" s="4"/>
      <c r="BL146" s="4"/>
      <c r="BM146" s="40"/>
      <c r="BN146" s="40"/>
      <c r="BO146" s="40"/>
      <c r="BP146" s="4"/>
      <c r="BQ146" s="4"/>
      <c r="BR146" s="4"/>
      <c r="BS146" s="4"/>
      <c r="BT146" s="40"/>
      <c r="BU146" s="40"/>
      <c r="BV146" s="40"/>
      <c r="BW146" s="4"/>
      <c r="BX146" s="4"/>
      <c r="BY146" s="4"/>
      <c r="BZ146" s="4"/>
      <c r="CA146" s="40"/>
      <c r="CB146" s="40"/>
      <c r="CC146" s="40"/>
      <c r="CD146" s="4"/>
      <c r="CE146" s="4"/>
      <c r="CF146" s="4"/>
      <c r="CG146" s="4"/>
      <c r="CH146" s="40"/>
      <c r="CI146" s="40"/>
      <c r="CJ146" s="40"/>
      <c r="CK146" s="4"/>
      <c r="CL146" s="4"/>
      <c r="CM146" s="4"/>
      <c r="CN146" s="4"/>
      <c r="CO146" s="40"/>
      <c r="CP146" s="40"/>
      <c r="CQ146" s="40"/>
    </row>
    <row r="147" ht="15.75" customHeight="1">
      <c r="A147" s="4"/>
      <c r="B147" s="4"/>
      <c r="C147" s="4"/>
      <c r="D147" s="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"/>
      <c r="AB147" s="4"/>
      <c r="AC147" s="4"/>
      <c r="AD147" s="40"/>
      <c r="AE147" s="40"/>
      <c r="AF147" s="40"/>
      <c r="AG147" s="4"/>
      <c r="AH147" s="4"/>
      <c r="AI147" s="4"/>
      <c r="AJ147" s="4"/>
      <c r="AK147" s="40"/>
      <c r="AL147" s="40"/>
      <c r="AM147" s="40"/>
      <c r="AN147" s="4"/>
      <c r="AO147" s="4"/>
      <c r="AP147" s="4"/>
      <c r="AQ147" s="4"/>
      <c r="AR147" s="40"/>
      <c r="AS147" s="40"/>
      <c r="AT147" s="40"/>
      <c r="AU147" s="4"/>
      <c r="AV147" s="4"/>
      <c r="AW147" s="4"/>
      <c r="AX147" s="4"/>
      <c r="AY147" s="40"/>
      <c r="AZ147" s="40"/>
      <c r="BA147" s="40"/>
      <c r="BB147" s="4"/>
      <c r="BC147" s="4"/>
      <c r="BD147" s="4"/>
      <c r="BE147" s="4"/>
      <c r="BF147" s="40"/>
      <c r="BG147" s="40"/>
      <c r="BH147" s="40"/>
      <c r="BI147" s="4"/>
      <c r="BJ147" s="4"/>
      <c r="BK147" s="4"/>
      <c r="BL147" s="4"/>
      <c r="BM147" s="40"/>
      <c r="BN147" s="40"/>
      <c r="BO147" s="40"/>
      <c r="BP147" s="4"/>
      <c r="BQ147" s="4"/>
      <c r="BR147" s="4"/>
      <c r="BS147" s="4"/>
      <c r="BT147" s="40"/>
      <c r="BU147" s="40"/>
      <c r="BV147" s="40"/>
      <c r="BW147" s="4"/>
      <c r="BX147" s="4"/>
      <c r="BY147" s="4"/>
      <c r="BZ147" s="4"/>
      <c r="CA147" s="40"/>
      <c r="CB147" s="40"/>
      <c r="CC147" s="40"/>
      <c r="CD147" s="4"/>
      <c r="CE147" s="4"/>
      <c r="CF147" s="4"/>
      <c r="CG147" s="4"/>
      <c r="CH147" s="40"/>
      <c r="CI147" s="40"/>
      <c r="CJ147" s="40"/>
      <c r="CK147" s="4"/>
      <c r="CL147" s="4"/>
      <c r="CM147" s="4"/>
      <c r="CN147" s="4"/>
      <c r="CO147" s="40"/>
      <c r="CP147" s="40"/>
      <c r="CQ147" s="40"/>
    </row>
    <row r="148" ht="15.75" customHeight="1">
      <c r="A148" s="4"/>
      <c r="B148" s="4"/>
      <c r="C148" s="4"/>
      <c r="D148" s="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"/>
      <c r="AB148" s="4"/>
      <c r="AC148" s="4"/>
      <c r="AD148" s="40"/>
      <c r="AE148" s="40"/>
      <c r="AF148" s="40"/>
      <c r="AG148" s="4"/>
      <c r="AH148" s="4"/>
      <c r="AI148" s="4"/>
      <c r="AJ148" s="4"/>
      <c r="AK148" s="40"/>
      <c r="AL148" s="40"/>
      <c r="AM148" s="40"/>
      <c r="AN148" s="4"/>
      <c r="AO148" s="4"/>
      <c r="AP148" s="4"/>
      <c r="AQ148" s="4"/>
      <c r="AR148" s="40"/>
      <c r="AS148" s="40"/>
      <c r="AT148" s="40"/>
      <c r="AU148" s="4"/>
      <c r="AV148" s="4"/>
      <c r="AW148" s="4"/>
      <c r="AX148" s="4"/>
      <c r="AY148" s="40"/>
      <c r="AZ148" s="40"/>
      <c r="BA148" s="40"/>
      <c r="BB148" s="4"/>
      <c r="BC148" s="4"/>
      <c r="BD148" s="4"/>
      <c r="BE148" s="4"/>
      <c r="BF148" s="40"/>
      <c r="BG148" s="40"/>
      <c r="BH148" s="40"/>
      <c r="BI148" s="4"/>
      <c r="BJ148" s="4"/>
      <c r="BK148" s="4"/>
      <c r="BL148" s="4"/>
      <c r="BM148" s="40"/>
      <c r="BN148" s="40"/>
      <c r="BO148" s="40"/>
      <c r="BP148" s="4"/>
      <c r="BQ148" s="4"/>
      <c r="BR148" s="4"/>
      <c r="BS148" s="4"/>
      <c r="BT148" s="40"/>
      <c r="BU148" s="40"/>
      <c r="BV148" s="40"/>
      <c r="BW148" s="4"/>
      <c r="BX148" s="4"/>
      <c r="BY148" s="4"/>
      <c r="BZ148" s="4"/>
      <c r="CA148" s="40"/>
      <c r="CB148" s="40"/>
      <c r="CC148" s="40"/>
      <c r="CD148" s="4"/>
      <c r="CE148" s="4"/>
      <c r="CF148" s="4"/>
      <c r="CG148" s="4"/>
      <c r="CH148" s="40"/>
      <c r="CI148" s="40"/>
      <c r="CJ148" s="40"/>
      <c r="CK148" s="4"/>
      <c r="CL148" s="4"/>
      <c r="CM148" s="4"/>
      <c r="CN148" s="4"/>
      <c r="CO148" s="40"/>
      <c r="CP148" s="40"/>
      <c r="CQ148" s="40"/>
    </row>
    <row r="149" ht="15.75" customHeight="1">
      <c r="A149" s="4"/>
      <c r="B149" s="4"/>
      <c r="C149" s="4"/>
      <c r="D149" s="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"/>
      <c r="AB149" s="4"/>
      <c r="AC149" s="4"/>
      <c r="AD149" s="40"/>
      <c r="AE149" s="40"/>
      <c r="AF149" s="40"/>
      <c r="AG149" s="4"/>
      <c r="AH149" s="4"/>
      <c r="AI149" s="4"/>
      <c r="AJ149" s="4"/>
      <c r="AK149" s="40"/>
      <c r="AL149" s="40"/>
      <c r="AM149" s="40"/>
      <c r="AN149" s="4"/>
      <c r="AO149" s="4"/>
      <c r="AP149" s="4"/>
      <c r="AQ149" s="4"/>
      <c r="AR149" s="40"/>
      <c r="AS149" s="40"/>
      <c r="AT149" s="40"/>
      <c r="AU149" s="4"/>
      <c r="AV149" s="4"/>
      <c r="AW149" s="4"/>
      <c r="AX149" s="4"/>
      <c r="AY149" s="40"/>
      <c r="AZ149" s="40"/>
      <c r="BA149" s="40"/>
      <c r="BB149" s="4"/>
      <c r="BC149" s="4"/>
      <c r="BD149" s="4"/>
      <c r="BE149" s="4"/>
      <c r="BF149" s="40"/>
      <c r="BG149" s="40"/>
      <c r="BH149" s="40"/>
      <c r="BI149" s="4"/>
      <c r="BJ149" s="4"/>
      <c r="BK149" s="4"/>
      <c r="BL149" s="4"/>
      <c r="BM149" s="40"/>
      <c r="BN149" s="40"/>
      <c r="BO149" s="40"/>
      <c r="BP149" s="4"/>
      <c r="BQ149" s="4"/>
      <c r="BR149" s="4"/>
      <c r="BS149" s="4"/>
      <c r="BT149" s="40"/>
      <c r="BU149" s="40"/>
      <c r="BV149" s="40"/>
      <c r="BW149" s="4"/>
      <c r="BX149" s="4"/>
      <c r="BY149" s="4"/>
      <c r="BZ149" s="4"/>
      <c r="CA149" s="40"/>
      <c r="CB149" s="40"/>
      <c r="CC149" s="40"/>
      <c r="CD149" s="4"/>
      <c r="CE149" s="4"/>
      <c r="CF149" s="4"/>
      <c r="CG149" s="4"/>
      <c r="CH149" s="40"/>
      <c r="CI149" s="40"/>
      <c r="CJ149" s="40"/>
      <c r="CK149" s="4"/>
      <c r="CL149" s="4"/>
      <c r="CM149" s="4"/>
      <c r="CN149" s="4"/>
      <c r="CO149" s="40"/>
      <c r="CP149" s="40"/>
      <c r="CQ149" s="40"/>
    </row>
    <row r="150" ht="15.75" customHeight="1">
      <c r="A150" s="4"/>
      <c r="B150" s="4"/>
      <c r="C150" s="4"/>
      <c r="D150" s="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"/>
      <c r="AB150" s="4"/>
      <c r="AC150" s="4"/>
      <c r="AD150" s="40"/>
      <c r="AE150" s="40"/>
      <c r="AF150" s="40"/>
      <c r="AG150" s="4"/>
      <c r="AH150" s="4"/>
      <c r="AI150" s="4"/>
      <c r="AJ150" s="4"/>
      <c r="AK150" s="40"/>
      <c r="AL150" s="40"/>
      <c r="AM150" s="40"/>
      <c r="AN150" s="4"/>
      <c r="AO150" s="4"/>
      <c r="AP150" s="4"/>
      <c r="AQ150" s="4"/>
      <c r="AR150" s="40"/>
      <c r="AS150" s="40"/>
      <c r="AT150" s="40"/>
      <c r="AU150" s="4"/>
      <c r="AV150" s="4"/>
      <c r="AW150" s="4"/>
      <c r="AX150" s="4"/>
      <c r="AY150" s="40"/>
      <c r="AZ150" s="40"/>
      <c r="BA150" s="40"/>
      <c r="BB150" s="4"/>
      <c r="BC150" s="4"/>
      <c r="BD150" s="4"/>
      <c r="BE150" s="4"/>
      <c r="BF150" s="40"/>
      <c r="BG150" s="40"/>
      <c r="BH150" s="40"/>
      <c r="BI150" s="4"/>
      <c r="BJ150" s="4"/>
      <c r="BK150" s="4"/>
      <c r="BL150" s="4"/>
      <c r="BM150" s="40"/>
      <c r="BN150" s="40"/>
      <c r="BO150" s="40"/>
      <c r="BP150" s="4"/>
      <c r="BQ150" s="4"/>
      <c r="BR150" s="4"/>
      <c r="BS150" s="4"/>
      <c r="BT150" s="40"/>
      <c r="BU150" s="40"/>
      <c r="BV150" s="40"/>
      <c r="BW150" s="4"/>
      <c r="BX150" s="4"/>
      <c r="BY150" s="4"/>
      <c r="BZ150" s="4"/>
      <c r="CA150" s="40"/>
      <c r="CB150" s="40"/>
      <c r="CC150" s="40"/>
      <c r="CD150" s="4"/>
      <c r="CE150" s="4"/>
      <c r="CF150" s="4"/>
      <c r="CG150" s="4"/>
      <c r="CH150" s="40"/>
      <c r="CI150" s="40"/>
      <c r="CJ150" s="40"/>
      <c r="CK150" s="4"/>
      <c r="CL150" s="4"/>
      <c r="CM150" s="4"/>
      <c r="CN150" s="4"/>
      <c r="CO150" s="40"/>
      <c r="CP150" s="40"/>
      <c r="CQ150" s="40"/>
    </row>
    <row r="151" ht="15.75" customHeight="1">
      <c r="A151" s="4"/>
      <c r="B151" s="4"/>
      <c r="C151" s="4"/>
      <c r="D151" s="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"/>
      <c r="AB151" s="4"/>
      <c r="AC151" s="4"/>
      <c r="AD151" s="40"/>
      <c r="AE151" s="40"/>
      <c r="AF151" s="40"/>
      <c r="AG151" s="4"/>
      <c r="AH151" s="4"/>
      <c r="AI151" s="4"/>
      <c r="AJ151" s="4"/>
      <c r="AK151" s="40"/>
      <c r="AL151" s="40"/>
      <c r="AM151" s="40"/>
      <c r="AN151" s="4"/>
      <c r="AO151" s="4"/>
      <c r="AP151" s="4"/>
      <c r="AQ151" s="4"/>
      <c r="AR151" s="40"/>
      <c r="AS151" s="40"/>
      <c r="AT151" s="40"/>
      <c r="AU151" s="4"/>
      <c r="AV151" s="4"/>
      <c r="AW151" s="4"/>
      <c r="AX151" s="4"/>
      <c r="AY151" s="40"/>
      <c r="AZ151" s="40"/>
      <c r="BA151" s="40"/>
      <c r="BB151" s="4"/>
      <c r="BC151" s="4"/>
      <c r="BD151" s="4"/>
      <c r="BE151" s="4"/>
      <c r="BF151" s="40"/>
      <c r="BG151" s="40"/>
      <c r="BH151" s="40"/>
      <c r="BI151" s="4"/>
      <c r="BJ151" s="4"/>
      <c r="BK151" s="4"/>
      <c r="BL151" s="4"/>
      <c r="BM151" s="40"/>
      <c r="BN151" s="40"/>
      <c r="BO151" s="40"/>
      <c r="BP151" s="4"/>
      <c r="BQ151" s="4"/>
      <c r="BR151" s="4"/>
      <c r="BS151" s="4"/>
      <c r="BT151" s="40"/>
      <c r="BU151" s="40"/>
      <c r="BV151" s="40"/>
      <c r="BW151" s="4"/>
      <c r="BX151" s="4"/>
      <c r="BY151" s="4"/>
      <c r="BZ151" s="4"/>
      <c r="CA151" s="40"/>
      <c r="CB151" s="40"/>
      <c r="CC151" s="40"/>
      <c r="CD151" s="4"/>
      <c r="CE151" s="4"/>
      <c r="CF151" s="4"/>
      <c r="CG151" s="4"/>
      <c r="CH151" s="40"/>
      <c r="CI151" s="40"/>
      <c r="CJ151" s="40"/>
      <c r="CK151" s="4"/>
      <c r="CL151" s="4"/>
      <c r="CM151" s="4"/>
      <c r="CN151" s="4"/>
      <c r="CO151" s="40"/>
      <c r="CP151" s="40"/>
      <c r="CQ151" s="40"/>
    </row>
    <row r="152" ht="15.75" customHeight="1">
      <c r="A152" s="4"/>
      <c r="B152" s="4"/>
      <c r="C152" s="4"/>
      <c r="D152" s="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"/>
      <c r="AB152" s="4"/>
      <c r="AC152" s="4"/>
      <c r="AD152" s="40"/>
      <c r="AE152" s="40"/>
      <c r="AF152" s="40"/>
      <c r="AG152" s="4"/>
      <c r="AH152" s="4"/>
      <c r="AI152" s="4"/>
      <c r="AJ152" s="4"/>
      <c r="AK152" s="40"/>
      <c r="AL152" s="40"/>
      <c r="AM152" s="40"/>
      <c r="AN152" s="4"/>
      <c r="AO152" s="4"/>
      <c r="AP152" s="4"/>
      <c r="AQ152" s="4"/>
      <c r="AR152" s="40"/>
      <c r="AS152" s="40"/>
      <c r="AT152" s="40"/>
      <c r="AU152" s="4"/>
      <c r="AV152" s="4"/>
      <c r="AW152" s="4"/>
      <c r="AX152" s="4"/>
      <c r="AY152" s="40"/>
      <c r="AZ152" s="40"/>
      <c r="BA152" s="40"/>
      <c r="BB152" s="4"/>
      <c r="BC152" s="4"/>
      <c r="BD152" s="4"/>
      <c r="BE152" s="4"/>
      <c r="BF152" s="40"/>
      <c r="BG152" s="40"/>
      <c r="BH152" s="40"/>
      <c r="BI152" s="4"/>
      <c r="BJ152" s="4"/>
      <c r="BK152" s="4"/>
      <c r="BL152" s="4"/>
      <c r="BM152" s="40"/>
      <c r="BN152" s="40"/>
      <c r="BO152" s="40"/>
      <c r="BP152" s="4"/>
      <c r="BQ152" s="4"/>
      <c r="BR152" s="4"/>
      <c r="BS152" s="4"/>
      <c r="BT152" s="40"/>
      <c r="BU152" s="40"/>
      <c r="BV152" s="40"/>
      <c r="BW152" s="4"/>
      <c r="BX152" s="4"/>
      <c r="BY152" s="4"/>
      <c r="BZ152" s="4"/>
      <c r="CA152" s="40"/>
      <c r="CB152" s="40"/>
      <c r="CC152" s="40"/>
      <c r="CD152" s="4"/>
      <c r="CE152" s="4"/>
      <c r="CF152" s="4"/>
      <c r="CG152" s="4"/>
      <c r="CH152" s="40"/>
      <c r="CI152" s="40"/>
      <c r="CJ152" s="40"/>
      <c r="CK152" s="4"/>
      <c r="CL152" s="4"/>
      <c r="CM152" s="4"/>
      <c r="CN152" s="4"/>
      <c r="CO152" s="40"/>
      <c r="CP152" s="40"/>
      <c r="CQ152" s="40"/>
    </row>
    <row r="153" ht="15.75" customHeight="1">
      <c r="A153" s="4"/>
      <c r="B153" s="4"/>
      <c r="C153" s="4"/>
      <c r="D153" s="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"/>
      <c r="AB153" s="4"/>
      <c r="AC153" s="4"/>
      <c r="AD153" s="40"/>
      <c r="AE153" s="40"/>
      <c r="AF153" s="40"/>
      <c r="AG153" s="4"/>
      <c r="AH153" s="4"/>
      <c r="AI153" s="4"/>
      <c r="AJ153" s="4"/>
      <c r="AK153" s="40"/>
      <c r="AL153" s="40"/>
      <c r="AM153" s="40"/>
      <c r="AN153" s="4"/>
      <c r="AO153" s="4"/>
      <c r="AP153" s="4"/>
      <c r="AQ153" s="4"/>
      <c r="AR153" s="40"/>
      <c r="AS153" s="40"/>
      <c r="AT153" s="40"/>
      <c r="AU153" s="4"/>
      <c r="AV153" s="4"/>
      <c r="AW153" s="4"/>
      <c r="AX153" s="4"/>
      <c r="AY153" s="40"/>
      <c r="AZ153" s="40"/>
      <c r="BA153" s="40"/>
      <c r="BB153" s="4"/>
      <c r="BC153" s="4"/>
      <c r="BD153" s="4"/>
      <c r="BE153" s="4"/>
      <c r="BF153" s="40"/>
      <c r="BG153" s="40"/>
      <c r="BH153" s="40"/>
      <c r="BI153" s="4"/>
      <c r="BJ153" s="4"/>
      <c r="BK153" s="4"/>
      <c r="BL153" s="4"/>
      <c r="BM153" s="40"/>
      <c r="BN153" s="40"/>
      <c r="BO153" s="40"/>
      <c r="BP153" s="4"/>
      <c r="BQ153" s="4"/>
      <c r="BR153" s="4"/>
      <c r="BS153" s="4"/>
      <c r="BT153" s="40"/>
      <c r="BU153" s="40"/>
      <c r="BV153" s="40"/>
      <c r="BW153" s="4"/>
      <c r="BX153" s="4"/>
      <c r="BY153" s="4"/>
      <c r="BZ153" s="4"/>
      <c r="CA153" s="40"/>
      <c r="CB153" s="40"/>
      <c r="CC153" s="40"/>
      <c r="CD153" s="4"/>
      <c r="CE153" s="4"/>
      <c r="CF153" s="4"/>
      <c r="CG153" s="4"/>
      <c r="CH153" s="40"/>
      <c r="CI153" s="40"/>
      <c r="CJ153" s="40"/>
      <c r="CK153" s="4"/>
      <c r="CL153" s="4"/>
      <c r="CM153" s="4"/>
      <c r="CN153" s="4"/>
      <c r="CO153" s="40"/>
      <c r="CP153" s="40"/>
      <c r="CQ153" s="40"/>
    </row>
    <row r="154" ht="15.75" customHeight="1">
      <c r="A154" s="4"/>
      <c r="B154" s="4"/>
      <c r="C154" s="4"/>
      <c r="D154" s="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"/>
      <c r="AB154" s="4"/>
      <c r="AC154" s="4"/>
      <c r="AD154" s="40"/>
      <c r="AE154" s="40"/>
      <c r="AF154" s="40"/>
      <c r="AG154" s="4"/>
      <c r="AH154" s="4"/>
      <c r="AI154" s="4"/>
      <c r="AJ154" s="4"/>
      <c r="AK154" s="40"/>
      <c r="AL154" s="40"/>
      <c r="AM154" s="40"/>
      <c r="AN154" s="4"/>
      <c r="AO154" s="4"/>
      <c r="AP154" s="4"/>
      <c r="AQ154" s="4"/>
      <c r="AR154" s="40"/>
      <c r="AS154" s="40"/>
      <c r="AT154" s="40"/>
      <c r="AU154" s="4"/>
      <c r="AV154" s="4"/>
      <c r="AW154" s="4"/>
      <c r="AX154" s="4"/>
      <c r="AY154" s="40"/>
      <c r="AZ154" s="40"/>
      <c r="BA154" s="40"/>
      <c r="BB154" s="4"/>
      <c r="BC154" s="4"/>
      <c r="BD154" s="4"/>
      <c r="BE154" s="4"/>
      <c r="BF154" s="40"/>
      <c r="BG154" s="40"/>
      <c r="BH154" s="40"/>
      <c r="BI154" s="4"/>
      <c r="BJ154" s="4"/>
      <c r="BK154" s="4"/>
      <c r="BL154" s="4"/>
      <c r="BM154" s="40"/>
      <c r="BN154" s="40"/>
      <c r="BO154" s="40"/>
      <c r="BP154" s="4"/>
      <c r="BQ154" s="4"/>
      <c r="BR154" s="4"/>
      <c r="BS154" s="4"/>
      <c r="BT154" s="40"/>
      <c r="BU154" s="40"/>
      <c r="BV154" s="40"/>
      <c r="BW154" s="4"/>
      <c r="BX154" s="4"/>
      <c r="BY154" s="4"/>
      <c r="BZ154" s="4"/>
      <c r="CA154" s="40"/>
      <c r="CB154" s="40"/>
      <c r="CC154" s="40"/>
      <c r="CD154" s="4"/>
      <c r="CE154" s="4"/>
      <c r="CF154" s="4"/>
      <c r="CG154" s="4"/>
      <c r="CH154" s="40"/>
      <c r="CI154" s="40"/>
      <c r="CJ154" s="40"/>
      <c r="CK154" s="4"/>
      <c r="CL154" s="4"/>
      <c r="CM154" s="4"/>
      <c r="CN154" s="4"/>
      <c r="CO154" s="40"/>
      <c r="CP154" s="40"/>
      <c r="CQ154" s="40"/>
    </row>
    <row r="155" ht="15.75" customHeight="1">
      <c r="A155" s="4"/>
      <c r="B155" s="4"/>
      <c r="C155" s="4"/>
      <c r="D155" s="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"/>
      <c r="AB155" s="4"/>
      <c r="AC155" s="4"/>
      <c r="AD155" s="40"/>
      <c r="AE155" s="40"/>
      <c r="AF155" s="40"/>
      <c r="AG155" s="4"/>
      <c r="AH155" s="4"/>
      <c r="AI155" s="4"/>
      <c r="AJ155" s="4"/>
      <c r="AK155" s="40"/>
      <c r="AL155" s="40"/>
      <c r="AM155" s="40"/>
      <c r="AN155" s="4"/>
      <c r="AO155" s="4"/>
      <c r="AP155" s="4"/>
      <c r="AQ155" s="4"/>
      <c r="AR155" s="40"/>
      <c r="AS155" s="40"/>
      <c r="AT155" s="40"/>
      <c r="AU155" s="4"/>
      <c r="AV155" s="4"/>
      <c r="AW155" s="4"/>
      <c r="AX155" s="4"/>
      <c r="AY155" s="40"/>
      <c r="AZ155" s="40"/>
      <c r="BA155" s="40"/>
      <c r="BB155" s="4"/>
      <c r="BC155" s="4"/>
      <c r="BD155" s="4"/>
      <c r="BE155" s="4"/>
      <c r="BF155" s="40"/>
      <c r="BG155" s="40"/>
      <c r="BH155" s="40"/>
      <c r="BI155" s="4"/>
      <c r="BJ155" s="4"/>
      <c r="BK155" s="4"/>
      <c r="BL155" s="4"/>
      <c r="BM155" s="40"/>
      <c r="BN155" s="40"/>
      <c r="BO155" s="40"/>
      <c r="BP155" s="4"/>
      <c r="BQ155" s="4"/>
      <c r="BR155" s="4"/>
      <c r="BS155" s="4"/>
      <c r="BT155" s="40"/>
      <c r="BU155" s="40"/>
      <c r="BV155" s="40"/>
      <c r="BW155" s="4"/>
      <c r="BX155" s="4"/>
      <c r="BY155" s="4"/>
      <c r="BZ155" s="4"/>
      <c r="CA155" s="40"/>
      <c r="CB155" s="40"/>
      <c r="CC155" s="40"/>
      <c r="CD155" s="4"/>
      <c r="CE155" s="4"/>
      <c r="CF155" s="4"/>
      <c r="CG155" s="4"/>
      <c r="CH155" s="40"/>
      <c r="CI155" s="40"/>
      <c r="CJ155" s="40"/>
      <c r="CK155" s="4"/>
      <c r="CL155" s="4"/>
      <c r="CM155" s="4"/>
      <c r="CN155" s="4"/>
      <c r="CO155" s="40"/>
      <c r="CP155" s="40"/>
      <c r="CQ155" s="40"/>
    </row>
    <row r="156" ht="15.75" customHeight="1">
      <c r="A156" s="4"/>
      <c r="B156" s="4"/>
      <c r="C156" s="4"/>
      <c r="D156" s="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"/>
      <c r="AB156" s="4"/>
      <c r="AC156" s="4"/>
      <c r="AD156" s="40"/>
      <c r="AE156" s="40"/>
      <c r="AF156" s="40"/>
      <c r="AG156" s="4"/>
      <c r="AH156" s="4"/>
      <c r="AI156" s="4"/>
      <c r="AJ156" s="4"/>
      <c r="AK156" s="40"/>
      <c r="AL156" s="40"/>
      <c r="AM156" s="40"/>
      <c r="AN156" s="4"/>
      <c r="AO156" s="4"/>
      <c r="AP156" s="4"/>
      <c r="AQ156" s="4"/>
      <c r="AR156" s="40"/>
      <c r="AS156" s="40"/>
      <c r="AT156" s="40"/>
      <c r="AU156" s="4"/>
      <c r="AV156" s="4"/>
      <c r="AW156" s="4"/>
      <c r="AX156" s="4"/>
      <c r="AY156" s="40"/>
      <c r="AZ156" s="40"/>
      <c r="BA156" s="40"/>
      <c r="BB156" s="4"/>
      <c r="BC156" s="4"/>
      <c r="BD156" s="4"/>
      <c r="BE156" s="4"/>
      <c r="BF156" s="40"/>
      <c r="BG156" s="40"/>
      <c r="BH156" s="40"/>
      <c r="BI156" s="4"/>
      <c r="BJ156" s="4"/>
      <c r="BK156" s="4"/>
      <c r="BL156" s="4"/>
      <c r="BM156" s="40"/>
      <c r="BN156" s="40"/>
      <c r="BO156" s="40"/>
      <c r="BP156" s="4"/>
      <c r="BQ156" s="4"/>
      <c r="BR156" s="4"/>
      <c r="BS156" s="4"/>
      <c r="BT156" s="40"/>
      <c r="BU156" s="40"/>
      <c r="BV156" s="40"/>
      <c r="BW156" s="4"/>
      <c r="BX156" s="4"/>
      <c r="BY156" s="4"/>
      <c r="BZ156" s="4"/>
      <c r="CA156" s="40"/>
      <c r="CB156" s="40"/>
      <c r="CC156" s="40"/>
      <c r="CD156" s="4"/>
      <c r="CE156" s="4"/>
      <c r="CF156" s="4"/>
      <c r="CG156" s="4"/>
      <c r="CH156" s="40"/>
      <c r="CI156" s="40"/>
      <c r="CJ156" s="40"/>
      <c r="CK156" s="4"/>
      <c r="CL156" s="4"/>
      <c r="CM156" s="4"/>
      <c r="CN156" s="4"/>
      <c r="CO156" s="40"/>
      <c r="CP156" s="40"/>
      <c r="CQ156" s="40"/>
    </row>
    <row r="157" ht="15.75" customHeight="1">
      <c r="A157" s="4"/>
      <c r="B157" s="4"/>
      <c r="C157" s="4"/>
      <c r="D157" s="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"/>
      <c r="AB157" s="4"/>
      <c r="AC157" s="4"/>
      <c r="AD157" s="40"/>
      <c r="AE157" s="40"/>
      <c r="AF157" s="40"/>
      <c r="AG157" s="4"/>
      <c r="AH157" s="4"/>
      <c r="AI157" s="4"/>
      <c r="AJ157" s="4"/>
      <c r="AK157" s="40"/>
      <c r="AL157" s="40"/>
      <c r="AM157" s="40"/>
      <c r="AN157" s="4"/>
      <c r="AO157" s="4"/>
      <c r="AP157" s="4"/>
      <c r="AQ157" s="4"/>
      <c r="AR157" s="40"/>
      <c r="AS157" s="40"/>
      <c r="AT157" s="40"/>
      <c r="AU157" s="4"/>
      <c r="AV157" s="4"/>
      <c r="AW157" s="4"/>
      <c r="AX157" s="4"/>
      <c r="AY157" s="40"/>
      <c r="AZ157" s="40"/>
      <c r="BA157" s="40"/>
      <c r="BB157" s="4"/>
      <c r="BC157" s="4"/>
      <c r="BD157" s="4"/>
      <c r="BE157" s="4"/>
      <c r="BF157" s="40"/>
      <c r="BG157" s="40"/>
      <c r="BH157" s="40"/>
      <c r="BI157" s="4"/>
      <c r="BJ157" s="4"/>
      <c r="BK157" s="4"/>
      <c r="BL157" s="4"/>
      <c r="BM157" s="40"/>
      <c r="BN157" s="40"/>
      <c r="BO157" s="40"/>
      <c r="BP157" s="4"/>
      <c r="BQ157" s="4"/>
      <c r="BR157" s="4"/>
      <c r="BS157" s="4"/>
      <c r="BT157" s="40"/>
      <c r="BU157" s="40"/>
      <c r="BV157" s="40"/>
      <c r="BW157" s="4"/>
      <c r="BX157" s="4"/>
      <c r="BY157" s="4"/>
      <c r="BZ157" s="4"/>
      <c r="CA157" s="40"/>
      <c r="CB157" s="40"/>
      <c r="CC157" s="40"/>
      <c r="CD157" s="4"/>
      <c r="CE157" s="4"/>
      <c r="CF157" s="4"/>
      <c r="CG157" s="4"/>
      <c r="CH157" s="40"/>
      <c r="CI157" s="40"/>
      <c r="CJ157" s="40"/>
      <c r="CK157" s="4"/>
      <c r="CL157" s="4"/>
      <c r="CM157" s="4"/>
      <c r="CN157" s="4"/>
      <c r="CO157" s="40"/>
      <c r="CP157" s="40"/>
      <c r="CQ157" s="40"/>
    </row>
    <row r="158" ht="15.75" customHeight="1">
      <c r="A158" s="4"/>
      <c r="B158" s="4"/>
      <c r="C158" s="4"/>
      <c r="D158" s="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"/>
      <c r="AB158" s="4"/>
      <c r="AC158" s="4"/>
      <c r="AD158" s="40"/>
      <c r="AE158" s="40"/>
      <c r="AF158" s="40"/>
      <c r="AG158" s="4"/>
      <c r="AH158" s="4"/>
      <c r="AI158" s="4"/>
      <c r="AJ158" s="4"/>
      <c r="AK158" s="40"/>
      <c r="AL158" s="40"/>
      <c r="AM158" s="40"/>
      <c r="AN158" s="4"/>
      <c r="AO158" s="4"/>
      <c r="AP158" s="4"/>
      <c r="AQ158" s="4"/>
      <c r="AR158" s="40"/>
      <c r="AS158" s="40"/>
      <c r="AT158" s="40"/>
      <c r="AU158" s="4"/>
      <c r="AV158" s="4"/>
      <c r="AW158" s="4"/>
      <c r="AX158" s="4"/>
      <c r="AY158" s="40"/>
      <c r="AZ158" s="40"/>
      <c r="BA158" s="40"/>
      <c r="BB158" s="4"/>
      <c r="BC158" s="4"/>
      <c r="BD158" s="4"/>
      <c r="BE158" s="4"/>
      <c r="BF158" s="40"/>
      <c r="BG158" s="40"/>
      <c r="BH158" s="40"/>
      <c r="BI158" s="4"/>
      <c r="BJ158" s="4"/>
      <c r="BK158" s="4"/>
      <c r="BL158" s="4"/>
      <c r="BM158" s="40"/>
      <c r="BN158" s="40"/>
      <c r="BO158" s="40"/>
      <c r="BP158" s="4"/>
      <c r="BQ158" s="4"/>
      <c r="BR158" s="4"/>
      <c r="BS158" s="4"/>
      <c r="BT158" s="40"/>
      <c r="BU158" s="40"/>
      <c r="BV158" s="40"/>
      <c r="BW158" s="4"/>
      <c r="BX158" s="4"/>
      <c r="BY158" s="4"/>
      <c r="BZ158" s="4"/>
      <c r="CA158" s="40"/>
      <c r="CB158" s="40"/>
      <c r="CC158" s="40"/>
      <c r="CD158" s="4"/>
      <c r="CE158" s="4"/>
      <c r="CF158" s="4"/>
      <c r="CG158" s="4"/>
      <c r="CH158" s="40"/>
      <c r="CI158" s="40"/>
      <c r="CJ158" s="40"/>
      <c r="CK158" s="4"/>
      <c r="CL158" s="4"/>
      <c r="CM158" s="4"/>
      <c r="CN158" s="4"/>
      <c r="CO158" s="40"/>
      <c r="CP158" s="40"/>
      <c r="CQ158" s="40"/>
    </row>
    <row r="159" ht="15.75" customHeight="1">
      <c r="A159" s="4"/>
      <c r="B159" s="4"/>
      <c r="C159" s="4"/>
      <c r="D159" s="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"/>
      <c r="AB159" s="4"/>
      <c r="AC159" s="4"/>
      <c r="AD159" s="40"/>
      <c r="AE159" s="40"/>
      <c r="AF159" s="40"/>
      <c r="AG159" s="4"/>
      <c r="AH159" s="4"/>
      <c r="AI159" s="4"/>
      <c r="AJ159" s="4"/>
      <c r="AK159" s="40"/>
      <c r="AL159" s="40"/>
      <c r="AM159" s="40"/>
      <c r="AN159" s="4"/>
      <c r="AO159" s="4"/>
      <c r="AP159" s="4"/>
      <c r="AQ159" s="4"/>
      <c r="AR159" s="40"/>
      <c r="AS159" s="40"/>
      <c r="AT159" s="40"/>
      <c r="AU159" s="4"/>
      <c r="AV159" s="4"/>
      <c r="AW159" s="4"/>
      <c r="AX159" s="4"/>
      <c r="AY159" s="40"/>
      <c r="AZ159" s="40"/>
      <c r="BA159" s="40"/>
      <c r="BB159" s="4"/>
      <c r="BC159" s="4"/>
      <c r="BD159" s="4"/>
      <c r="BE159" s="4"/>
      <c r="BF159" s="40"/>
      <c r="BG159" s="40"/>
      <c r="BH159" s="40"/>
      <c r="BI159" s="4"/>
      <c r="BJ159" s="4"/>
      <c r="BK159" s="4"/>
      <c r="BL159" s="4"/>
      <c r="BM159" s="40"/>
      <c r="BN159" s="40"/>
      <c r="BO159" s="40"/>
      <c r="BP159" s="4"/>
      <c r="BQ159" s="4"/>
      <c r="BR159" s="4"/>
      <c r="BS159" s="4"/>
      <c r="BT159" s="40"/>
      <c r="BU159" s="40"/>
      <c r="BV159" s="40"/>
      <c r="BW159" s="4"/>
      <c r="BX159" s="4"/>
      <c r="BY159" s="4"/>
      <c r="BZ159" s="4"/>
      <c r="CA159" s="40"/>
      <c r="CB159" s="40"/>
      <c r="CC159" s="40"/>
      <c r="CD159" s="4"/>
      <c r="CE159" s="4"/>
      <c r="CF159" s="4"/>
      <c r="CG159" s="4"/>
      <c r="CH159" s="40"/>
      <c r="CI159" s="40"/>
      <c r="CJ159" s="40"/>
      <c r="CK159" s="4"/>
      <c r="CL159" s="4"/>
      <c r="CM159" s="4"/>
      <c r="CN159" s="4"/>
      <c r="CO159" s="40"/>
      <c r="CP159" s="40"/>
      <c r="CQ159" s="40"/>
    </row>
    <row r="160" ht="15.75" customHeight="1">
      <c r="A160" s="4"/>
      <c r="B160" s="4"/>
      <c r="C160" s="4"/>
      <c r="D160" s="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"/>
      <c r="AB160" s="4"/>
      <c r="AC160" s="4"/>
      <c r="AD160" s="40"/>
      <c r="AE160" s="40"/>
      <c r="AF160" s="40"/>
      <c r="AG160" s="4"/>
      <c r="AH160" s="4"/>
      <c r="AI160" s="4"/>
      <c r="AJ160" s="4"/>
      <c r="AK160" s="40"/>
      <c r="AL160" s="40"/>
      <c r="AM160" s="40"/>
      <c r="AN160" s="4"/>
      <c r="AO160" s="4"/>
      <c r="AP160" s="4"/>
      <c r="AQ160" s="4"/>
      <c r="AR160" s="40"/>
      <c r="AS160" s="40"/>
      <c r="AT160" s="40"/>
      <c r="AU160" s="4"/>
      <c r="AV160" s="4"/>
      <c r="AW160" s="4"/>
      <c r="AX160" s="4"/>
      <c r="AY160" s="40"/>
      <c r="AZ160" s="40"/>
      <c r="BA160" s="40"/>
      <c r="BB160" s="4"/>
      <c r="BC160" s="4"/>
      <c r="BD160" s="4"/>
      <c r="BE160" s="4"/>
      <c r="BF160" s="40"/>
      <c r="BG160" s="40"/>
      <c r="BH160" s="40"/>
      <c r="BI160" s="4"/>
      <c r="BJ160" s="4"/>
      <c r="BK160" s="4"/>
      <c r="BL160" s="4"/>
      <c r="BM160" s="40"/>
      <c r="BN160" s="40"/>
      <c r="BO160" s="40"/>
      <c r="BP160" s="4"/>
      <c r="BQ160" s="4"/>
      <c r="BR160" s="4"/>
      <c r="BS160" s="4"/>
      <c r="BT160" s="40"/>
      <c r="BU160" s="40"/>
      <c r="BV160" s="40"/>
      <c r="BW160" s="4"/>
      <c r="BX160" s="4"/>
      <c r="BY160" s="4"/>
      <c r="BZ160" s="4"/>
      <c r="CA160" s="40"/>
      <c r="CB160" s="40"/>
      <c r="CC160" s="40"/>
      <c r="CD160" s="4"/>
      <c r="CE160" s="4"/>
      <c r="CF160" s="4"/>
      <c r="CG160" s="4"/>
      <c r="CH160" s="40"/>
      <c r="CI160" s="40"/>
      <c r="CJ160" s="40"/>
      <c r="CK160" s="4"/>
      <c r="CL160" s="4"/>
      <c r="CM160" s="4"/>
      <c r="CN160" s="4"/>
      <c r="CO160" s="40"/>
      <c r="CP160" s="40"/>
      <c r="CQ160" s="40"/>
    </row>
    <row r="161" ht="15.75" customHeight="1">
      <c r="A161" s="4"/>
      <c r="B161" s="4"/>
      <c r="C161" s="4"/>
      <c r="D161" s="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"/>
      <c r="AB161" s="4"/>
      <c r="AC161" s="4"/>
      <c r="AD161" s="40"/>
      <c r="AE161" s="40"/>
      <c r="AF161" s="40"/>
      <c r="AG161" s="4"/>
      <c r="AH161" s="4"/>
      <c r="AI161" s="4"/>
      <c r="AJ161" s="4"/>
      <c r="AK161" s="40"/>
      <c r="AL161" s="40"/>
      <c r="AM161" s="40"/>
      <c r="AN161" s="4"/>
      <c r="AO161" s="4"/>
      <c r="AP161" s="4"/>
      <c r="AQ161" s="4"/>
      <c r="AR161" s="40"/>
      <c r="AS161" s="40"/>
      <c r="AT161" s="40"/>
      <c r="AU161" s="4"/>
      <c r="AV161" s="4"/>
      <c r="AW161" s="4"/>
      <c r="AX161" s="4"/>
      <c r="AY161" s="40"/>
      <c r="AZ161" s="40"/>
      <c r="BA161" s="40"/>
      <c r="BB161" s="4"/>
      <c r="BC161" s="4"/>
      <c r="BD161" s="4"/>
      <c r="BE161" s="4"/>
      <c r="BF161" s="40"/>
      <c r="BG161" s="40"/>
      <c r="BH161" s="40"/>
      <c r="BI161" s="4"/>
      <c r="BJ161" s="4"/>
      <c r="BK161" s="4"/>
      <c r="BL161" s="4"/>
      <c r="BM161" s="40"/>
      <c r="BN161" s="40"/>
      <c r="BO161" s="40"/>
      <c r="BP161" s="4"/>
      <c r="BQ161" s="4"/>
      <c r="BR161" s="4"/>
      <c r="BS161" s="4"/>
      <c r="BT161" s="40"/>
      <c r="BU161" s="40"/>
      <c r="BV161" s="40"/>
      <c r="BW161" s="4"/>
      <c r="BX161" s="4"/>
      <c r="BY161" s="4"/>
      <c r="BZ161" s="4"/>
      <c r="CA161" s="40"/>
      <c r="CB161" s="40"/>
      <c r="CC161" s="40"/>
      <c r="CD161" s="4"/>
      <c r="CE161" s="4"/>
      <c r="CF161" s="4"/>
      <c r="CG161" s="4"/>
      <c r="CH161" s="40"/>
      <c r="CI161" s="40"/>
      <c r="CJ161" s="40"/>
      <c r="CK161" s="4"/>
      <c r="CL161" s="4"/>
      <c r="CM161" s="4"/>
      <c r="CN161" s="4"/>
      <c r="CO161" s="40"/>
      <c r="CP161" s="40"/>
      <c r="CQ161" s="40"/>
    </row>
    <row r="162" ht="15.75" customHeight="1">
      <c r="A162" s="4"/>
      <c r="B162" s="4"/>
      <c r="C162" s="4"/>
      <c r="D162" s="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"/>
      <c r="AB162" s="4"/>
      <c r="AC162" s="4"/>
      <c r="AD162" s="40"/>
      <c r="AE162" s="40"/>
      <c r="AF162" s="40"/>
      <c r="AG162" s="4"/>
      <c r="AH162" s="4"/>
      <c r="AI162" s="4"/>
      <c r="AJ162" s="4"/>
      <c r="AK162" s="40"/>
      <c r="AL162" s="40"/>
      <c r="AM162" s="40"/>
      <c r="AN162" s="4"/>
      <c r="AO162" s="4"/>
      <c r="AP162" s="4"/>
      <c r="AQ162" s="4"/>
      <c r="AR162" s="40"/>
      <c r="AS162" s="40"/>
      <c r="AT162" s="40"/>
      <c r="AU162" s="4"/>
      <c r="AV162" s="4"/>
      <c r="AW162" s="4"/>
      <c r="AX162" s="4"/>
      <c r="AY162" s="40"/>
      <c r="AZ162" s="40"/>
      <c r="BA162" s="40"/>
      <c r="BB162" s="4"/>
      <c r="BC162" s="4"/>
      <c r="BD162" s="4"/>
      <c r="BE162" s="4"/>
      <c r="BF162" s="40"/>
      <c r="BG162" s="40"/>
      <c r="BH162" s="40"/>
      <c r="BI162" s="4"/>
      <c r="BJ162" s="4"/>
      <c r="BK162" s="4"/>
      <c r="BL162" s="4"/>
      <c r="BM162" s="40"/>
      <c r="BN162" s="40"/>
      <c r="BO162" s="40"/>
      <c r="BP162" s="4"/>
      <c r="BQ162" s="4"/>
      <c r="BR162" s="4"/>
      <c r="BS162" s="4"/>
      <c r="BT162" s="40"/>
      <c r="BU162" s="40"/>
      <c r="BV162" s="40"/>
      <c r="BW162" s="4"/>
      <c r="BX162" s="4"/>
      <c r="BY162" s="4"/>
      <c r="BZ162" s="4"/>
      <c r="CA162" s="40"/>
      <c r="CB162" s="40"/>
      <c r="CC162" s="40"/>
      <c r="CD162" s="4"/>
      <c r="CE162" s="4"/>
      <c r="CF162" s="4"/>
      <c r="CG162" s="4"/>
      <c r="CH162" s="40"/>
      <c r="CI162" s="40"/>
      <c r="CJ162" s="40"/>
      <c r="CK162" s="4"/>
      <c r="CL162" s="4"/>
      <c r="CM162" s="4"/>
      <c r="CN162" s="4"/>
      <c r="CO162" s="40"/>
      <c r="CP162" s="40"/>
      <c r="CQ162" s="40"/>
    </row>
    <row r="163" ht="15.75" customHeight="1">
      <c r="A163" s="4"/>
      <c r="B163" s="4"/>
      <c r="C163" s="4"/>
      <c r="D163" s="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"/>
      <c r="AB163" s="4"/>
      <c r="AC163" s="4"/>
      <c r="AD163" s="40"/>
      <c r="AE163" s="40"/>
      <c r="AF163" s="40"/>
      <c r="AG163" s="4"/>
      <c r="AH163" s="4"/>
      <c r="AI163" s="4"/>
      <c r="AJ163" s="4"/>
      <c r="AK163" s="40"/>
      <c r="AL163" s="40"/>
      <c r="AM163" s="40"/>
      <c r="AN163" s="4"/>
      <c r="AO163" s="4"/>
      <c r="AP163" s="4"/>
      <c r="AQ163" s="4"/>
      <c r="AR163" s="40"/>
      <c r="AS163" s="40"/>
      <c r="AT163" s="40"/>
      <c r="AU163" s="4"/>
      <c r="AV163" s="4"/>
      <c r="AW163" s="4"/>
      <c r="AX163" s="4"/>
      <c r="AY163" s="40"/>
      <c r="AZ163" s="40"/>
      <c r="BA163" s="40"/>
      <c r="BB163" s="4"/>
      <c r="BC163" s="4"/>
      <c r="BD163" s="4"/>
      <c r="BE163" s="4"/>
      <c r="BF163" s="40"/>
      <c r="BG163" s="40"/>
      <c r="BH163" s="40"/>
      <c r="BI163" s="4"/>
      <c r="BJ163" s="4"/>
      <c r="BK163" s="4"/>
      <c r="BL163" s="4"/>
      <c r="BM163" s="40"/>
      <c r="BN163" s="40"/>
      <c r="BO163" s="40"/>
      <c r="BP163" s="4"/>
      <c r="BQ163" s="4"/>
      <c r="BR163" s="4"/>
      <c r="BS163" s="4"/>
      <c r="BT163" s="40"/>
      <c r="BU163" s="40"/>
      <c r="BV163" s="40"/>
      <c r="BW163" s="4"/>
      <c r="BX163" s="4"/>
      <c r="BY163" s="4"/>
      <c r="BZ163" s="4"/>
      <c r="CA163" s="40"/>
      <c r="CB163" s="40"/>
      <c r="CC163" s="40"/>
      <c r="CD163" s="4"/>
      <c r="CE163" s="4"/>
      <c r="CF163" s="4"/>
      <c r="CG163" s="4"/>
      <c r="CH163" s="40"/>
      <c r="CI163" s="40"/>
      <c r="CJ163" s="40"/>
      <c r="CK163" s="4"/>
      <c r="CL163" s="4"/>
      <c r="CM163" s="4"/>
      <c r="CN163" s="4"/>
      <c r="CO163" s="40"/>
      <c r="CP163" s="40"/>
      <c r="CQ163" s="40"/>
    </row>
    <row r="164" ht="15.75" customHeight="1">
      <c r="A164" s="4"/>
      <c r="B164" s="4"/>
      <c r="C164" s="4"/>
      <c r="D164" s="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"/>
      <c r="AB164" s="4"/>
      <c r="AC164" s="4"/>
      <c r="AD164" s="40"/>
      <c r="AE164" s="40"/>
      <c r="AF164" s="40"/>
      <c r="AG164" s="4"/>
      <c r="AH164" s="4"/>
      <c r="AI164" s="4"/>
      <c r="AJ164" s="4"/>
      <c r="AK164" s="40"/>
      <c r="AL164" s="40"/>
      <c r="AM164" s="40"/>
      <c r="AN164" s="4"/>
      <c r="AO164" s="4"/>
      <c r="AP164" s="4"/>
      <c r="AQ164" s="4"/>
      <c r="AR164" s="40"/>
      <c r="AS164" s="40"/>
      <c r="AT164" s="40"/>
      <c r="AU164" s="4"/>
      <c r="AV164" s="4"/>
      <c r="AW164" s="4"/>
      <c r="AX164" s="4"/>
      <c r="AY164" s="40"/>
      <c r="AZ164" s="40"/>
      <c r="BA164" s="40"/>
      <c r="BB164" s="4"/>
      <c r="BC164" s="4"/>
      <c r="BD164" s="4"/>
      <c r="BE164" s="4"/>
      <c r="BF164" s="40"/>
      <c r="BG164" s="40"/>
      <c r="BH164" s="40"/>
      <c r="BI164" s="4"/>
      <c r="BJ164" s="4"/>
      <c r="BK164" s="4"/>
      <c r="BL164" s="4"/>
      <c r="BM164" s="40"/>
      <c r="BN164" s="40"/>
      <c r="BO164" s="40"/>
      <c r="BP164" s="4"/>
      <c r="BQ164" s="4"/>
      <c r="BR164" s="4"/>
      <c r="BS164" s="4"/>
      <c r="BT164" s="40"/>
      <c r="BU164" s="40"/>
      <c r="BV164" s="40"/>
      <c r="BW164" s="4"/>
      <c r="BX164" s="4"/>
      <c r="BY164" s="4"/>
      <c r="BZ164" s="4"/>
      <c r="CA164" s="40"/>
      <c r="CB164" s="40"/>
      <c r="CC164" s="40"/>
      <c r="CD164" s="4"/>
      <c r="CE164" s="4"/>
      <c r="CF164" s="4"/>
      <c r="CG164" s="4"/>
      <c r="CH164" s="40"/>
      <c r="CI164" s="40"/>
      <c r="CJ164" s="40"/>
      <c r="CK164" s="4"/>
      <c r="CL164" s="4"/>
      <c r="CM164" s="4"/>
      <c r="CN164" s="4"/>
      <c r="CO164" s="40"/>
      <c r="CP164" s="40"/>
      <c r="CQ164" s="40"/>
    </row>
    <row r="165" ht="15.75" customHeight="1">
      <c r="A165" s="4"/>
      <c r="B165" s="4"/>
      <c r="C165" s="4"/>
      <c r="D165" s="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"/>
      <c r="AB165" s="4"/>
      <c r="AC165" s="4"/>
      <c r="AD165" s="40"/>
      <c r="AE165" s="40"/>
      <c r="AF165" s="40"/>
      <c r="AG165" s="4"/>
      <c r="AH165" s="4"/>
      <c r="AI165" s="4"/>
      <c r="AJ165" s="4"/>
      <c r="AK165" s="40"/>
      <c r="AL165" s="40"/>
      <c r="AM165" s="40"/>
      <c r="AN165" s="4"/>
      <c r="AO165" s="4"/>
      <c r="AP165" s="4"/>
      <c r="AQ165" s="4"/>
      <c r="AR165" s="40"/>
      <c r="AS165" s="40"/>
      <c r="AT165" s="40"/>
      <c r="AU165" s="4"/>
      <c r="AV165" s="4"/>
      <c r="AW165" s="4"/>
      <c r="AX165" s="4"/>
      <c r="AY165" s="40"/>
      <c r="AZ165" s="40"/>
      <c r="BA165" s="40"/>
      <c r="BB165" s="4"/>
      <c r="BC165" s="4"/>
      <c r="BD165" s="4"/>
      <c r="BE165" s="4"/>
      <c r="BF165" s="40"/>
      <c r="BG165" s="40"/>
      <c r="BH165" s="40"/>
      <c r="BI165" s="4"/>
      <c r="BJ165" s="4"/>
      <c r="BK165" s="4"/>
      <c r="BL165" s="4"/>
      <c r="BM165" s="40"/>
      <c r="BN165" s="40"/>
      <c r="BO165" s="40"/>
      <c r="BP165" s="4"/>
      <c r="BQ165" s="4"/>
      <c r="BR165" s="4"/>
      <c r="BS165" s="4"/>
      <c r="BT165" s="40"/>
      <c r="BU165" s="40"/>
      <c r="BV165" s="40"/>
      <c r="BW165" s="4"/>
      <c r="BX165" s="4"/>
      <c r="BY165" s="4"/>
      <c r="BZ165" s="4"/>
      <c r="CA165" s="40"/>
      <c r="CB165" s="40"/>
      <c r="CC165" s="40"/>
      <c r="CD165" s="4"/>
      <c r="CE165" s="4"/>
      <c r="CF165" s="4"/>
      <c r="CG165" s="4"/>
      <c r="CH165" s="40"/>
      <c r="CI165" s="40"/>
      <c r="CJ165" s="40"/>
      <c r="CK165" s="4"/>
      <c r="CL165" s="4"/>
      <c r="CM165" s="4"/>
      <c r="CN165" s="4"/>
      <c r="CO165" s="40"/>
      <c r="CP165" s="40"/>
      <c r="CQ165" s="40"/>
    </row>
    <row r="166" ht="15.75" customHeight="1">
      <c r="A166" s="4"/>
      <c r="B166" s="4"/>
      <c r="C166" s="4"/>
      <c r="D166" s="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"/>
      <c r="AB166" s="4"/>
      <c r="AC166" s="4"/>
      <c r="AD166" s="40"/>
      <c r="AE166" s="40"/>
      <c r="AF166" s="40"/>
      <c r="AG166" s="4"/>
      <c r="AH166" s="4"/>
      <c r="AI166" s="4"/>
      <c r="AJ166" s="4"/>
      <c r="AK166" s="40"/>
      <c r="AL166" s="40"/>
      <c r="AM166" s="40"/>
      <c r="AN166" s="4"/>
      <c r="AO166" s="4"/>
      <c r="AP166" s="4"/>
      <c r="AQ166" s="4"/>
      <c r="AR166" s="40"/>
      <c r="AS166" s="40"/>
      <c r="AT166" s="40"/>
      <c r="AU166" s="4"/>
      <c r="AV166" s="4"/>
      <c r="AW166" s="4"/>
      <c r="AX166" s="4"/>
      <c r="AY166" s="40"/>
      <c r="AZ166" s="40"/>
      <c r="BA166" s="40"/>
      <c r="BB166" s="4"/>
      <c r="BC166" s="4"/>
      <c r="BD166" s="4"/>
      <c r="BE166" s="4"/>
      <c r="BF166" s="40"/>
      <c r="BG166" s="40"/>
      <c r="BH166" s="40"/>
      <c r="BI166" s="4"/>
      <c r="BJ166" s="4"/>
      <c r="BK166" s="4"/>
      <c r="BL166" s="4"/>
      <c r="BM166" s="40"/>
      <c r="BN166" s="40"/>
      <c r="BO166" s="40"/>
      <c r="BP166" s="4"/>
      <c r="BQ166" s="4"/>
      <c r="BR166" s="4"/>
      <c r="BS166" s="4"/>
      <c r="BT166" s="40"/>
      <c r="BU166" s="40"/>
      <c r="BV166" s="40"/>
      <c r="BW166" s="4"/>
      <c r="BX166" s="4"/>
      <c r="BY166" s="4"/>
      <c r="BZ166" s="4"/>
      <c r="CA166" s="40"/>
      <c r="CB166" s="40"/>
      <c r="CC166" s="40"/>
      <c r="CD166" s="4"/>
      <c r="CE166" s="4"/>
      <c r="CF166" s="4"/>
      <c r="CG166" s="4"/>
      <c r="CH166" s="40"/>
      <c r="CI166" s="40"/>
      <c r="CJ166" s="40"/>
      <c r="CK166" s="4"/>
      <c r="CL166" s="4"/>
      <c r="CM166" s="4"/>
      <c r="CN166" s="4"/>
      <c r="CO166" s="40"/>
      <c r="CP166" s="40"/>
      <c r="CQ166" s="40"/>
    </row>
    <row r="167" ht="15.75" customHeight="1">
      <c r="A167" s="4"/>
      <c r="B167" s="4"/>
      <c r="C167" s="4"/>
      <c r="D167" s="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"/>
      <c r="AB167" s="4"/>
      <c r="AC167" s="4"/>
      <c r="AD167" s="40"/>
      <c r="AE167" s="40"/>
      <c r="AF167" s="40"/>
      <c r="AG167" s="4"/>
      <c r="AH167" s="4"/>
      <c r="AI167" s="4"/>
      <c r="AJ167" s="4"/>
      <c r="AK167" s="40"/>
      <c r="AL167" s="40"/>
      <c r="AM167" s="40"/>
      <c r="AN167" s="4"/>
      <c r="AO167" s="4"/>
      <c r="AP167" s="4"/>
      <c r="AQ167" s="4"/>
      <c r="AR167" s="40"/>
      <c r="AS167" s="40"/>
      <c r="AT167" s="40"/>
      <c r="AU167" s="4"/>
      <c r="AV167" s="4"/>
      <c r="AW167" s="4"/>
      <c r="AX167" s="4"/>
      <c r="AY167" s="40"/>
      <c r="AZ167" s="40"/>
      <c r="BA167" s="40"/>
      <c r="BB167" s="4"/>
      <c r="BC167" s="4"/>
      <c r="BD167" s="4"/>
      <c r="BE167" s="4"/>
      <c r="BF167" s="40"/>
      <c r="BG167" s="40"/>
      <c r="BH167" s="40"/>
      <c r="BI167" s="4"/>
      <c r="BJ167" s="4"/>
      <c r="BK167" s="4"/>
      <c r="BL167" s="4"/>
      <c r="BM167" s="40"/>
      <c r="BN167" s="40"/>
      <c r="BO167" s="40"/>
      <c r="BP167" s="4"/>
      <c r="BQ167" s="4"/>
      <c r="BR167" s="4"/>
      <c r="BS167" s="4"/>
      <c r="BT167" s="40"/>
      <c r="BU167" s="40"/>
      <c r="BV167" s="40"/>
      <c r="BW167" s="4"/>
      <c r="BX167" s="4"/>
      <c r="BY167" s="4"/>
      <c r="BZ167" s="4"/>
      <c r="CA167" s="40"/>
      <c r="CB167" s="40"/>
      <c r="CC167" s="40"/>
      <c r="CD167" s="4"/>
      <c r="CE167" s="4"/>
      <c r="CF167" s="4"/>
      <c r="CG167" s="4"/>
      <c r="CH167" s="40"/>
      <c r="CI167" s="40"/>
      <c r="CJ167" s="40"/>
      <c r="CK167" s="4"/>
      <c r="CL167" s="4"/>
      <c r="CM167" s="4"/>
      <c r="CN167" s="4"/>
      <c r="CO167" s="40"/>
      <c r="CP167" s="40"/>
      <c r="CQ167" s="40"/>
    </row>
    <row r="168" ht="15.75" customHeight="1">
      <c r="A168" s="4"/>
      <c r="B168" s="4"/>
      <c r="C168" s="4"/>
      <c r="D168" s="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"/>
      <c r="AB168" s="4"/>
      <c r="AC168" s="4"/>
      <c r="AD168" s="40"/>
      <c r="AE168" s="40"/>
      <c r="AF168" s="40"/>
      <c r="AG168" s="4"/>
      <c r="AH168" s="4"/>
      <c r="AI168" s="4"/>
      <c r="AJ168" s="4"/>
      <c r="AK168" s="40"/>
      <c r="AL168" s="40"/>
      <c r="AM168" s="40"/>
      <c r="AN168" s="4"/>
      <c r="AO168" s="4"/>
      <c r="AP168" s="4"/>
      <c r="AQ168" s="4"/>
      <c r="AR168" s="40"/>
      <c r="AS168" s="40"/>
      <c r="AT168" s="40"/>
      <c r="AU168" s="4"/>
      <c r="AV168" s="4"/>
      <c r="AW168" s="4"/>
      <c r="AX168" s="4"/>
      <c r="AY168" s="40"/>
      <c r="AZ168" s="40"/>
      <c r="BA168" s="40"/>
      <c r="BB168" s="4"/>
      <c r="BC168" s="4"/>
      <c r="BD168" s="4"/>
      <c r="BE168" s="4"/>
      <c r="BF168" s="40"/>
      <c r="BG168" s="40"/>
      <c r="BH168" s="40"/>
      <c r="BI168" s="4"/>
      <c r="BJ168" s="4"/>
      <c r="BK168" s="4"/>
      <c r="BL168" s="4"/>
      <c r="BM168" s="40"/>
      <c r="BN168" s="40"/>
      <c r="BO168" s="40"/>
      <c r="BP168" s="4"/>
      <c r="BQ168" s="4"/>
      <c r="BR168" s="4"/>
      <c r="BS168" s="4"/>
      <c r="BT168" s="40"/>
      <c r="BU168" s="40"/>
      <c r="BV168" s="40"/>
      <c r="BW168" s="4"/>
      <c r="BX168" s="4"/>
      <c r="BY168" s="4"/>
      <c r="BZ168" s="4"/>
      <c r="CA168" s="40"/>
      <c r="CB168" s="40"/>
      <c r="CC168" s="40"/>
      <c r="CD168" s="4"/>
      <c r="CE168" s="4"/>
      <c r="CF168" s="4"/>
      <c r="CG168" s="4"/>
      <c r="CH168" s="40"/>
      <c r="CI168" s="40"/>
      <c r="CJ168" s="40"/>
      <c r="CK168" s="4"/>
      <c r="CL168" s="4"/>
      <c r="CM168" s="4"/>
      <c r="CN168" s="4"/>
      <c r="CO168" s="40"/>
      <c r="CP168" s="40"/>
      <c r="CQ168" s="40"/>
    </row>
    <row r="169" ht="15.75" customHeight="1">
      <c r="A169" s="4"/>
      <c r="B169" s="4"/>
      <c r="C169" s="4"/>
      <c r="D169" s="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"/>
      <c r="AB169" s="4"/>
      <c r="AC169" s="4"/>
      <c r="AD169" s="40"/>
      <c r="AE169" s="40"/>
      <c r="AF169" s="40"/>
      <c r="AG169" s="4"/>
      <c r="AH169" s="4"/>
      <c r="AI169" s="4"/>
      <c r="AJ169" s="4"/>
      <c r="AK169" s="40"/>
      <c r="AL169" s="40"/>
      <c r="AM169" s="40"/>
      <c r="AN169" s="4"/>
      <c r="AO169" s="4"/>
      <c r="AP169" s="4"/>
      <c r="AQ169" s="4"/>
      <c r="AR169" s="40"/>
      <c r="AS169" s="40"/>
      <c r="AT169" s="40"/>
      <c r="AU169" s="4"/>
      <c r="AV169" s="4"/>
      <c r="AW169" s="4"/>
      <c r="AX169" s="4"/>
      <c r="AY169" s="40"/>
      <c r="AZ169" s="40"/>
      <c r="BA169" s="40"/>
      <c r="BB169" s="4"/>
      <c r="BC169" s="4"/>
      <c r="BD169" s="4"/>
      <c r="BE169" s="4"/>
      <c r="BF169" s="40"/>
      <c r="BG169" s="40"/>
      <c r="BH169" s="40"/>
      <c r="BI169" s="4"/>
      <c r="BJ169" s="4"/>
      <c r="BK169" s="4"/>
      <c r="BL169" s="4"/>
      <c r="BM169" s="40"/>
      <c r="BN169" s="40"/>
      <c r="BO169" s="40"/>
      <c r="BP169" s="4"/>
      <c r="BQ169" s="4"/>
      <c r="BR169" s="4"/>
      <c r="BS169" s="4"/>
      <c r="BT169" s="40"/>
      <c r="BU169" s="40"/>
      <c r="BV169" s="40"/>
      <c r="BW169" s="4"/>
      <c r="BX169" s="4"/>
      <c r="BY169" s="4"/>
      <c r="BZ169" s="4"/>
      <c r="CA169" s="40"/>
      <c r="CB169" s="40"/>
      <c r="CC169" s="40"/>
      <c r="CD169" s="4"/>
      <c r="CE169" s="4"/>
      <c r="CF169" s="4"/>
      <c r="CG169" s="4"/>
      <c r="CH169" s="40"/>
      <c r="CI169" s="40"/>
      <c r="CJ169" s="40"/>
      <c r="CK169" s="4"/>
      <c r="CL169" s="4"/>
      <c r="CM169" s="4"/>
      <c r="CN169" s="4"/>
      <c r="CO169" s="40"/>
      <c r="CP169" s="40"/>
      <c r="CQ169" s="40"/>
    </row>
    <row r="170" ht="15.75" customHeight="1">
      <c r="A170" s="4"/>
      <c r="B170" s="4"/>
      <c r="C170" s="4"/>
      <c r="D170" s="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"/>
      <c r="AB170" s="4"/>
      <c r="AC170" s="4"/>
      <c r="AD170" s="40"/>
      <c r="AE170" s="40"/>
      <c r="AF170" s="40"/>
      <c r="AG170" s="4"/>
      <c r="AH170" s="4"/>
      <c r="AI170" s="4"/>
      <c r="AJ170" s="4"/>
      <c r="AK170" s="40"/>
      <c r="AL170" s="40"/>
      <c r="AM170" s="40"/>
      <c r="AN170" s="4"/>
      <c r="AO170" s="4"/>
      <c r="AP170" s="4"/>
      <c r="AQ170" s="4"/>
      <c r="AR170" s="40"/>
      <c r="AS170" s="40"/>
      <c r="AT170" s="40"/>
      <c r="AU170" s="4"/>
      <c r="AV170" s="4"/>
      <c r="AW170" s="4"/>
      <c r="AX170" s="4"/>
      <c r="AY170" s="40"/>
      <c r="AZ170" s="40"/>
      <c r="BA170" s="40"/>
      <c r="BB170" s="4"/>
      <c r="BC170" s="4"/>
      <c r="BD170" s="4"/>
      <c r="BE170" s="4"/>
      <c r="BF170" s="40"/>
      <c r="BG170" s="40"/>
      <c r="BH170" s="40"/>
      <c r="BI170" s="4"/>
      <c r="BJ170" s="4"/>
      <c r="BK170" s="4"/>
      <c r="BL170" s="4"/>
      <c r="BM170" s="40"/>
      <c r="BN170" s="40"/>
      <c r="BO170" s="40"/>
      <c r="BP170" s="4"/>
      <c r="BQ170" s="4"/>
      <c r="BR170" s="4"/>
      <c r="BS170" s="4"/>
      <c r="BT170" s="40"/>
      <c r="BU170" s="40"/>
      <c r="BV170" s="40"/>
      <c r="BW170" s="4"/>
      <c r="BX170" s="4"/>
      <c r="BY170" s="4"/>
      <c r="BZ170" s="4"/>
      <c r="CA170" s="40"/>
      <c r="CB170" s="40"/>
      <c r="CC170" s="40"/>
      <c r="CD170" s="4"/>
      <c r="CE170" s="4"/>
      <c r="CF170" s="4"/>
      <c r="CG170" s="4"/>
      <c r="CH170" s="40"/>
      <c r="CI170" s="40"/>
      <c r="CJ170" s="40"/>
      <c r="CK170" s="4"/>
      <c r="CL170" s="4"/>
      <c r="CM170" s="4"/>
      <c r="CN170" s="4"/>
      <c r="CO170" s="40"/>
      <c r="CP170" s="40"/>
      <c r="CQ170" s="40"/>
    </row>
    <row r="171" ht="15.75" customHeight="1">
      <c r="A171" s="4"/>
      <c r="B171" s="4"/>
      <c r="C171" s="4"/>
      <c r="D171" s="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"/>
      <c r="AB171" s="4"/>
      <c r="AC171" s="4"/>
      <c r="AD171" s="40"/>
      <c r="AE171" s="40"/>
      <c r="AF171" s="40"/>
      <c r="AG171" s="4"/>
      <c r="AH171" s="4"/>
      <c r="AI171" s="4"/>
      <c r="AJ171" s="4"/>
      <c r="AK171" s="40"/>
      <c r="AL171" s="40"/>
      <c r="AM171" s="40"/>
      <c r="AN171" s="4"/>
      <c r="AO171" s="4"/>
      <c r="AP171" s="4"/>
      <c r="AQ171" s="4"/>
      <c r="AR171" s="40"/>
      <c r="AS171" s="40"/>
      <c r="AT171" s="40"/>
      <c r="AU171" s="4"/>
      <c r="AV171" s="4"/>
      <c r="AW171" s="4"/>
      <c r="AX171" s="4"/>
      <c r="AY171" s="40"/>
      <c r="AZ171" s="40"/>
      <c r="BA171" s="40"/>
      <c r="BB171" s="4"/>
      <c r="BC171" s="4"/>
      <c r="BD171" s="4"/>
      <c r="BE171" s="4"/>
      <c r="BF171" s="40"/>
      <c r="BG171" s="40"/>
      <c r="BH171" s="40"/>
      <c r="BI171" s="4"/>
      <c r="BJ171" s="4"/>
      <c r="BK171" s="4"/>
      <c r="BL171" s="4"/>
      <c r="BM171" s="40"/>
      <c r="BN171" s="40"/>
      <c r="BO171" s="40"/>
      <c r="BP171" s="4"/>
      <c r="BQ171" s="4"/>
      <c r="BR171" s="4"/>
      <c r="BS171" s="4"/>
      <c r="BT171" s="40"/>
      <c r="BU171" s="40"/>
      <c r="BV171" s="40"/>
      <c r="BW171" s="4"/>
      <c r="BX171" s="4"/>
      <c r="BY171" s="4"/>
      <c r="BZ171" s="4"/>
      <c r="CA171" s="40"/>
      <c r="CB171" s="40"/>
      <c r="CC171" s="40"/>
      <c r="CD171" s="4"/>
      <c r="CE171" s="4"/>
      <c r="CF171" s="4"/>
      <c r="CG171" s="4"/>
      <c r="CH171" s="40"/>
      <c r="CI171" s="40"/>
      <c r="CJ171" s="40"/>
      <c r="CK171" s="4"/>
      <c r="CL171" s="4"/>
      <c r="CM171" s="4"/>
      <c r="CN171" s="4"/>
      <c r="CO171" s="40"/>
      <c r="CP171" s="40"/>
      <c r="CQ171" s="40"/>
    </row>
    <row r="172" ht="15.75" customHeight="1">
      <c r="A172" s="4"/>
      <c r="B172" s="4"/>
      <c r="C172" s="4"/>
      <c r="D172" s="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"/>
      <c r="AB172" s="4"/>
      <c r="AC172" s="4"/>
      <c r="AD172" s="40"/>
      <c r="AE172" s="40"/>
      <c r="AF172" s="40"/>
      <c r="AG172" s="4"/>
      <c r="AH172" s="4"/>
      <c r="AI172" s="4"/>
      <c r="AJ172" s="4"/>
      <c r="AK172" s="40"/>
      <c r="AL172" s="40"/>
      <c r="AM172" s="40"/>
      <c r="AN172" s="4"/>
      <c r="AO172" s="4"/>
      <c r="AP172" s="4"/>
      <c r="AQ172" s="4"/>
      <c r="AR172" s="40"/>
      <c r="AS172" s="40"/>
      <c r="AT172" s="40"/>
      <c r="AU172" s="4"/>
      <c r="AV172" s="4"/>
      <c r="AW172" s="4"/>
      <c r="AX172" s="4"/>
      <c r="AY172" s="40"/>
      <c r="AZ172" s="40"/>
      <c r="BA172" s="40"/>
      <c r="BB172" s="4"/>
      <c r="BC172" s="4"/>
      <c r="BD172" s="4"/>
      <c r="BE172" s="4"/>
      <c r="BF172" s="40"/>
      <c r="BG172" s="40"/>
      <c r="BH172" s="40"/>
      <c r="BI172" s="4"/>
      <c r="BJ172" s="4"/>
      <c r="BK172" s="4"/>
      <c r="BL172" s="4"/>
      <c r="BM172" s="40"/>
      <c r="BN172" s="40"/>
      <c r="BO172" s="40"/>
      <c r="BP172" s="4"/>
      <c r="BQ172" s="4"/>
      <c r="BR172" s="4"/>
      <c r="BS172" s="4"/>
      <c r="BT172" s="40"/>
      <c r="BU172" s="40"/>
      <c r="BV172" s="40"/>
      <c r="BW172" s="4"/>
      <c r="BX172" s="4"/>
      <c r="BY172" s="4"/>
      <c r="BZ172" s="4"/>
      <c r="CA172" s="40"/>
      <c r="CB172" s="40"/>
      <c r="CC172" s="40"/>
      <c r="CD172" s="4"/>
      <c r="CE172" s="4"/>
      <c r="CF172" s="4"/>
      <c r="CG172" s="4"/>
      <c r="CH172" s="40"/>
      <c r="CI172" s="40"/>
      <c r="CJ172" s="40"/>
      <c r="CK172" s="4"/>
      <c r="CL172" s="4"/>
      <c r="CM172" s="4"/>
      <c r="CN172" s="4"/>
      <c r="CO172" s="40"/>
      <c r="CP172" s="40"/>
      <c r="CQ172" s="40"/>
    </row>
    <row r="173" ht="15.75" customHeight="1">
      <c r="A173" s="4"/>
      <c r="B173" s="4"/>
      <c r="C173" s="4"/>
      <c r="D173" s="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"/>
      <c r="AB173" s="4"/>
      <c r="AC173" s="4"/>
      <c r="AD173" s="40"/>
      <c r="AE173" s="40"/>
      <c r="AF173" s="40"/>
      <c r="AG173" s="4"/>
      <c r="AH173" s="4"/>
      <c r="AI173" s="4"/>
      <c r="AJ173" s="4"/>
      <c r="AK173" s="40"/>
      <c r="AL173" s="40"/>
      <c r="AM173" s="40"/>
      <c r="AN173" s="4"/>
      <c r="AO173" s="4"/>
      <c r="AP173" s="4"/>
      <c r="AQ173" s="4"/>
      <c r="AR173" s="40"/>
      <c r="AS173" s="40"/>
      <c r="AT173" s="40"/>
      <c r="AU173" s="4"/>
      <c r="AV173" s="4"/>
      <c r="AW173" s="4"/>
      <c r="AX173" s="4"/>
      <c r="AY173" s="40"/>
      <c r="AZ173" s="40"/>
      <c r="BA173" s="40"/>
      <c r="BB173" s="4"/>
      <c r="BC173" s="4"/>
      <c r="BD173" s="4"/>
      <c r="BE173" s="4"/>
      <c r="BF173" s="40"/>
      <c r="BG173" s="40"/>
      <c r="BH173" s="40"/>
      <c r="BI173" s="4"/>
      <c r="BJ173" s="4"/>
      <c r="BK173" s="4"/>
      <c r="BL173" s="4"/>
      <c r="BM173" s="40"/>
      <c r="BN173" s="40"/>
      <c r="BO173" s="40"/>
      <c r="BP173" s="4"/>
      <c r="BQ173" s="4"/>
      <c r="BR173" s="4"/>
      <c r="BS173" s="4"/>
      <c r="BT173" s="40"/>
      <c r="BU173" s="40"/>
      <c r="BV173" s="40"/>
      <c r="BW173" s="4"/>
      <c r="BX173" s="4"/>
      <c r="BY173" s="4"/>
      <c r="BZ173" s="4"/>
      <c r="CA173" s="40"/>
      <c r="CB173" s="40"/>
      <c r="CC173" s="40"/>
      <c r="CD173" s="4"/>
      <c r="CE173" s="4"/>
      <c r="CF173" s="4"/>
      <c r="CG173" s="4"/>
      <c r="CH173" s="40"/>
      <c r="CI173" s="40"/>
      <c r="CJ173" s="40"/>
      <c r="CK173" s="4"/>
      <c r="CL173" s="4"/>
      <c r="CM173" s="4"/>
      <c r="CN173" s="4"/>
      <c r="CO173" s="40"/>
      <c r="CP173" s="40"/>
      <c r="CQ173" s="40"/>
    </row>
    <row r="174" ht="15.75" customHeight="1">
      <c r="A174" s="4"/>
      <c r="B174" s="4"/>
      <c r="C174" s="4"/>
      <c r="D174" s="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"/>
      <c r="AB174" s="4"/>
      <c r="AC174" s="4"/>
      <c r="AD174" s="40"/>
      <c r="AE174" s="40"/>
      <c r="AF174" s="40"/>
      <c r="AG174" s="4"/>
      <c r="AH174" s="4"/>
      <c r="AI174" s="4"/>
      <c r="AJ174" s="4"/>
      <c r="AK174" s="40"/>
      <c r="AL174" s="40"/>
      <c r="AM174" s="40"/>
      <c r="AN174" s="4"/>
      <c r="AO174" s="4"/>
      <c r="AP174" s="4"/>
      <c r="AQ174" s="4"/>
      <c r="AR174" s="40"/>
      <c r="AS174" s="40"/>
      <c r="AT174" s="40"/>
      <c r="AU174" s="4"/>
      <c r="AV174" s="4"/>
      <c r="AW174" s="4"/>
      <c r="AX174" s="4"/>
      <c r="AY174" s="40"/>
      <c r="AZ174" s="40"/>
      <c r="BA174" s="40"/>
      <c r="BB174" s="4"/>
      <c r="BC174" s="4"/>
      <c r="BD174" s="4"/>
      <c r="BE174" s="4"/>
      <c r="BF174" s="40"/>
      <c r="BG174" s="40"/>
      <c r="BH174" s="40"/>
      <c r="BI174" s="4"/>
      <c r="BJ174" s="4"/>
      <c r="BK174" s="4"/>
      <c r="BL174" s="4"/>
      <c r="BM174" s="40"/>
      <c r="BN174" s="40"/>
      <c r="BO174" s="40"/>
      <c r="BP174" s="4"/>
      <c r="BQ174" s="4"/>
      <c r="BR174" s="4"/>
      <c r="BS174" s="4"/>
      <c r="BT174" s="40"/>
      <c r="BU174" s="40"/>
      <c r="BV174" s="40"/>
      <c r="BW174" s="4"/>
      <c r="BX174" s="4"/>
      <c r="BY174" s="4"/>
      <c r="BZ174" s="4"/>
      <c r="CA174" s="40"/>
      <c r="CB174" s="40"/>
      <c r="CC174" s="40"/>
      <c r="CD174" s="4"/>
      <c r="CE174" s="4"/>
      <c r="CF174" s="4"/>
      <c r="CG174" s="4"/>
      <c r="CH174" s="40"/>
      <c r="CI174" s="40"/>
      <c r="CJ174" s="40"/>
      <c r="CK174" s="4"/>
      <c r="CL174" s="4"/>
      <c r="CM174" s="4"/>
      <c r="CN174" s="4"/>
      <c r="CO174" s="40"/>
      <c r="CP174" s="40"/>
      <c r="CQ174" s="40"/>
    </row>
    <row r="175" ht="15.75" customHeight="1">
      <c r="A175" s="4"/>
      <c r="B175" s="4"/>
      <c r="C175" s="4"/>
      <c r="D175" s="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"/>
      <c r="AB175" s="4"/>
      <c r="AC175" s="4"/>
      <c r="AD175" s="40"/>
      <c r="AE175" s="40"/>
      <c r="AF175" s="40"/>
      <c r="AG175" s="4"/>
      <c r="AH175" s="4"/>
      <c r="AI175" s="4"/>
      <c r="AJ175" s="4"/>
      <c r="AK175" s="40"/>
      <c r="AL175" s="40"/>
      <c r="AM175" s="40"/>
      <c r="AN175" s="4"/>
      <c r="AO175" s="4"/>
      <c r="AP175" s="4"/>
      <c r="AQ175" s="4"/>
      <c r="AR175" s="40"/>
      <c r="AS175" s="40"/>
      <c r="AT175" s="40"/>
      <c r="AU175" s="4"/>
      <c r="AV175" s="4"/>
      <c r="AW175" s="4"/>
      <c r="AX175" s="4"/>
      <c r="AY175" s="40"/>
      <c r="AZ175" s="40"/>
      <c r="BA175" s="40"/>
      <c r="BB175" s="4"/>
      <c r="BC175" s="4"/>
      <c r="BD175" s="4"/>
      <c r="BE175" s="4"/>
      <c r="BF175" s="40"/>
      <c r="BG175" s="40"/>
      <c r="BH175" s="40"/>
      <c r="BI175" s="4"/>
      <c r="BJ175" s="4"/>
      <c r="BK175" s="4"/>
      <c r="BL175" s="4"/>
      <c r="BM175" s="40"/>
      <c r="BN175" s="40"/>
      <c r="BO175" s="40"/>
      <c r="BP175" s="4"/>
      <c r="BQ175" s="4"/>
      <c r="BR175" s="4"/>
      <c r="BS175" s="4"/>
      <c r="BT175" s="40"/>
      <c r="BU175" s="40"/>
      <c r="BV175" s="40"/>
      <c r="BW175" s="4"/>
      <c r="BX175" s="4"/>
      <c r="BY175" s="4"/>
      <c r="BZ175" s="4"/>
      <c r="CA175" s="40"/>
      <c r="CB175" s="40"/>
      <c r="CC175" s="40"/>
      <c r="CD175" s="4"/>
      <c r="CE175" s="4"/>
      <c r="CF175" s="4"/>
      <c r="CG175" s="4"/>
      <c r="CH175" s="40"/>
      <c r="CI175" s="40"/>
      <c r="CJ175" s="40"/>
      <c r="CK175" s="4"/>
      <c r="CL175" s="4"/>
      <c r="CM175" s="4"/>
      <c r="CN175" s="4"/>
      <c r="CO175" s="40"/>
      <c r="CP175" s="40"/>
      <c r="CQ175" s="40"/>
    </row>
    <row r="176" ht="15.75" customHeight="1">
      <c r="A176" s="4"/>
      <c r="B176" s="4"/>
      <c r="C176" s="4"/>
      <c r="D176" s="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"/>
      <c r="AB176" s="4"/>
      <c r="AC176" s="4"/>
      <c r="AD176" s="40"/>
      <c r="AE176" s="40"/>
      <c r="AF176" s="40"/>
      <c r="AG176" s="4"/>
      <c r="AH176" s="4"/>
      <c r="AI176" s="4"/>
      <c r="AJ176" s="4"/>
      <c r="AK176" s="40"/>
      <c r="AL176" s="40"/>
      <c r="AM176" s="40"/>
      <c r="AN176" s="4"/>
      <c r="AO176" s="4"/>
      <c r="AP176" s="4"/>
      <c r="AQ176" s="4"/>
      <c r="AR176" s="40"/>
      <c r="AS176" s="40"/>
      <c r="AT176" s="40"/>
      <c r="AU176" s="4"/>
      <c r="AV176" s="4"/>
      <c r="AW176" s="4"/>
      <c r="AX176" s="4"/>
      <c r="AY176" s="40"/>
      <c r="AZ176" s="40"/>
      <c r="BA176" s="40"/>
      <c r="BB176" s="4"/>
      <c r="BC176" s="4"/>
      <c r="BD176" s="4"/>
      <c r="BE176" s="4"/>
      <c r="BF176" s="40"/>
      <c r="BG176" s="40"/>
      <c r="BH176" s="40"/>
      <c r="BI176" s="4"/>
      <c r="BJ176" s="4"/>
      <c r="BK176" s="4"/>
      <c r="BL176" s="4"/>
      <c r="BM176" s="40"/>
      <c r="BN176" s="40"/>
      <c r="BO176" s="40"/>
      <c r="BP176" s="4"/>
      <c r="BQ176" s="4"/>
      <c r="BR176" s="4"/>
      <c r="BS176" s="4"/>
      <c r="BT176" s="40"/>
      <c r="BU176" s="40"/>
      <c r="BV176" s="40"/>
      <c r="BW176" s="4"/>
      <c r="BX176" s="4"/>
      <c r="BY176" s="4"/>
      <c r="BZ176" s="4"/>
      <c r="CA176" s="40"/>
      <c r="CB176" s="40"/>
      <c r="CC176" s="40"/>
      <c r="CD176" s="4"/>
      <c r="CE176" s="4"/>
      <c r="CF176" s="4"/>
      <c r="CG176" s="4"/>
      <c r="CH176" s="40"/>
      <c r="CI176" s="40"/>
      <c r="CJ176" s="40"/>
      <c r="CK176" s="4"/>
      <c r="CL176" s="4"/>
      <c r="CM176" s="4"/>
      <c r="CN176" s="4"/>
      <c r="CO176" s="40"/>
      <c r="CP176" s="40"/>
      <c r="CQ176" s="40"/>
    </row>
    <row r="177" ht="15.75" customHeight="1">
      <c r="A177" s="4"/>
      <c r="B177" s="4"/>
      <c r="C177" s="4"/>
      <c r="D177" s="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"/>
      <c r="AB177" s="4"/>
      <c r="AC177" s="4"/>
      <c r="AD177" s="40"/>
      <c r="AE177" s="40"/>
      <c r="AF177" s="40"/>
      <c r="AG177" s="4"/>
      <c r="AH177" s="4"/>
      <c r="AI177" s="4"/>
      <c r="AJ177" s="4"/>
      <c r="AK177" s="40"/>
      <c r="AL177" s="40"/>
      <c r="AM177" s="40"/>
      <c r="AN177" s="4"/>
      <c r="AO177" s="4"/>
      <c r="AP177" s="4"/>
      <c r="AQ177" s="4"/>
      <c r="AR177" s="40"/>
      <c r="AS177" s="40"/>
      <c r="AT177" s="40"/>
      <c r="AU177" s="4"/>
      <c r="AV177" s="4"/>
      <c r="AW177" s="4"/>
      <c r="AX177" s="4"/>
      <c r="AY177" s="40"/>
      <c r="AZ177" s="40"/>
      <c r="BA177" s="40"/>
      <c r="BB177" s="4"/>
      <c r="BC177" s="4"/>
      <c r="BD177" s="4"/>
      <c r="BE177" s="4"/>
      <c r="BF177" s="40"/>
      <c r="BG177" s="40"/>
      <c r="BH177" s="40"/>
      <c r="BI177" s="4"/>
      <c r="BJ177" s="4"/>
      <c r="BK177" s="4"/>
      <c r="BL177" s="4"/>
      <c r="BM177" s="40"/>
      <c r="BN177" s="40"/>
      <c r="BO177" s="40"/>
      <c r="BP177" s="4"/>
      <c r="BQ177" s="4"/>
      <c r="BR177" s="4"/>
      <c r="BS177" s="4"/>
      <c r="BT177" s="40"/>
      <c r="BU177" s="40"/>
      <c r="BV177" s="40"/>
      <c r="BW177" s="4"/>
      <c r="BX177" s="4"/>
      <c r="BY177" s="4"/>
      <c r="BZ177" s="4"/>
      <c r="CA177" s="40"/>
      <c r="CB177" s="40"/>
      <c r="CC177" s="40"/>
      <c r="CD177" s="4"/>
      <c r="CE177" s="4"/>
      <c r="CF177" s="4"/>
      <c r="CG177" s="4"/>
      <c r="CH177" s="40"/>
      <c r="CI177" s="40"/>
      <c r="CJ177" s="40"/>
      <c r="CK177" s="4"/>
      <c r="CL177" s="4"/>
      <c r="CM177" s="4"/>
      <c r="CN177" s="4"/>
      <c r="CO177" s="40"/>
      <c r="CP177" s="40"/>
      <c r="CQ177" s="40"/>
    </row>
    <row r="178" ht="15.75" customHeight="1">
      <c r="A178" s="4"/>
      <c r="B178" s="4"/>
      <c r="C178" s="4"/>
      <c r="D178" s="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"/>
      <c r="AB178" s="4"/>
      <c r="AC178" s="4"/>
      <c r="AD178" s="40"/>
      <c r="AE178" s="40"/>
      <c r="AF178" s="40"/>
      <c r="AG178" s="4"/>
      <c r="AH178" s="4"/>
      <c r="AI178" s="4"/>
      <c r="AJ178" s="4"/>
      <c r="AK178" s="40"/>
      <c r="AL178" s="40"/>
      <c r="AM178" s="40"/>
      <c r="AN178" s="4"/>
      <c r="AO178" s="4"/>
      <c r="AP178" s="4"/>
      <c r="AQ178" s="4"/>
      <c r="AR178" s="40"/>
      <c r="AS178" s="40"/>
      <c r="AT178" s="40"/>
      <c r="AU178" s="4"/>
      <c r="AV178" s="4"/>
      <c r="AW178" s="4"/>
      <c r="AX178" s="4"/>
      <c r="AY178" s="40"/>
      <c r="AZ178" s="40"/>
      <c r="BA178" s="40"/>
      <c r="BB178" s="4"/>
      <c r="BC178" s="4"/>
      <c r="BD178" s="4"/>
      <c r="BE178" s="4"/>
      <c r="BF178" s="40"/>
      <c r="BG178" s="40"/>
      <c r="BH178" s="40"/>
      <c r="BI178" s="4"/>
      <c r="BJ178" s="4"/>
      <c r="BK178" s="4"/>
      <c r="BL178" s="4"/>
      <c r="BM178" s="40"/>
      <c r="BN178" s="40"/>
      <c r="BO178" s="40"/>
      <c r="BP178" s="4"/>
      <c r="BQ178" s="4"/>
      <c r="BR178" s="4"/>
      <c r="BS178" s="4"/>
      <c r="BT178" s="40"/>
      <c r="BU178" s="40"/>
      <c r="BV178" s="40"/>
      <c r="BW178" s="4"/>
      <c r="BX178" s="4"/>
      <c r="BY178" s="4"/>
      <c r="BZ178" s="4"/>
      <c r="CA178" s="40"/>
      <c r="CB178" s="40"/>
      <c r="CC178" s="40"/>
      <c r="CD178" s="4"/>
      <c r="CE178" s="4"/>
      <c r="CF178" s="4"/>
      <c r="CG178" s="4"/>
      <c r="CH178" s="40"/>
      <c r="CI178" s="40"/>
      <c r="CJ178" s="40"/>
      <c r="CK178" s="4"/>
      <c r="CL178" s="4"/>
      <c r="CM178" s="4"/>
      <c r="CN178" s="4"/>
      <c r="CO178" s="40"/>
      <c r="CP178" s="40"/>
      <c r="CQ178" s="40"/>
    </row>
    <row r="179" ht="15.75" customHeight="1">
      <c r="A179" s="4"/>
      <c r="B179" s="4"/>
      <c r="C179" s="4"/>
      <c r="D179" s="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"/>
      <c r="AB179" s="4"/>
      <c r="AC179" s="4"/>
      <c r="AD179" s="40"/>
      <c r="AE179" s="40"/>
      <c r="AF179" s="40"/>
      <c r="AG179" s="4"/>
      <c r="AH179" s="4"/>
      <c r="AI179" s="4"/>
      <c r="AJ179" s="4"/>
      <c r="AK179" s="40"/>
      <c r="AL179" s="40"/>
      <c r="AM179" s="40"/>
      <c r="AN179" s="4"/>
      <c r="AO179" s="4"/>
      <c r="AP179" s="4"/>
      <c r="AQ179" s="4"/>
      <c r="AR179" s="40"/>
      <c r="AS179" s="40"/>
      <c r="AT179" s="40"/>
      <c r="AU179" s="4"/>
      <c r="AV179" s="4"/>
      <c r="AW179" s="4"/>
      <c r="AX179" s="4"/>
      <c r="AY179" s="40"/>
      <c r="AZ179" s="40"/>
      <c r="BA179" s="40"/>
      <c r="BB179" s="4"/>
      <c r="BC179" s="4"/>
      <c r="BD179" s="4"/>
      <c r="BE179" s="4"/>
      <c r="BF179" s="40"/>
      <c r="BG179" s="40"/>
      <c r="BH179" s="40"/>
      <c r="BI179" s="4"/>
      <c r="BJ179" s="4"/>
      <c r="BK179" s="4"/>
      <c r="BL179" s="4"/>
      <c r="BM179" s="40"/>
      <c r="BN179" s="40"/>
      <c r="BO179" s="40"/>
      <c r="BP179" s="4"/>
      <c r="BQ179" s="4"/>
      <c r="BR179" s="4"/>
      <c r="BS179" s="4"/>
      <c r="BT179" s="40"/>
      <c r="BU179" s="40"/>
      <c r="BV179" s="40"/>
      <c r="BW179" s="4"/>
      <c r="BX179" s="4"/>
      <c r="BY179" s="4"/>
      <c r="BZ179" s="4"/>
      <c r="CA179" s="40"/>
      <c r="CB179" s="40"/>
      <c r="CC179" s="40"/>
      <c r="CD179" s="4"/>
      <c r="CE179" s="4"/>
      <c r="CF179" s="4"/>
      <c r="CG179" s="4"/>
      <c r="CH179" s="40"/>
      <c r="CI179" s="40"/>
      <c r="CJ179" s="40"/>
      <c r="CK179" s="4"/>
      <c r="CL179" s="4"/>
      <c r="CM179" s="4"/>
      <c r="CN179" s="4"/>
      <c r="CO179" s="40"/>
      <c r="CP179" s="40"/>
      <c r="CQ179" s="40"/>
    </row>
    <row r="180" ht="15.75" customHeight="1">
      <c r="A180" s="4"/>
      <c r="B180" s="4"/>
      <c r="C180" s="4"/>
      <c r="D180" s="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"/>
      <c r="AB180" s="4"/>
      <c r="AC180" s="4"/>
      <c r="AD180" s="40"/>
      <c r="AE180" s="40"/>
      <c r="AF180" s="40"/>
      <c r="AG180" s="4"/>
      <c r="AH180" s="4"/>
      <c r="AI180" s="4"/>
      <c r="AJ180" s="4"/>
      <c r="AK180" s="40"/>
      <c r="AL180" s="40"/>
      <c r="AM180" s="40"/>
      <c r="AN180" s="4"/>
      <c r="AO180" s="4"/>
      <c r="AP180" s="4"/>
      <c r="AQ180" s="4"/>
      <c r="AR180" s="40"/>
      <c r="AS180" s="40"/>
      <c r="AT180" s="40"/>
      <c r="AU180" s="4"/>
      <c r="AV180" s="4"/>
      <c r="AW180" s="4"/>
      <c r="AX180" s="4"/>
      <c r="AY180" s="40"/>
      <c r="AZ180" s="40"/>
      <c r="BA180" s="40"/>
      <c r="BB180" s="4"/>
      <c r="BC180" s="4"/>
      <c r="BD180" s="4"/>
      <c r="BE180" s="4"/>
      <c r="BF180" s="40"/>
      <c r="BG180" s="40"/>
      <c r="BH180" s="40"/>
      <c r="BI180" s="4"/>
      <c r="BJ180" s="4"/>
      <c r="BK180" s="4"/>
      <c r="BL180" s="4"/>
      <c r="BM180" s="40"/>
      <c r="BN180" s="40"/>
      <c r="BO180" s="40"/>
      <c r="BP180" s="4"/>
      <c r="BQ180" s="4"/>
      <c r="BR180" s="4"/>
      <c r="BS180" s="4"/>
      <c r="BT180" s="40"/>
      <c r="BU180" s="40"/>
      <c r="BV180" s="40"/>
      <c r="BW180" s="4"/>
      <c r="BX180" s="4"/>
      <c r="BY180" s="4"/>
      <c r="BZ180" s="4"/>
      <c r="CA180" s="40"/>
      <c r="CB180" s="40"/>
      <c r="CC180" s="40"/>
      <c r="CD180" s="4"/>
      <c r="CE180" s="4"/>
      <c r="CF180" s="4"/>
      <c r="CG180" s="4"/>
      <c r="CH180" s="40"/>
      <c r="CI180" s="40"/>
      <c r="CJ180" s="40"/>
      <c r="CK180" s="4"/>
      <c r="CL180" s="4"/>
      <c r="CM180" s="4"/>
      <c r="CN180" s="4"/>
      <c r="CO180" s="40"/>
      <c r="CP180" s="40"/>
      <c r="CQ180" s="40"/>
    </row>
    <row r="181" ht="15.75" customHeight="1">
      <c r="A181" s="4"/>
      <c r="B181" s="4"/>
      <c r="C181" s="4"/>
      <c r="D181" s="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"/>
      <c r="AB181" s="4"/>
      <c r="AC181" s="4"/>
      <c r="AD181" s="40"/>
      <c r="AE181" s="40"/>
      <c r="AF181" s="40"/>
      <c r="AG181" s="4"/>
      <c r="AH181" s="4"/>
      <c r="AI181" s="4"/>
      <c r="AJ181" s="4"/>
      <c r="AK181" s="40"/>
      <c r="AL181" s="40"/>
      <c r="AM181" s="40"/>
      <c r="AN181" s="4"/>
      <c r="AO181" s="4"/>
      <c r="AP181" s="4"/>
      <c r="AQ181" s="4"/>
      <c r="AR181" s="40"/>
      <c r="AS181" s="40"/>
      <c r="AT181" s="40"/>
      <c r="AU181" s="4"/>
      <c r="AV181" s="4"/>
      <c r="AW181" s="4"/>
      <c r="AX181" s="4"/>
      <c r="AY181" s="40"/>
      <c r="AZ181" s="40"/>
      <c r="BA181" s="40"/>
      <c r="BB181" s="4"/>
      <c r="BC181" s="4"/>
      <c r="BD181" s="4"/>
      <c r="BE181" s="4"/>
      <c r="BF181" s="40"/>
      <c r="BG181" s="40"/>
      <c r="BH181" s="40"/>
      <c r="BI181" s="4"/>
      <c r="BJ181" s="4"/>
      <c r="BK181" s="4"/>
      <c r="BL181" s="4"/>
      <c r="BM181" s="40"/>
      <c r="BN181" s="40"/>
      <c r="BO181" s="40"/>
      <c r="BP181" s="4"/>
      <c r="BQ181" s="4"/>
      <c r="BR181" s="4"/>
      <c r="BS181" s="4"/>
      <c r="BT181" s="40"/>
      <c r="BU181" s="40"/>
      <c r="BV181" s="40"/>
      <c r="BW181" s="4"/>
      <c r="BX181" s="4"/>
      <c r="BY181" s="4"/>
      <c r="BZ181" s="4"/>
      <c r="CA181" s="40"/>
      <c r="CB181" s="40"/>
      <c r="CC181" s="40"/>
      <c r="CD181" s="4"/>
      <c r="CE181" s="4"/>
      <c r="CF181" s="4"/>
      <c r="CG181" s="4"/>
      <c r="CH181" s="40"/>
      <c r="CI181" s="40"/>
      <c r="CJ181" s="40"/>
      <c r="CK181" s="4"/>
      <c r="CL181" s="4"/>
      <c r="CM181" s="4"/>
      <c r="CN181" s="4"/>
      <c r="CO181" s="40"/>
      <c r="CP181" s="40"/>
      <c r="CQ181" s="40"/>
    </row>
    <row r="182" ht="15.75" customHeight="1">
      <c r="A182" s="4"/>
      <c r="B182" s="4"/>
      <c r="C182" s="4"/>
      <c r="D182" s="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"/>
      <c r="AB182" s="4"/>
      <c r="AC182" s="4"/>
      <c r="AD182" s="40"/>
      <c r="AE182" s="40"/>
      <c r="AF182" s="40"/>
      <c r="AG182" s="4"/>
      <c r="AH182" s="4"/>
      <c r="AI182" s="4"/>
      <c r="AJ182" s="4"/>
      <c r="AK182" s="40"/>
      <c r="AL182" s="40"/>
      <c r="AM182" s="40"/>
      <c r="AN182" s="4"/>
      <c r="AO182" s="4"/>
      <c r="AP182" s="4"/>
      <c r="AQ182" s="4"/>
      <c r="AR182" s="40"/>
      <c r="AS182" s="40"/>
      <c r="AT182" s="40"/>
      <c r="AU182" s="4"/>
      <c r="AV182" s="4"/>
      <c r="AW182" s="4"/>
      <c r="AX182" s="4"/>
      <c r="AY182" s="40"/>
      <c r="AZ182" s="40"/>
      <c r="BA182" s="40"/>
      <c r="BB182" s="4"/>
      <c r="BC182" s="4"/>
      <c r="BD182" s="4"/>
      <c r="BE182" s="4"/>
      <c r="BF182" s="40"/>
      <c r="BG182" s="40"/>
      <c r="BH182" s="40"/>
      <c r="BI182" s="4"/>
      <c r="BJ182" s="4"/>
      <c r="BK182" s="4"/>
      <c r="BL182" s="4"/>
      <c r="BM182" s="40"/>
      <c r="BN182" s="40"/>
      <c r="BO182" s="40"/>
      <c r="BP182" s="4"/>
      <c r="BQ182" s="4"/>
      <c r="BR182" s="4"/>
      <c r="BS182" s="4"/>
      <c r="BT182" s="40"/>
      <c r="BU182" s="40"/>
      <c r="BV182" s="40"/>
      <c r="BW182" s="4"/>
      <c r="BX182" s="4"/>
      <c r="BY182" s="4"/>
      <c r="BZ182" s="4"/>
      <c r="CA182" s="40"/>
      <c r="CB182" s="40"/>
      <c r="CC182" s="40"/>
      <c r="CD182" s="4"/>
      <c r="CE182" s="4"/>
      <c r="CF182" s="4"/>
      <c r="CG182" s="4"/>
      <c r="CH182" s="40"/>
      <c r="CI182" s="40"/>
      <c r="CJ182" s="40"/>
      <c r="CK182" s="4"/>
      <c r="CL182" s="4"/>
      <c r="CM182" s="4"/>
      <c r="CN182" s="4"/>
      <c r="CO182" s="40"/>
      <c r="CP182" s="40"/>
      <c r="CQ182" s="40"/>
    </row>
    <row r="183" ht="15.75" customHeight="1">
      <c r="A183" s="4"/>
      <c r="B183" s="4"/>
      <c r="C183" s="4"/>
      <c r="D183" s="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"/>
      <c r="AB183" s="4"/>
      <c r="AC183" s="4"/>
      <c r="AD183" s="40"/>
      <c r="AE183" s="40"/>
      <c r="AF183" s="40"/>
      <c r="AG183" s="4"/>
      <c r="AH183" s="4"/>
      <c r="AI183" s="4"/>
      <c r="AJ183" s="4"/>
      <c r="AK183" s="40"/>
      <c r="AL183" s="40"/>
      <c r="AM183" s="40"/>
      <c r="AN183" s="4"/>
      <c r="AO183" s="4"/>
      <c r="AP183" s="4"/>
      <c r="AQ183" s="4"/>
      <c r="AR183" s="40"/>
      <c r="AS183" s="40"/>
      <c r="AT183" s="40"/>
      <c r="AU183" s="4"/>
      <c r="AV183" s="4"/>
      <c r="AW183" s="4"/>
      <c r="AX183" s="4"/>
      <c r="AY183" s="40"/>
      <c r="AZ183" s="40"/>
      <c r="BA183" s="40"/>
      <c r="BB183" s="4"/>
      <c r="BC183" s="4"/>
      <c r="BD183" s="4"/>
      <c r="BE183" s="4"/>
      <c r="BF183" s="40"/>
      <c r="BG183" s="40"/>
      <c r="BH183" s="40"/>
      <c r="BI183" s="4"/>
      <c r="BJ183" s="4"/>
      <c r="BK183" s="4"/>
      <c r="BL183" s="4"/>
      <c r="BM183" s="40"/>
      <c r="BN183" s="40"/>
      <c r="BO183" s="40"/>
      <c r="BP183" s="4"/>
      <c r="BQ183" s="4"/>
      <c r="BR183" s="4"/>
      <c r="BS183" s="4"/>
      <c r="BT183" s="40"/>
      <c r="BU183" s="40"/>
      <c r="BV183" s="40"/>
      <c r="BW183" s="4"/>
      <c r="BX183" s="4"/>
      <c r="BY183" s="4"/>
      <c r="BZ183" s="4"/>
      <c r="CA183" s="40"/>
      <c r="CB183" s="40"/>
      <c r="CC183" s="40"/>
      <c r="CD183" s="4"/>
      <c r="CE183" s="4"/>
      <c r="CF183" s="4"/>
      <c r="CG183" s="4"/>
      <c r="CH183" s="40"/>
      <c r="CI183" s="40"/>
      <c r="CJ183" s="40"/>
      <c r="CK183" s="4"/>
      <c r="CL183" s="4"/>
      <c r="CM183" s="4"/>
      <c r="CN183" s="4"/>
      <c r="CO183" s="40"/>
      <c r="CP183" s="40"/>
      <c r="CQ183" s="40"/>
    </row>
    <row r="184" ht="15.75" customHeight="1">
      <c r="A184" s="4"/>
      <c r="B184" s="4"/>
      <c r="C184" s="4"/>
      <c r="D184" s="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"/>
      <c r="AB184" s="4"/>
      <c r="AC184" s="4"/>
      <c r="AD184" s="40"/>
      <c r="AE184" s="40"/>
      <c r="AF184" s="40"/>
      <c r="AG184" s="4"/>
      <c r="AH184" s="4"/>
      <c r="AI184" s="4"/>
      <c r="AJ184" s="4"/>
      <c r="AK184" s="40"/>
      <c r="AL184" s="40"/>
      <c r="AM184" s="40"/>
      <c r="AN184" s="4"/>
      <c r="AO184" s="4"/>
      <c r="AP184" s="4"/>
      <c r="AQ184" s="4"/>
      <c r="AR184" s="40"/>
      <c r="AS184" s="40"/>
      <c r="AT184" s="40"/>
      <c r="AU184" s="4"/>
      <c r="AV184" s="4"/>
      <c r="AW184" s="4"/>
      <c r="AX184" s="4"/>
      <c r="AY184" s="40"/>
      <c r="AZ184" s="40"/>
      <c r="BA184" s="40"/>
      <c r="BB184" s="4"/>
      <c r="BC184" s="4"/>
      <c r="BD184" s="4"/>
      <c r="BE184" s="4"/>
      <c r="BF184" s="40"/>
      <c r="BG184" s="40"/>
      <c r="BH184" s="40"/>
      <c r="BI184" s="4"/>
      <c r="BJ184" s="4"/>
      <c r="BK184" s="4"/>
      <c r="BL184" s="4"/>
      <c r="BM184" s="40"/>
      <c r="BN184" s="40"/>
      <c r="BO184" s="40"/>
      <c r="BP184" s="4"/>
      <c r="BQ184" s="4"/>
      <c r="BR184" s="4"/>
      <c r="BS184" s="4"/>
      <c r="BT184" s="40"/>
      <c r="BU184" s="40"/>
      <c r="BV184" s="40"/>
      <c r="BW184" s="4"/>
      <c r="BX184" s="4"/>
      <c r="BY184" s="4"/>
      <c r="BZ184" s="4"/>
      <c r="CA184" s="40"/>
      <c r="CB184" s="40"/>
      <c r="CC184" s="40"/>
      <c r="CD184" s="4"/>
      <c r="CE184" s="4"/>
      <c r="CF184" s="4"/>
      <c r="CG184" s="4"/>
      <c r="CH184" s="40"/>
      <c r="CI184" s="40"/>
      <c r="CJ184" s="40"/>
      <c r="CK184" s="4"/>
      <c r="CL184" s="4"/>
      <c r="CM184" s="4"/>
      <c r="CN184" s="4"/>
      <c r="CO184" s="40"/>
      <c r="CP184" s="40"/>
      <c r="CQ184" s="40"/>
    </row>
    <row r="185" ht="15.75" customHeight="1">
      <c r="A185" s="4"/>
      <c r="B185" s="4"/>
      <c r="C185" s="4"/>
      <c r="D185" s="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"/>
      <c r="AB185" s="4"/>
      <c r="AC185" s="4"/>
      <c r="AD185" s="40"/>
      <c r="AE185" s="40"/>
      <c r="AF185" s="40"/>
      <c r="AG185" s="4"/>
      <c r="AH185" s="4"/>
      <c r="AI185" s="4"/>
      <c r="AJ185" s="4"/>
      <c r="AK185" s="40"/>
      <c r="AL185" s="40"/>
      <c r="AM185" s="40"/>
      <c r="AN185" s="4"/>
      <c r="AO185" s="4"/>
      <c r="AP185" s="4"/>
      <c r="AQ185" s="4"/>
      <c r="AR185" s="40"/>
      <c r="AS185" s="40"/>
      <c r="AT185" s="40"/>
      <c r="AU185" s="4"/>
      <c r="AV185" s="4"/>
      <c r="AW185" s="4"/>
      <c r="AX185" s="4"/>
      <c r="AY185" s="40"/>
      <c r="AZ185" s="40"/>
      <c r="BA185" s="40"/>
      <c r="BB185" s="4"/>
      <c r="BC185" s="4"/>
      <c r="BD185" s="4"/>
      <c r="BE185" s="4"/>
      <c r="BF185" s="40"/>
      <c r="BG185" s="40"/>
      <c r="BH185" s="40"/>
      <c r="BI185" s="4"/>
      <c r="BJ185" s="4"/>
      <c r="BK185" s="4"/>
      <c r="BL185" s="4"/>
      <c r="BM185" s="40"/>
      <c r="BN185" s="40"/>
      <c r="BO185" s="40"/>
      <c r="BP185" s="4"/>
      <c r="BQ185" s="4"/>
      <c r="BR185" s="4"/>
      <c r="BS185" s="4"/>
      <c r="BT185" s="40"/>
      <c r="BU185" s="40"/>
      <c r="BV185" s="40"/>
      <c r="BW185" s="4"/>
      <c r="BX185" s="4"/>
      <c r="BY185" s="4"/>
      <c r="BZ185" s="4"/>
      <c r="CA185" s="40"/>
      <c r="CB185" s="40"/>
      <c r="CC185" s="40"/>
      <c r="CD185" s="4"/>
      <c r="CE185" s="4"/>
      <c r="CF185" s="4"/>
      <c r="CG185" s="4"/>
      <c r="CH185" s="40"/>
      <c r="CI185" s="40"/>
      <c r="CJ185" s="40"/>
      <c r="CK185" s="4"/>
      <c r="CL185" s="4"/>
      <c r="CM185" s="4"/>
      <c r="CN185" s="4"/>
      <c r="CO185" s="40"/>
      <c r="CP185" s="40"/>
      <c r="CQ185" s="40"/>
    </row>
    <row r="186" ht="15.75" customHeight="1">
      <c r="A186" s="4"/>
      <c r="B186" s="4"/>
      <c r="C186" s="4"/>
      <c r="D186" s="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"/>
      <c r="AB186" s="4"/>
      <c r="AC186" s="4"/>
      <c r="AD186" s="40"/>
      <c r="AE186" s="40"/>
      <c r="AF186" s="40"/>
      <c r="AG186" s="4"/>
      <c r="AH186" s="4"/>
      <c r="AI186" s="4"/>
      <c r="AJ186" s="4"/>
      <c r="AK186" s="40"/>
      <c r="AL186" s="40"/>
      <c r="AM186" s="40"/>
      <c r="AN186" s="4"/>
      <c r="AO186" s="4"/>
      <c r="AP186" s="4"/>
      <c r="AQ186" s="4"/>
      <c r="AR186" s="40"/>
      <c r="AS186" s="40"/>
      <c r="AT186" s="40"/>
      <c r="AU186" s="4"/>
      <c r="AV186" s="4"/>
      <c r="AW186" s="4"/>
      <c r="AX186" s="4"/>
      <c r="AY186" s="40"/>
      <c r="AZ186" s="40"/>
      <c r="BA186" s="40"/>
      <c r="BB186" s="4"/>
      <c r="BC186" s="4"/>
      <c r="BD186" s="4"/>
      <c r="BE186" s="4"/>
      <c r="BF186" s="40"/>
      <c r="BG186" s="40"/>
      <c r="BH186" s="40"/>
      <c r="BI186" s="4"/>
      <c r="BJ186" s="4"/>
      <c r="BK186" s="4"/>
      <c r="BL186" s="4"/>
      <c r="BM186" s="40"/>
      <c r="BN186" s="40"/>
      <c r="BO186" s="40"/>
      <c r="BP186" s="4"/>
      <c r="BQ186" s="4"/>
      <c r="BR186" s="4"/>
      <c r="BS186" s="4"/>
      <c r="BT186" s="40"/>
      <c r="BU186" s="40"/>
      <c r="BV186" s="40"/>
      <c r="BW186" s="4"/>
      <c r="BX186" s="4"/>
      <c r="BY186" s="4"/>
      <c r="BZ186" s="4"/>
      <c r="CA186" s="40"/>
      <c r="CB186" s="40"/>
      <c r="CC186" s="40"/>
      <c r="CD186" s="4"/>
      <c r="CE186" s="4"/>
      <c r="CF186" s="4"/>
      <c r="CG186" s="4"/>
      <c r="CH186" s="40"/>
      <c r="CI186" s="40"/>
      <c r="CJ186" s="40"/>
      <c r="CK186" s="4"/>
      <c r="CL186" s="4"/>
      <c r="CM186" s="4"/>
      <c r="CN186" s="4"/>
      <c r="CO186" s="40"/>
      <c r="CP186" s="40"/>
      <c r="CQ186" s="40"/>
    </row>
    <row r="187" ht="15.75" customHeight="1">
      <c r="A187" s="4"/>
      <c r="B187" s="4"/>
      <c r="C187" s="4"/>
      <c r="D187" s="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"/>
      <c r="AB187" s="4"/>
      <c r="AC187" s="4"/>
      <c r="AD187" s="40"/>
      <c r="AE187" s="40"/>
      <c r="AF187" s="40"/>
      <c r="AG187" s="4"/>
      <c r="AH187" s="4"/>
      <c r="AI187" s="4"/>
      <c r="AJ187" s="4"/>
      <c r="AK187" s="40"/>
      <c r="AL187" s="40"/>
      <c r="AM187" s="40"/>
      <c r="AN187" s="4"/>
      <c r="AO187" s="4"/>
      <c r="AP187" s="4"/>
      <c r="AQ187" s="4"/>
      <c r="AR187" s="40"/>
      <c r="AS187" s="40"/>
      <c r="AT187" s="40"/>
      <c r="AU187" s="4"/>
      <c r="AV187" s="4"/>
      <c r="AW187" s="4"/>
      <c r="AX187" s="4"/>
      <c r="AY187" s="40"/>
      <c r="AZ187" s="40"/>
      <c r="BA187" s="40"/>
      <c r="BB187" s="4"/>
      <c r="BC187" s="4"/>
      <c r="BD187" s="4"/>
      <c r="BE187" s="4"/>
      <c r="BF187" s="40"/>
      <c r="BG187" s="40"/>
      <c r="BH187" s="40"/>
      <c r="BI187" s="4"/>
      <c r="BJ187" s="4"/>
      <c r="BK187" s="4"/>
      <c r="BL187" s="4"/>
      <c r="BM187" s="40"/>
      <c r="BN187" s="40"/>
      <c r="BO187" s="40"/>
      <c r="BP187" s="4"/>
      <c r="BQ187" s="4"/>
      <c r="BR187" s="4"/>
      <c r="BS187" s="4"/>
      <c r="BT187" s="40"/>
      <c r="BU187" s="40"/>
      <c r="BV187" s="40"/>
      <c r="BW187" s="4"/>
      <c r="BX187" s="4"/>
      <c r="BY187" s="4"/>
      <c r="BZ187" s="4"/>
      <c r="CA187" s="40"/>
      <c r="CB187" s="40"/>
      <c r="CC187" s="40"/>
      <c r="CD187" s="4"/>
      <c r="CE187" s="4"/>
      <c r="CF187" s="4"/>
      <c r="CG187" s="4"/>
      <c r="CH187" s="40"/>
      <c r="CI187" s="40"/>
      <c r="CJ187" s="40"/>
      <c r="CK187" s="4"/>
      <c r="CL187" s="4"/>
      <c r="CM187" s="4"/>
      <c r="CN187" s="4"/>
      <c r="CO187" s="40"/>
      <c r="CP187" s="40"/>
      <c r="CQ187" s="40"/>
    </row>
    <row r="188" ht="15.75" customHeight="1">
      <c r="A188" s="4"/>
      <c r="B188" s="4"/>
      <c r="C188" s="4"/>
      <c r="D188" s="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"/>
      <c r="AB188" s="4"/>
      <c r="AC188" s="4"/>
      <c r="AD188" s="40"/>
      <c r="AE188" s="40"/>
      <c r="AF188" s="40"/>
      <c r="AG188" s="4"/>
      <c r="AH188" s="4"/>
      <c r="AI188" s="4"/>
      <c r="AJ188" s="4"/>
      <c r="AK188" s="40"/>
      <c r="AL188" s="40"/>
      <c r="AM188" s="40"/>
      <c r="AN188" s="4"/>
      <c r="AO188" s="4"/>
      <c r="AP188" s="4"/>
      <c r="AQ188" s="4"/>
      <c r="AR188" s="40"/>
      <c r="AS188" s="40"/>
      <c r="AT188" s="40"/>
      <c r="AU188" s="4"/>
      <c r="AV188" s="4"/>
      <c r="AW188" s="4"/>
      <c r="AX188" s="4"/>
      <c r="AY188" s="40"/>
      <c r="AZ188" s="40"/>
      <c r="BA188" s="40"/>
      <c r="BB188" s="4"/>
      <c r="BC188" s="4"/>
      <c r="BD188" s="4"/>
      <c r="BE188" s="4"/>
      <c r="BF188" s="40"/>
      <c r="BG188" s="40"/>
      <c r="BH188" s="40"/>
      <c r="BI188" s="4"/>
      <c r="BJ188" s="4"/>
      <c r="BK188" s="4"/>
      <c r="BL188" s="4"/>
      <c r="BM188" s="40"/>
      <c r="BN188" s="40"/>
      <c r="BO188" s="40"/>
      <c r="BP188" s="4"/>
      <c r="BQ188" s="4"/>
      <c r="BR188" s="4"/>
      <c r="BS188" s="4"/>
      <c r="BT188" s="40"/>
      <c r="BU188" s="40"/>
      <c r="BV188" s="40"/>
      <c r="BW188" s="4"/>
      <c r="BX188" s="4"/>
      <c r="BY188" s="4"/>
      <c r="BZ188" s="4"/>
      <c r="CA188" s="40"/>
      <c r="CB188" s="40"/>
      <c r="CC188" s="40"/>
      <c r="CD188" s="4"/>
      <c r="CE188" s="4"/>
      <c r="CF188" s="4"/>
      <c r="CG188" s="4"/>
      <c r="CH188" s="40"/>
      <c r="CI188" s="40"/>
      <c r="CJ188" s="40"/>
      <c r="CK188" s="4"/>
      <c r="CL188" s="4"/>
      <c r="CM188" s="4"/>
      <c r="CN188" s="4"/>
      <c r="CO188" s="40"/>
      <c r="CP188" s="40"/>
      <c r="CQ188" s="40"/>
    </row>
    <row r="189" ht="15.75" customHeight="1">
      <c r="A189" s="4"/>
      <c r="B189" s="4"/>
      <c r="C189" s="4"/>
      <c r="D189" s="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"/>
      <c r="AB189" s="4"/>
      <c r="AC189" s="4"/>
      <c r="AD189" s="40"/>
      <c r="AE189" s="40"/>
      <c r="AF189" s="40"/>
      <c r="AG189" s="4"/>
      <c r="AH189" s="4"/>
      <c r="AI189" s="4"/>
      <c r="AJ189" s="4"/>
      <c r="AK189" s="40"/>
      <c r="AL189" s="40"/>
      <c r="AM189" s="40"/>
      <c r="AN189" s="4"/>
      <c r="AO189" s="4"/>
      <c r="AP189" s="4"/>
      <c r="AQ189" s="4"/>
      <c r="AR189" s="40"/>
      <c r="AS189" s="40"/>
      <c r="AT189" s="40"/>
      <c r="AU189" s="4"/>
      <c r="AV189" s="4"/>
      <c r="AW189" s="4"/>
      <c r="AX189" s="4"/>
      <c r="AY189" s="40"/>
      <c r="AZ189" s="40"/>
      <c r="BA189" s="40"/>
      <c r="BB189" s="4"/>
      <c r="BC189" s="4"/>
      <c r="BD189" s="4"/>
      <c r="BE189" s="4"/>
      <c r="BF189" s="40"/>
      <c r="BG189" s="40"/>
      <c r="BH189" s="40"/>
      <c r="BI189" s="4"/>
      <c r="BJ189" s="4"/>
      <c r="BK189" s="4"/>
      <c r="BL189" s="4"/>
      <c r="BM189" s="40"/>
      <c r="BN189" s="40"/>
      <c r="BO189" s="40"/>
      <c r="BP189" s="4"/>
      <c r="BQ189" s="4"/>
      <c r="BR189" s="4"/>
      <c r="BS189" s="4"/>
      <c r="BT189" s="40"/>
      <c r="BU189" s="40"/>
      <c r="BV189" s="40"/>
      <c r="BW189" s="4"/>
      <c r="BX189" s="4"/>
      <c r="BY189" s="4"/>
      <c r="BZ189" s="4"/>
      <c r="CA189" s="40"/>
      <c r="CB189" s="40"/>
      <c r="CC189" s="40"/>
      <c r="CD189" s="4"/>
      <c r="CE189" s="4"/>
      <c r="CF189" s="4"/>
      <c r="CG189" s="4"/>
      <c r="CH189" s="40"/>
      <c r="CI189" s="40"/>
      <c r="CJ189" s="40"/>
      <c r="CK189" s="4"/>
      <c r="CL189" s="4"/>
      <c r="CM189" s="4"/>
      <c r="CN189" s="4"/>
      <c r="CO189" s="40"/>
      <c r="CP189" s="40"/>
      <c r="CQ189" s="40"/>
    </row>
    <row r="190" ht="15.75" customHeight="1">
      <c r="A190" s="4"/>
      <c r="B190" s="4"/>
      <c r="C190" s="4"/>
      <c r="D190" s="4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"/>
      <c r="AB190" s="4"/>
      <c r="AC190" s="4"/>
      <c r="AD190" s="40"/>
      <c r="AE190" s="40"/>
      <c r="AF190" s="40"/>
      <c r="AG190" s="4"/>
      <c r="AH190" s="4"/>
      <c r="AI190" s="4"/>
      <c r="AJ190" s="4"/>
      <c r="AK190" s="40"/>
      <c r="AL190" s="40"/>
      <c r="AM190" s="40"/>
      <c r="AN190" s="4"/>
      <c r="AO190" s="4"/>
      <c r="AP190" s="4"/>
      <c r="AQ190" s="4"/>
      <c r="AR190" s="40"/>
      <c r="AS190" s="40"/>
      <c r="AT190" s="40"/>
      <c r="AU190" s="4"/>
      <c r="AV190" s="4"/>
      <c r="AW190" s="4"/>
      <c r="AX190" s="4"/>
      <c r="AY190" s="40"/>
      <c r="AZ190" s="40"/>
      <c r="BA190" s="40"/>
      <c r="BB190" s="4"/>
      <c r="BC190" s="4"/>
      <c r="BD190" s="4"/>
      <c r="BE190" s="4"/>
      <c r="BF190" s="40"/>
      <c r="BG190" s="40"/>
      <c r="BH190" s="40"/>
      <c r="BI190" s="4"/>
      <c r="BJ190" s="4"/>
      <c r="BK190" s="4"/>
      <c r="BL190" s="4"/>
      <c r="BM190" s="40"/>
      <c r="BN190" s="40"/>
      <c r="BO190" s="40"/>
      <c r="BP190" s="4"/>
      <c r="BQ190" s="4"/>
      <c r="BR190" s="4"/>
      <c r="BS190" s="4"/>
      <c r="BT190" s="40"/>
      <c r="BU190" s="40"/>
      <c r="BV190" s="40"/>
      <c r="BW190" s="4"/>
      <c r="BX190" s="4"/>
      <c r="BY190" s="4"/>
      <c r="BZ190" s="4"/>
      <c r="CA190" s="40"/>
      <c r="CB190" s="40"/>
      <c r="CC190" s="40"/>
      <c r="CD190" s="4"/>
      <c r="CE190" s="4"/>
      <c r="CF190" s="4"/>
      <c r="CG190" s="4"/>
      <c r="CH190" s="40"/>
      <c r="CI190" s="40"/>
      <c r="CJ190" s="40"/>
      <c r="CK190" s="4"/>
      <c r="CL190" s="4"/>
      <c r="CM190" s="4"/>
      <c r="CN190" s="4"/>
      <c r="CO190" s="40"/>
      <c r="CP190" s="40"/>
      <c r="CQ190" s="40"/>
    </row>
    <row r="191" ht="15.75" customHeight="1">
      <c r="A191" s="4"/>
      <c r="B191" s="4"/>
      <c r="C191" s="4"/>
      <c r="D191" s="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"/>
      <c r="AB191" s="4"/>
      <c r="AC191" s="4"/>
      <c r="AD191" s="40"/>
      <c r="AE191" s="40"/>
      <c r="AF191" s="40"/>
      <c r="AG191" s="4"/>
      <c r="AH191" s="4"/>
      <c r="AI191" s="4"/>
      <c r="AJ191" s="4"/>
      <c r="AK191" s="40"/>
      <c r="AL191" s="40"/>
      <c r="AM191" s="40"/>
      <c r="AN191" s="4"/>
      <c r="AO191" s="4"/>
      <c r="AP191" s="4"/>
      <c r="AQ191" s="4"/>
      <c r="AR191" s="40"/>
      <c r="AS191" s="40"/>
      <c r="AT191" s="40"/>
      <c r="AU191" s="4"/>
      <c r="AV191" s="4"/>
      <c r="AW191" s="4"/>
      <c r="AX191" s="4"/>
      <c r="AY191" s="40"/>
      <c r="AZ191" s="40"/>
      <c r="BA191" s="40"/>
      <c r="BB191" s="4"/>
      <c r="BC191" s="4"/>
      <c r="BD191" s="4"/>
      <c r="BE191" s="4"/>
      <c r="BF191" s="40"/>
      <c r="BG191" s="40"/>
      <c r="BH191" s="40"/>
      <c r="BI191" s="4"/>
      <c r="BJ191" s="4"/>
      <c r="BK191" s="4"/>
      <c r="BL191" s="4"/>
      <c r="BM191" s="40"/>
      <c r="BN191" s="40"/>
      <c r="BO191" s="40"/>
      <c r="BP191" s="4"/>
      <c r="BQ191" s="4"/>
      <c r="BR191" s="4"/>
      <c r="BS191" s="4"/>
      <c r="BT191" s="40"/>
      <c r="BU191" s="40"/>
      <c r="BV191" s="40"/>
      <c r="BW191" s="4"/>
      <c r="BX191" s="4"/>
      <c r="BY191" s="4"/>
      <c r="BZ191" s="4"/>
      <c r="CA191" s="40"/>
      <c r="CB191" s="40"/>
      <c r="CC191" s="40"/>
      <c r="CD191" s="4"/>
      <c r="CE191" s="4"/>
      <c r="CF191" s="4"/>
      <c r="CG191" s="4"/>
      <c r="CH191" s="40"/>
      <c r="CI191" s="40"/>
      <c r="CJ191" s="40"/>
      <c r="CK191" s="4"/>
      <c r="CL191" s="4"/>
      <c r="CM191" s="4"/>
      <c r="CN191" s="4"/>
      <c r="CO191" s="40"/>
      <c r="CP191" s="40"/>
      <c r="CQ191" s="40"/>
    </row>
    <row r="192" ht="15.75" customHeight="1">
      <c r="A192" s="4"/>
      <c r="B192" s="4"/>
      <c r="C192" s="4"/>
      <c r="D192" s="4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"/>
      <c r="AB192" s="4"/>
      <c r="AC192" s="4"/>
      <c r="AD192" s="40"/>
      <c r="AE192" s="40"/>
      <c r="AF192" s="40"/>
      <c r="AG192" s="4"/>
      <c r="AH192" s="4"/>
      <c r="AI192" s="4"/>
      <c r="AJ192" s="4"/>
      <c r="AK192" s="40"/>
      <c r="AL192" s="40"/>
      <c r="AM192" s="40"/>
      <c r="AN192" s="4"/>
      <c r="AO192" s="4"/>
      <c r="AP192" s="4"/>
      <c r="AQ192" s="4"/>
      <c r="AR192" s="40"/>
      <c r="AS192" s="40"/>
      <c r="AT192" s="40"/>
      <c r="AU192" s="4"/>
      <c r="AV192" s="4"/>
      <c r="AW192" s="4"/>
      <c r="AX192" s="4"/>
      <c r="AY192" s="40"/>
      <c r="AZ192" s="40"/>
      <c r="BA192" s="40"/>
      <c r="BB192" s="4"/>
      <c r="BC192" s="4"/>
      <c r="BD192" s="4"/>
      <c r="BE192" s="4"/>
      <c r="BF192" s="40"/>
      <c r="BG192" s="40"/>
      <c r="BH192" s="40"/>
      <c r="BI192" s="4"/>
      <c r="BJ192" s="4"/>
      <c r="BK192" s="4"/>
      <c r="BL192" s="4"/>
      <c r="BM192" s="40"/>
      <c r="BN192" s="40"/>
      <c r="BO192" s="40"/>
      <c r="BP192" s="4"/>
      <c r="BQ192" s="4"/>
      <c r="BR192" s="4"/>
      <c r="BS192" s="4"/>
      <c r="BT192" s="40"/>
      <c r="BU192" s="40"/>
      <c r="BV192" s="40"/>
      <c r="BW192" s="4"/>
      <c r="BX192" s="4"/>
      <c r="BY192" s="4"/>
      <c r="BZ192" s="4"/>
      <c r="CA192" s="40"/>
      <c r="CB192" s="40"/>
      <c r="CC192" s="40"/>
      <c r="CD192" s="4"/>
      <c r="CE192" s="4"/>
      <c r="CF192" s="4"/>
      <c r="CG192" s="4"/>
      <c r="CH192" s="40"/>
      <c r="CI192" s="40"/>
      <c r="CJ192" s="40"/>
      <c r="CK192" s="4"/>
      <c r="CL192" s="4"/>
      <c r="CM192" s="4"/>
      <c r="CN192" s="4"/>
      <c r="CO192" s="40"/>
      <c r="CP192" s="40"/>
      <c r="CQ192" s="40"/>
    </row>
    <row r="193" ht="15.75" customHeight="1">
      <c r="A193" s="4"/>
      <c r="B193" s="4"/>
      <c r="C193" s="4"/>
      <c r="D193" s="4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"/>
      <c r="AB193" s="4"/>
      <c r="AC193" s="4"/>
      <c r="AD193" s="40"/>
      <c r="AE193" s="40"/>
      <c r="AF193" s="40"/>
      <c r="AG193" s="4"/>
      <c r="AH193" s="4"/>
      <c r="AI193" s="4"/>
      <c r="AJ193" s="4"/>
      <c r="AK193" s="40"/>
      <c r="AL193" s="40"/>
      <c r="AM193" s="40"/>
      <c r="AN193" s="4"/>
      <c r="AO193" s="4"/>
      <c r="AP193" s="4"/>
      <c r="AQ193" s="4"/>
      <c r="AR193" s="40"/>
      <c r="AS193" s="40"/>
      <c r="AT193" s="40"/>
      <c r="AU193" s="4"/>
      <c r="AV193" s="4"/>
      <c r="AW193" s="4"/>
      <c r="AX193" s="4"/>
      <c r="AY193" s="40"/>
      <c r="AZ193" s="40"/>
      <c r="BA193" s="40"/>
      <c r="BB193" s="4"/>
      <c r="BC193" s="4"/>
      <c r="BD193" s="4"/>
      <c r="BE193" s="4"/>
      <c r="BF193" s="40"/>
      <c r="BG193" s="40"/>
      <c r="BH193" s="40"/>
      <c r="BI193" s="4"/>
      <c r="BJ193" s="4"/>
      <c r="BK193" s="4"/>
      <c r="BL193" s="4"/>
      <c r="BM193" s="40"/>
      <c r="BN193" s="40"/>
      <c r="BO193" s="40"/>
      <c r="BP193" s="4"/>
      <c r="BQ193" s="4"/>
      <c r="BR193" s="4"/>
      <c r="BS193" s="4"/>
      <c r="BT193" s="40"/>
      <c r="BU193" s="40"/>
      <c r="BV193" s="40"/>
      <c r="BW193" s="4"/>
      <c r="BX193" s="4"/>
      <c r="BY193" s="4"/>
      <c r="BZ193" s="4"/>
      <c r="CA193" s="40"/>
      <c r="CB193" s="40"/>
      <c r="CC193" s="40"/>
      <c r="CD193" s="4"/>
      <c r="CE193" s="4"/>
      <c r="CF193" s="4"/>
      <c r="CG193" s="4"/>
      <c r="CH193" s="40"/>
      <c r="CI193" s="40"/>
      <c r="CJ193" s="40"/>
      <c r="CK193" s="4"/>
      <c r="CL193" s="4"/>
      <c r="CM193" s="4"/>
      <c r="CN193" s="4"/>
      <c r="CO193" s="40"/>
      <c r="CP193" s="40"/>
      <c r="CQ193" s="40"/>
    </row>
    <row r="194" ht="15.75" customHeight="1">
      <c r="A194" s="4"/>
      <c r="B194" s="4"/>
      <c r="C194" s="4"/>
      <c r="D194" s="4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"/>
      <c r="AB194" s="4"/>
      <c r="AC194" s="4"/>
      <c r="AD194" s="40"/>
      <c r="AE194" s="40"/>
      <c r="AF194" s="40"/>
      <c r="AG194" s="4"/>
      <c r="AH194" s="4"/>
      <c r="AI194" s="4"/>
      <c r="AJ194" s="4"/>
      <c r="AK194" s="40"/>
      <c r="AL194" s="40"/>
      <c r="AM194" s="40"/>
      <c r="AN194" s="4"/>
      <c r="AO194" s="4"/>
      <c r="AP194" s="4"/>
      <c r="AQ194" s="4"/>
      <c r="AR194" s="40"/>
      <c r="AS194" s="40"/>
      <c r="AT194" s="40"/>
      <c r="AU194" s="4"/>
      <c r="AV194" s="4"/>
      <c r="AW194" s="4"/>
      <c r="AX194" s="4"/>
      <c r="AY194" s="40"/>
      <c r="AZ194" s="40"/>
      <c r="BA194" s="40"/>
      <c r="BB194" s="4"/>
      <c r="BC194" s="4"/>
      <c r="BD194" s="4"/>
      <c r="BE194" s="4"/>
      <c r="BF194" s="40"/>
      <c r="BG194" s="40"/>
      <c r="BH194" s="40"/>
      <c r="BI194" s="4"/>
      <c r="BJ194" s="4"/>
      <c r="BK194" s="4"/>
      <c r="BL194" s="4"/>
      <c r="BM194" s="40"/>
      <c r="BN194" s="40"/>
      <c r="BO194" s="40"/>
      <c r="BP194" s="4"/>
      <c r="BQ194" s="4"/>
      <c r="BR194" s="4"/>
      <c r="BS194" s="4"/>
      <c r="BT194" s="40"/>
      <c r="BU194" s="40"/>
      <c r="BV194" s="40"/>
      <c r="BW194" s="4"/>
      <c r="BX194" s="4"/>
      <c r="BY194" s="4"/>
      <c r="BZ194" s="4"/>
      <c r="CA194" s="40"/>
      <c r="CB194" s="40"/>
      <c r="CC194" s="40"/>
      <c r="CD194" s="4"/>
      <c r="CE194" s="4"/>
      <c r="CF194" s="4"/>
      <c r="CG194" s="4"/>
      <c r="CH194" s="40"/>
      <c r="CI194" s="40"/>
      <c r="CJ194" s="40"/>
      <c r="CK194" s="4"/>
      <c r="CL194" s="4"/>
      <c r="CM194" s="4"/>
      <c r="CN194" s="4"/>
      <c r="CO194" s="40"/>
      <c r="CP194" s="40"/>
      <c r="CQ194" s="40"/>
    </row>
    <row r="195" ht="15.75" customHeight="1">
      <c r="A195" s="4"/>
      <c r="B195" s="4"/>
      <c r="C195" s="4"/>
      <c r="D195" s="4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"/>
      <c r="AB195" s="4"/>
      <c r="AC195" s="4"/>
      <c r="AD195" s="40"/>
      <c r="AE195" s="40"/>
      <c r="AF195" s="40"/>
      <c r="AG195" s="4"/>
      <c r="AH195" s="4"/>
      <c r="AI195" s="4"/>
      <c r="AJ195" s="4"/>
      <c r="AK195" s="40"/>
      <c r="AL195" s="40"/>
      <c r="AM195" s="40"/>
      <c r="AN195" s="4"/>
      <c r="AO195" s="4"/>
      <c r="AP195" s="4"/>
      <c r="AQ195" s="4"/>
      <c r="AR195" s="40"/>
      <c r="AS195" s="40"/>
      <c r="AT195" s="40"/>
      <c r="AU195" s="4"/>
      <c r="AV195" s="4"/>
      <c r="AW195" s="4"/>
      <c r="AX195" s="4"/>
      <c r="AY195" s="40"/>
      <c r="AZ195" s="40"/>
      <c r="BA195" s="40"/>
      <c r="BB195" s="4"/>
      <c r="BC195" s="4"/>
      <c r="BD195" s="4"/>
      <c r="BE195" s="4"/>
      <c r="BF195" s="40"/>
      <c r="BG195" s="40"/>
      <c r="BH195" s="40"/>
      <c r="BI195" s="4"/>
      <c r="BJ195" s="4"/>
      <c r="BK195" s="4"/>
      <c r="BL195" s="4"/>
      <c r="BM195" s="40"/>
      <c r="BN195" s="40"/>
      <c r="BO195" s="40"/>
      <c r="BP195" s="4"/>
      <c r="BQ195" s="4"/>
      <c r="BR195" s="4"/>
      <c r="BS195" s="4"/>
      <c r="BT195" s="40"/>
      <c r="BU195" s="40"/>
      <c r="BV195" s="40"/>
      <c r="BW195" s="4"/>
      <c r="BX195" s="4"/>
      <c r="BY195" s="4"/>
      <c r="BZ195" s="4"/>
      <c r="CA195" s="40"/>
      <c r="CB195" s="40"/>
      <c r="CC195" s="40"/>
      <c r="CD195" s="4"/>
      <c r="CE195" s="4"/>
      <c r="CF195" s="4"/>
      <c r="CG195" s="4"/>
      <c r="CH195" s="40"/>
      <c r="CI195" s="40"/>
      <c r="CJ195" s="40"/>
      <c r="CK195" s="4"/>
      <c r="CL195" s="4"/>
      <c r="CM195" s="4"/>
      <c r="CN195" s="4"/>
      <c r="CO195" s="40"/>
      <c r="CP195" s="40"/>
      <c r="CQ195" s="40"/>
    </row>
    <row r="196" ht="15.75" customHeight="1">
      <c r="A196" s="4"/>
      <c r="B196" s="4"/>
      <c r="C196" s="4"/>
      <c r="D196" s="4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"/>
      <c r="AB196" s="4"/>
      <c r="AC196" s="4"/>
      <c r="AD196" s="40"/>
      <c r="AE196" s="40"/>
      <c r="AF196" s="40"/>
      <c r="AG196" s="4"/>
      <c r="AH196" s="4"/>
      <c r="AI196" s="4"/>
      <c r="AJ196" s="4"/>
      <c r="AK196" s="40"/>
      <c r="AL196" s="40"/>
      <c r="AM196" s="40"/>
      <c r="AN196" s="4"/>
      <c r="AO196" s="4"/>
      <c r="AP196" s="4"/>
      <c r="AQ196" s="4"/>
      <c r="AR196" s="40"/>
      <c r="AS196" s="40"/>
      <c r="AT196" s="40"/>
      <c r="AU196" s="4"/>
      <c r="AV196" s="4"/>
      <c r="AW196" s="4"/>
      <c r="AX196" s="4"/>
      <c r="AY196" s="40"/>
      <c r="AZ196" s="40"/>
      <c r="BA196" s="40"/>
      <c r="BB196" s="4"/>
      <c r="BC196" s="4"/>
      <c r="BD196" s="4"/>
      <c r="BE196" s="4"/>
      <c r="BF196" s="40"/>
      <c r="BG196" s="40"/>
      <c r="BH196" s="40"/>
      <c r="BI196" s="4"/>
      <c r="BJ196" s="4"/>
      <c r="BK196" s="4"/>
      <c r="BL196" s="4"/>
      <c r="BM196" s="40"/>
      <c r="BN196" s="40"/>
      <c r="BO196" s="40"/>
      <c r="BP196" s="4"/>
      <c r="BQ196" s="4"/>
      <c r="BR196" s="4"/>
      <c r="BS196" s="4"/>
      <c r="BT196" s="40"/>
      <c r="BU196" s="40"/>
      <c r="BV196" s="40"/>
      <c r="BW196" s="4"/>
      <c r="BX196" s="4"/>
      <c r="BY196" s="4"/>
      <c r="BZ196" s="4"/>
      <c r="CA196" s="40"/>
      <c r="CB196" s="40"/>
      <c r="CC196" s="40"/>
      <c r="CD196" s="4"/>
      <c r="CE196" s="4"/>
      <c r="CF196" s="4"/>
      <c r="CG196" s="4"/>
      <c r="CH196" s="40"/>
      <c r="CI196" s="40"/>
      <c r="CJ196" s="40"/>
      <c r="CK196" s="4"/>
      <c r="CL196" s="4"/>
      <c r="CM196" s="4"/>
      <c r="CN196" s="4"/>
      <c r="CO196" s="40"/>
      <c r="CP196" s="40"/>
      <c r="CQ196" s="40"/>
    </row>
    <row r="197" ht="15.75" customHeight="1">
      <c r="A197" s="4"/>
      <c r="B197" s="4"/>
      <c r="C197" s="4"/>
      <c r="D197" s="4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"/>
      <c r="AB197" s="4"/>
      <c r="AC197" s="4"/>
      <c r="AD197" s="40"/>
      <c r="AE197" s="40"/>
      <c r="AF197" s="40"/>
      <c r="AG197" s="4"/>
      <c r="AH197" s="4"/>
      <c r="AI197" s="4"/>
      <c r="AJ197" s="4"/>
      <c r="AK197" s="40"/>
      <c r="AL197" s="40"/>
      <c r="AM197" s="40"/>
      <c r="AN197" s="4"/>
      <c r="AO197" s="4"/>
      <c r="AP197" s="4"/>
      <c r="AQ197" s="4"/>
      <c r="AR197" s="40"/>
      <c r="AS197" s="40"/>
      <c r="AT197" s="40"/>
      <c r="AU197" s="4"/>
      <c r="AV197" s="4"/>
      <c r="AW197" s="4"/>
      <c r="AX197" s="4"/>
      <c r="AY197" s="40"/>
      <c r="AZ197" s="40"/>
      <c r="BA197" s="40"/>
      <c r="BB197" s="4"/>
      <c r="BC197" s="4"/>
      <c r="BD197" s="4"/>
      <c r="BE197" s="4"/>
      <c r="BF197" s="40"/>
      <c r="BG197" s="40"/>
      <c r="BH197" s="40"/>
      <c r="BI197" s="4"/>
      <c r="BJ197" s="4"/>
      <c r="BK197" s="4"/>
      <c r="BL197" s="4"/>
      <c r="BM197" s="40"/>
      <c r="BN197" s="40"/>
      <c r="BO197" s="40"/>
      <c r="BP197" s="4"/>
      <c r="BQ197" s="4"/>
      <c r="BR197" s="4"/>
      <c r="BS197" s="4"/>
      <c r="BT197" s="40"/>
      <c r="BU197" s="40"/>
      <c r="BV197" s="40"/>
      <c r="BW197" s="4"/>
      <c r="BX197" s="4"/>
      <c r="BY197" s="4"/>
      <c r="BZ197" s="4"/>
      <c r="CA197" s="40"/>
      <c r="CB197" s="40"/>
      <c r="CC197" s="40"/>
      <c r="CD197" s="4"/>
      <c r="CE197" s="4"/>
      <c r="CF197" s="4"/>
      <c r="CG197" s="4"/>
      <c r="CH197" s="40"/>
      <c r="CI197" s="40"/>
      <c r="CJ197" s="40"/>
      <c r="CK197" s="4"/>
      <c r="CL197" s="4"/>
      <c r="CM197" s="4"/>
      <c r="CN197" s="4"/>
      <c r="CO197" s="40"/>
      <c r="CP197" s="40"/>
      <c r="CQ197" s="40"/>
    </row>
    <row r="198" ht="15.75" customHeight="1">
      <c r="A198" s="4"/>
      <c r="B198" s="4"/>
      <c r="C198" s="4"/>
      <c r="D198" s="4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"/>
      <c r="AB198" s="4"/>
      <c r="AC198" s="4"/>
      <c r="AD198" s="40"/>
      <c r="AE198" s="40"/>
      <c r="AF198" s="40"/>
      <c r="AG198" s="4"/>
      <c r="AH198" s="4"/>
      <c r="AI198" s="4"/>
      <c r="AJ198" s="4"/>
      <c r="AK198" s="40"/>
      <c r="AL198" s="40"/>
      <c r="AM198" s="40"/>
      <c r="AN198" s="4"/>
      <c r="AO198" s="4"/>
      <c r="AP198" s="4"/>
      <c r="AQ198" s="4"/>
      <c r="AR198" s="40"/>
      <c r="AS198" s="40"/>
      <c r="AT198" s="40"/>
      <c r="AU198" s="4"/>
      <c r="AV198" s="4"/>
      <c r="AW198" s="4"/>
      <c r="AX198" s="4"/>
      <c r="AY198" s="40"/>
      <c r="AZ198" s="40"/>
      <c r="BA198" s="40"/>
      <c r="BB198" s="4"/>
      <c r="BC198" s="4"/>
      <c r="BD198" s="4"/>
      <c r="BE198" s="4"/>
      <c r="BF198" s="40"/>
      <c r="BG198" s="40"/>
      <c r="BH198" s="40"/>
      <c r="BI198" s="4"/>
      <c r="BJ198" s="4"/>
      <c r="BK198" s="4"/>
      <c r="BL198" s="4"/>
      <c r="BM198" s="40"/>
      <c r="BN198" s="40"/>
      <c r="BO198" s="40"/>
      <c r="BP198" s="4"/>
      <c r="BQ198" s="4"/>
      <c r="BR198" s="4"/>
      <c r="BS198" s="4"/>
      <c r="BT198" s="40"/>
      <c r="BU198" s="40"/>
      <c r="BV198" s="40"/>
      <c r="BW198" s="4"/>
      <c r="BX198" s="4"/>
      <c r="BY198" s="4"/>
      <c r="BZ198" s="4"/>
      <c r="CA198" s="40"/>
      <c r="CB198" s="40"/>
      <c r="CC198" s="40"/>
      <c r="CD198" s="4"/>
      <c r="CE198" s="4"/>
      <c r="CF198" s="4"/>
      <c r="CG198" s="4"/>
      <c r="CH198" s="40"/>
      <c r="CI198" s="40"/>
      <c r="CJ198" s="40"/>
      <c r="CK198" s="4"/>
      <c r="CL198" s="4"/>
      <c r="CM198" s="4"/>
      <c r="CN198" s="4"/>
      <c r="CO198" s="40"/>
      <c r="CP198" s="40"/>
      <c r="CQ198" s="40"/>
    </row>
    <row r="199" ht="15.75" customHeight="1">
      <c r="A199" s="4"/>
      <c r="B199" s="4"/>
      <c r="C199" s="4"/>
      <c r="D199" s="4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"/>
      <c r="AB199" s="4"/>
      <c r="AC199" s="4"/>
      <c r="AD199" s="40"/>
      <c r="AE199" s="40"/>
      <c r="AF199" s="40"/>
      <c r="AG199" s="4"/>
      <c r="AH199" s="4"/>
      <c r="AI199" s="4"/>
      <c r="AJ199" s="4"/>
      <c r="AK199" s="40"/>
      <c r="AL199" s="40"/>
      <c r="AM199" s="40"/>
      <c r="AN199" s="4"/>
      <c r="AO199" s="4"/>
      <c r="AP199" s="4"/>
      <c r="AQ199" s="4"/>
      <c r="AR199" s="40"/>
      <c r="AS199" s="40"/>
      <c r="AT199" s="40"/>
      <c r="AU199" s="4"/>
      <c r="AV199" s="4"/>
      <c r="AW199" s="4"/>
      <c r="AX199" s="4"/>
      <c r="AY199" s="40"/>
      <c r="AZ199" s="40"/>
      <c r="BA199" s="40"/>
      <c r="BB199" s="4"/>
      <c r="BC199" s="4"/>
      <c r="BD199" s="4"/>
      <c r="BE199" s="4"/>
      <c r="BF199" s="40"/>
      <c r="BG199" s="40"/>
      <c r="BH199" s="40"/>
      <c r="BI199" s="4"/>
      <c r="BJ199" s="4"/>
      <c r="BK199" s="4"/>
      <c r="BL199" s="4"/>
      <c r="BM199" s="40"/>
      <c r="BN199" s="40"/>
      <c r="BO199" s="40"/>
      <c r="BP199" s="4"/>
      <c r="BQ199" s="4"/>
      <c r="BR199" s="4"/>
      <c r="BS199" s="4"/>
      <c r="BT199" s="40"/>
      <c r="BU199" s="40"/>
      <c r="BV199" s="40"/>
      <c r="BW199" s="4"/>
      <c r="BX199" s="4"/>
      <c r="BY199" s="4"/>
      <c r="BZ199" s="4"/>
      <c r="CA199" s="40"/>
      <c r="CB199" s="40"/>
      <c r="CC199" s="40"/>
      <c r="CD199" s="4"/>
      <c r="CE199" s="4"/>
      <c r="CF199" s="4"/>
      <c r="CG199" s="4"/>
      <c r="CH199" s="40"/>
      <c r="CI199" s="40"/>
      <c r="CJ199" s="40"/>
      <c r="CK199" s="4"/>
      <c r="CL199" s="4"/>
      <c r="CM199" s="4"/>
      <c r="CN199" s="4"/>
      <c r="CO199" s="40"/>
      <c r="CP199" s="40"/>
      <c r="CQ199" s="40"/>
    </row>
    <row r="200" ht="15.75" customHeight="1">
      <c r="A200" s="4"/>
      <c r="B200" s="4"/>
      <c r="C200" s="4"/>
      <c r="D200" s="4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"/>
      <c r="AB200" s="4"/>
      <c r="AC200" s="4"/>
      <c r="AD200" s="40"/>
      <c r="AE200" s="40"/>
      <c r="AF200" s="40"/>
      <c r="AG200" s="4"/>
      <c r="AH200" s="4"/>
      <c r="AI200" s="4"/>
      <c r="AJ200" s="4"/>
      <c r="AK200" s="40"/>
      <c r="AL200" s="40"/>
      <c r="AM200" s="40"/>
      <c r="AN200" s="4"/>
      <c r="AO200" s="4"/>
      <c r="AP200" s="4"/>
      <c r="AQ200" s="4"/>
      <c r="AR200" s="40"/>
      <c r="AS200" s="40"/>
      <c r="AT200" s="40"/>
      <c r="AU200" s="4"/>
      <c r="AV200" s="4"/>
      <c r="AW200" s="4"/>
      <c r="AX200" s="4"/>
      <c r="AY200" s="40"/>
      <c r="AZ200" s="40"/>
      <c r="BA200" s="40"/>
      <c r="BB200" s="4"/>
      <c r="BC200" s="4"/>
      <c r="BD200" s="4"/>
      <c r="BE200" s="4"/>
      <c r="BF200" s="40"/>
      <c r="BG200" s="40"/>
      <c r="BH200" s="40"/>
      <c r="BI200" s="4"/>
      <c r="BJ200" s="4"/>
      <c r="BK200" s="4"/>
      <c r="BL200" s="4"/>
      <c r="BM200" s="40"/>
      <c r="BN200" s="40"/>
      <c r="BO200" s="40"/>
      <c r="BP200" s="4"/>
      <c r="BQ200" s="4"/>
      <c r="BR200" s="4"/>
      <c r="BS200" s="4"/>
      <c r="BT200" s="40"/>
      <c r="BU200" s="40"/>
      <c r="BV200" s="40"/>
      <c r="BW200" s="4"/>
      <c r="BX200" s="4"/>
      <c r="BY200" s="4"/>
      <c r="BZ200" s="4"/>
      <c r="CA200" s="40"/>
      <c r="CB200" s="40"/>
      <c r="CC200" s="40"/>
      <c r="CD200" s="4"/>
      <c r="CE200" s="4"/>
      <c r="CF200" s="4"/>
      <c r="CG200" s="4"/>
      <c r="CH200" s="40"/>
      <c r="CI200" s="40"/>
      <c r="CJ200" s="40"/>
      <c r="CK200" s="4"/>
      <c r="CL200" s="4"/>
      <c r="CM200" s="4"/>
      <c r="CN200" s="4"/>
      <c r="CO200" s="40"/>
      <c r="CP200" s="40"/>
      <c r="CQ200" s="40"/>
    </row>
    <row r="201" ht="15.75" customHeight="1">
      <c r="A201" s="4"/>
      <c r="B201" s="4"/>
      <c r="C201" s="4"/>
      <c r="D201" s="4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"/>
      <c r="AB201" s="4"/>
      <c r="AC201" s="4"/>
      <c r="AD201" s="40"/>
      <c r="AE201" s="40"/>
      <c r="AF201" s="40"/>
      <c r="AG201" s="4"/>
      <c r="AH201" s="4"/>
      <c r="AI201" s="4"/>
      <c r="AJ201" s="4"/>
      <c r="AK201" s="40"/>
      <c r="AL201" s="40"/>
      <c r="AM201" s="40"/>
      <c r="AN201" s="4"/>
      <c r="AO201" s="4"/>
      <c r="AP201" s="4"/>
      <c r="AQ201" s="4"/>
      <c r="AR201" s="40"/>
      <c r="AS201" s="40"/>
      <c r="AT201" s="40"/>
      <c r="AU201" s="4"/>
      <c r="AV201" s="4"/>
      <c r="AW201" s="4"/>
      <c r="AX201" s="4"/>
      <c r="AY201" s="40"/>
      <c r="AZ201" s="40"/>
      <c r="BA201" s="40"/>
      <c r="BB201" s="4"/>
      <c r="BC201" s="4"/>
      <c r="BD201" s="4"/>
      <c r="BE201" s="4"/>
      <c r="BF201" s="40"/>
      <c r="BG201" s="40"/>
      <c r="BH201" s="40"/>
      <c r="BI201" s="4"/>
      <c r="BJ201" s="4"/>
      <c r="BK201" s="4"/>
      <c r="BL201" s="4"/>
      <c r="BM201" s="40"/>
      <c r="BN201" s="40"/>
      <c r="BO201" s="40"/>
      <c r="BP201" s="4"/>
      <c r="BQ201" s="4"/>
      <c r="BR201" s="4"/>
      <c r="BS201" s="4"/>
      <c r="BT201" s="40"/>
      <c r="BU201" s="40"/>
      <c r="BV201" s="40"/>
      <c r="BW201" s="4"/>
      <c r="BX201" s="4"/>
      <c r="BY201" s="4"/>
      <c r="BZ201" s="4"/>
      <c r="CA201" s="40"/>
      <c r="CB201" s="40"/>
      <c r="CC201" s="40"/>
      <c r="CD201" s="4"/>
      <c r="CE201" s="4"/>
      <c r="CF201" s="4"/>
      <c r="CG201" s="4"/>
      <c r="CH201" s="40"/>
      <c r="CI201" s="40"/>
      <c r="CJ201" s="40"/>
      <c r="CK201" s="4"/>
      <c r="CL201" s="4"/>
      <c r="CM201" s="4"/>
      <c r="CN201" s="4"/>
      <c r="CO201" s="40"/>
      <c r="CP201" s="40"/>
      <c r="CQ201" s="40"/>
    </row>
    <row r="202" ht="15.75" customHeight="1">
      <c r="A202" s="4"/>
      <c r="B202" s="4"/>
      <c r="C202" s="4"/>
      <c r="D202" s="4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"/>
      <c r="AB202" s="4"/>
      <c r="AC202" s="4"/>
      <c r="AD202" s="40"/>
      <c r="AE202" s="40"/>
      <c r="AF202" s="40"/>
      <c r="AG202" s="4"/>
      <c r="AH202" s="4"/>
      <c r="AI202" s="4"/>
      <c r="AJ202" s="4"/>
      <c r="AK202" s="40"/>
      <c r="AL202" s="40"/>
      <c r="AM202" s="40"/>
      <c r="AN202" s="4"/>
      <c r="AO202" s="4"/>
      <c r="AP202" s="4"/>
      <c r="AQ202" s="4"/>
      <c r="AR202" s="40"/>
      <c r="AS202" s="40"/>
      <c r="AT202" s="40"/>
      <c r="AU202" s="4"/>
      <c r="AV202" s="4"/>
      <c r="AW202" s="4"/>
      <c r="AX202" s="4"/>
      <c r="AY202" s="40"/>
      <c r="AZ202" s="40"/>
      <c r="BA202" s="40"/>
      <c r="BB202" s="4"/>
      <c r="BC202" s="4"/>
      <c r="BD202" s="4"/>
      <c r="BE202" s="4"/>
      <c r="BF202" s="40"/>
      <c r="BG202" s="40"/>
      <c r="BH202" s="40"/>
      <c r="BI202" s="4"/>
      <c r="BJ202" s="4"/>
      <c r="BK202" s="4"/>
      <c r="BL202" s="4"/>
      <c r="BM202" s="40"/>
      <c r="BN202" s="40"/>
      <c r="BO202" s="40"/>
      <c r="BP202" s="4"/>
      <c r="BQ202" s="4"/>
      <c r="BR202" s="4"/>
      <c r="BS202" s="4"/>
      <c r="BT202" s="40"/>
      <c r="BU202" s="40"/>
      <c r="BV202" s="40"/>
      <c r="BW202" s="4"/>
      <c r="BX202" s="4"/>
      <c r="BY202" s="4"/>
      <c r="BZ202" s="4"/>
      <c r="CA202" s="40"/>
      <c r="CB202" s="40"/>
      <c r="CC202" s="40"/>
      <c r="CD202" s="4"/>
      <c r="CE202" s="4"/>
      <c r="CF202" s="4"/>
      <c r="CG202" s="4"/>
      <c r="CH202" s="40"/>
      <c r="CI202" s="40"/>
      <c r="CJ202" s="40"/>
      <c r="CK202" s="4"/>
      <c r="CL202" s="4"/>
      <c r="CM202" s="4"/>
      <c r="CN202" s="4"/>
      <c r="CO202" s="40"/>
      <c r="CP202" s="40"/>
      <c r="CQ202" s="40"/>
    </row>
    <row r="203" ht="15.75" customHeight="1">
      <c r="A203" s="4"/>
      <c r="B203" s="4"/>
      <c r="C203" s="4"/>
      <c r="D203" s="4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"/>
      <c r="AB203" s="4"/>
      <c r="AC203" s="4"/>
      <c r="AD203" s="40"/>
      <c r="AE203" s="40"/>
      <c r="AF203" s="40"/>
      <c r="AG203" s="4"/>
      <c r="AH203" s="4"/>
      <c r="AI203" s="4"/>
      <c r="AJ203" s="4"/>
      <c r="AK203" s="40"/>
      <c r="AL203" s="40"/>
      <c r="AM203" s="40"/>
      <c r="AN203" s="4"/>
      <c r="AO203" s="4"/>
      <c r="AP203" s="4"/>
      <c r="AQ203" s="4"/>
      <c r="AR203" s="40"/>
      <c r="AS203" s="40"/>
      <c r="AT203" s="40"/>
      <c r="AU203" s="4"/>
      <c r="AV203" s="4"/>
      <c r="AW203" s="4"/>
      <c r="AX203" s="4"/>
      <c r="AY203" s="40"/>
      <c r="AZ203" s="40"/>
      <c r="BA203" s="40"/>
      <c r="BB203" s="4"/>
      <c r="BC203" s="4"/>
      <c r="BD203" s="4"/>
      <c r="BE203" s="4"/>
      <c r="BF203" s="40"/>
      <c r="BG203" s="40"/>
      <c r="BH203" s="40"/>
      <c r="BI203" s="4"/>
      <c r="BJ203" s="4"/>
      <c r="BK203" s="4"/>
      <c r="BL203" s="4"/>
      <c r="BM203" s="40"/>
      <c r="BN203" s="40"/>
      <c r="BO203" s="40"/>
      <c r="BP203" s="4"/>
      <c r="BQ203" s="4"/>
      <c r="BR203" s="4"/>
      <c r="BS203" s="4"/>
      <c r="BT203" s="40"/>
      <c r="BU203" s="40"/>
      <c r="BV203" s="40"/>
      <c r="BW203" s="4"/>
      <c r="BX203" s="4"/>
      <c r="BY203" s="4"/>
      <c r="BZ203" s="4"/>
      <c r="CA203" s="40"/>
      <c r="CB203" s="40"/>
      <c r="CC203" s="40"/>
      <c r="CD203" s="4"/>
      <c r="CE203" s="4"/>
      <c r="CF203" s="4"/>
      <c r="CG203" s="4"/>
      <c r="CH203" s="40"/>
      <c r="CI203" s="40"/>
      <c r="CJ203" s="40"/>
      <c r="CK203" s="4"/>
      <c r="CL203" s="4"/>
      <c r="CM203" s="4"/>
      <c r="CN203" s="4"/>
      <c r="CO203" s="40"/>
      <c r="CP203" s="40"/>
      <c r="CQ203" s="40"/>
    </row>
    <row r="204" ht="15.75" customHeight="1">
      <c r="A204" s="4"/>
      <c r="B204" s="4"/>
      <c r="C204" s="4"/>
      <c r="D204" s="4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"/>
      <c r="AB204" s="4"/>
      <c r="AC204" s="4"/>
      <c r="AD204" s="40"/>
      <c r="AE204" s="40"/>
      <c r="AF204" s="40"/>
      <c r="AG204" s="4"/>
      <c r="AH204" s="4"/>
      <c r="AI204" s="4"/>
      <c r="AJ204" s="4"/>
      <c r="AK204" s="40"/>
      <c r="AL204" s="40"/>
      <c r="AM204" s="40"/>
      <c r="AN204" s="4"/>
      <c r="AO204" s="4"/>
      <c r="AP204" s="4"/>
      <c r="AQ204" s="4"/>
      <c r="AR204" s="40"/>
      <c r="AS204" s="40"/>
      <c r="AT204" s="40"/>
      <c r="AU204" s="4"/>
      <c r="AV204" s="4"/>
      <c r="AW204" s="4"/>
      <c r="AX204" s="4"/>
      <c r="AY204" s="40"/>
      <c r="AZ204" s="40"/>
      <c r="BA204" s="40"/>
      <c r="BB204" s="4"/>
      <c r="BC204" s="4"/>
      <c r="BD204" s="4"/>
      <c r="BE204" s="4"/>
      <c r="BF204" s="40"/>
      <c r="BG204" s="40"/>
      <c r="BH204" s="40"/>
      <c r="BI204" s="4"/>
      <c r="BJ204" s="4"/>
      <c r="BK204" s="4"/>
      <c r="BL204" s="4"/>
      <c r="BM204" s="40"/>
      <c r="BN204" s="40"/>
      <c r="BO204" s="40"/>
      <c r="BP204" s="4"/>
      <c r="BQ204" s="4"/>
      <c r="BR204" s="4"/>
      <c r="BS204" s="4"/>
      <c r="BT204" s="40"/>
      <c r="BU204" s="40"/>
      <c r="BV204" s="40"/>
      <c r="BW204" s="4"/>
      <c r="BX204" s="4"/>
      <c r="BY204" s="4"/>
      <c r="BZ204" s="4"/>
      <c r="CA204" s="40"/>
      <c r="CB204" s="40"/>
      <c r="CC204" s="40"/>
      <c r="CD204" s="4"/>
      <c r="CE204" s="4"/>
      <c r="CF204" s="4"/>
      <c r="CG204" s="4"/>
      <c r="CH204" s="40"/>
      <c r="CI204" s="40"/>
      <c r="CJ204" s="40"/>
      <c r="CK204" s="4"/>
      <c r="CL204" s="4"/>
      <c r="CM204" s="4"/>
      <c r="CN204" s="4"/>
      <c r="CO204" s="40"/>
      <c r="CP204" s="40"/>
      <c r="CQ204" s="40"/>
    </row>
    <row r="205" ht="15.75" customHeight="1">
      <c r="A205" s="4"/>
      <c r="B205" s="4"/>
      <c r="C205" s="4"/>
      <c r="D205" s="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"/>
      <c r="AB205" s="4"/>
      <c r="AC205" s="4"/>
      <c r="AD205" s="40"/>
      <c r="AE205" s="40"/>
      <c r="AF205" s="40"/>
      <c r="AG205" s="4"/>
      <c r="AH205" s="4"/>
      <c r="AI205" s="4"/>
      <c r="AJ205" s="4"/>
      <c r="AK205" s="40"/>
      <c r="AL205" s="40"/>
      <c r="AM205" s="40"/>
      <c r="AN205" s="4"/>
      <c r="AO205" s="4"/>
      <c r="AP205" s="4"/>
      <c r="AQ205" s="4"/>
      <c r="AR205" s="40"/>
      <c r="AS205" s="40"/>
      <c r="AT205" s="40"/>
      <c r="AU205" s="4"/>
      <c r="AV205" s="4"/>
      <c r="AW205" s="4"/>
      <c r="AX205" s="4"/>
      <c r="AY205" s="40"/>
      <c r="AZ205" s="40"/>
      <c r="BA205" s="40"/>
      <c r="BB205" s="4"/>
      <c r="BC205" s="4"/>
      <c r="BD205" s="4"/>
      <c r="BE205" s="4"/>
      <c r="BF205" s="40"/>
      <c r="BG205" s="40"/>
      <c r="BH205" s="40"/>
      <c r="BI205" s="4"/>
      <c r="BJ205" s="4"/>
      <c r="BK205" s="4"/>
      <c r="BL205" s="4"/>
      <c r="BM205" s="40"/>
      <c r="BN205" s="40"/>
      <c r="BO205" s="40"/>
      <c r="BP205" s="4"/>
      <c r="BQ205" s="4"/>
      <c r="BR205" s="4"/>
      <c r="BS205" s="4"/>
      <c r="BT205" s="40"/>
      <c r="BU205" s="40"/>
      <c r="BV205" s="40"/>
      <c r="BW205" s="4"/>
      <c r="BX205" s="4"/>
      <c r="BY205" s="4"/>
      <c r="BZ205" s="4"/>
      <c r="CA205" s="40"/>
      <c r="CB205" s="40"/>
      <c r="CC205" s="40"/>
      <c r="CD205" s="4"/>
      <c r="CE205" s="4"/>
      <c r="CF205" s="4"/>
      <c r="CG205" s="4"/>
      <c r="CH205" s="40"/>
      <c r="CI205" s="40"/>
      <c r="CJ205" s="40"/>
      <c r="CK205" s="4"/>
      <c r="CL205" s="4"/>
      <c r="CM205" s="4"/>
      <c r="CN205" s="4"/>
      <c r="CO205" s="40"/>
      <c r="CP205" s="40"/>
      <c r="CQ205" s="40"/>
    </row>
    <row r="206" ht="15.75" customHeight="1">
      <c r="A206" s="4"/>
      <c r="B206" s="4"/>
      <c r="C206" s="4"/>
      <c r="D206" s="4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"/>
      <c r="AB206" s="4"/>
      <c r="AC206" s="4"/>
      <c r="AD206" s="40"/>
      <c r="AE206" s="40"/>
      <c r="AF206" s="40"/>
      <c r="AG206" s="4"/>
      <c r="AH206" s="4"/>
      <c r="AI206" s="4"/>
      <c r="AJ206" s="4"/>
      <c r="AK206" s="40"/>
      <c r="AL206" s="40"/>
      <c r="AM206" s="40"/>
      <c r="AN206" s="4"/>
      <c r="AO206" s="4"/>
      <c r="AP206" s="4"/>
      <c r="AQ206" s="4"/>
      <c r="AR206" s="40"/>
      <c r="AS206" s="40"/>
      <c r="AT206" s="40"/>
      <c r="AU206" s="4"/>
      <c r="AV206" s="4"/>
      <c r="AW206" s="4"/>
      <c r="AX206" s="4"/>
      <c r="AY206" s="40"/>
      <c r="AZ206" s="40"/>
      <c r="BA206" s="40"/>
      <c r="BB206" s="4"/>
      <c r="BC206" s="4"/>
      <c r="BD206" s="4"/>
      <c r="BE206" s="4"/>
      <c r="BF206" s="40"/>
      <c r="BG206" s="40"/>
      <c r="BH206" s="40"/>
      <c r="BI206" s="4"/>
      <c r="BJ206" s="4"/>
      <c r="BK206" s="4"/>
      <c r="BL206" s="4"/>
      <c r="BM206" s="40"/>
      <c r="BN206" s="40"/>
      <c r="BO206" s="40"/>
      <c r="BP206" s="4"/>
      <c r="BQ206" s="4"/>
      <c r="BR206" s="4"/>
      <c r="BS206" s="4"/>
      <c r="BT206" s="40"/>
      <c r="BU206" s="40"/>
      <c r="BV206" s="40"/>
      <c r="BW206" s="4"/>
      <c r="BX206" s="4"/>
      <c r="BY206" s="4"/>
      <c r="BZ206" s="4"/>
      <c r="CA206" s="40"/>
      <c r="CB206" s="40"/>
      <c r="CC206" s="40"/>
      <c r="CD206" s="4"/>
      <c r="CE206" s="4"/>
      <c r="CF206" s="4"/>
      <c r="CG206" s="4"/>
      <c r="CH206" s="40"/>
      <c r="CI206" s="40"/>
      <c r="CJ206" s="40"/>
      <c r="CK206" s="4"/>
      <c r="CL206" s="4"/>
      <c r="CM206" s="4"/>
      <c r="CN206" s="4"/>
      <c r="CO206" s="40"/>
      <c r="CP206" s="40"/>
      <c r="CQ206" s="40"/>
    </row>
    <row r="207" ht="15.75" customHeight="1">
      <c r="A207" s="4"/>
      <c r="B207" s="4"/>
      <c r="C207" s="4"/>
      <c r="D207" s="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"/>
      <c r="AB207" s="4"/>
      <c r="AC207" s="4"/>
      <c r="AD207" s="40"/>
      <c r="AE207" s="40"/>
      <c r="AF207" s="40"/>
      <c r="AG207" s="4"/>
      <c r="AH207" s="4"/>
      <c r="AI207" s="4"/>
      <c r="AJ207" s="4"/>
      <c r="AK207" s="40"/>
      <c r="AL207" s="40"/>
      <c r="AM207" s="40"/>
      <c r="AN207" s="4"/>
      <c r="AO207" s="4"/>
      <c r="AP207" s="4"/>
      <c r="AQ207" s="4"/>
      <c r="AR207" s="40"/>
      <c r="AS207" s="40"/>
      <c r="AT207" s="40"/>
      <c r="AU207" s="4"/>
      <c r="AV207" s="4"/>
      <c r="AW207" s="4"/>
      <c r="AX207" s="4"/>
      <c r="AY207" s="40"/>
      <c r="AZ207" s="40"/>
      <c r="BA207" s="40"/>
      <c r="BB207" s="4"/>
      <c r="BC207" s="4"/>
      <c r="BD207" s="4"/>
      <c r="BE207" s="4"/>
      <c r="BF207" s="40"/>
      <c r="BG207" s="40"/>
      <c r="BH207" s="40"/>
      <c r="BI207" s="4"/>
      <c r="BJ207" s="4"/>
      <c r="BK207" s="4"/>
      <c r="BL207" s="4"/>
      <c r="BM207" s="40"/>
      <c r="BN207" s="40"/>
      <c r="BO207" s="40"/>
      <c r="BP207" s="4"/>
      <c r="BQ207" s="4"/>
      <c r="BR207" s="4"/>
      <c r="BS207" s="4"/>
      <c r="BT207" s="40"/>
      <c r="BU207" s="40"/>
      <c r="BV207" s="40"/>
      <c r="BW207" s="4"/>
      <c r="BX207" s="4"/>
      <c r="BY207" s="4"/>
      <c r="BZ207" s="4"/>
      <c r="CA207" s="40"/>
      <c r="CB207" s="40"/>
      <c r="CC207" s="40"/>
      <c r="CD207" s="4"/>
      <c r="CE207" s="4"/>
      <c r="CF207" s="4"/>
      <c r="CG207" s="4"/>
      <c r="CH207" s="40"/>
      <c r="CI207" s="40"/>
      <c r="CJ207" s="40"/>
      <c r="CK207" s="4"/>
      <c r="CL207" s="4"/>
      <c r="CM207" s="4"/>
      <c r="CN207" s="4"/>
      <c r="CO207" s="40"/>
      <c r="CP207" s="40"/>
      <c r="CQ207" s="40"/>
    </row>
    <row r="208" ht="15.75" customHeight="1">
      <c r="A208" s="4"/>
      <c r="B208" s="4"/>
      <c r="C208" s="4"/>
      <c r="D208" s="4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"/>
      <c r="AB208" s="4"/>
      <c r="AC208" s="4"/>
      <c r="AD208" s="40"/>
      <c r="AE208" s="40"/>
      <c r="AF208" s="40"/>
      <c r="AG208" s="4"/>
      <c r="AH208" s="4"/>
      <c r="AI208" s="4"/>
      <c r="AJ208" s="4"/>
      <c r="AK208" s="40"/>
      <c r="AL208" s="40"/>
      <c r="AM208" s="40"/>
      <c r="AN208" s="4"/>
      <c r="AO208" s="4"/>
      <c r="AP208" s="4"/>
      <c r="AQ208" s="4"/>
      <c r="AR208" s="40"/>
      <c r="AS208" s="40"/>
      <c r="AT208" s="40"/>
      <c r="AU208" s="4"/>
      <c r="AV208" s="4"/>
      <c r="AW208" s="4"/>
      <c r="AX208" s="4"/>
      <c r="AY208" s="40"/>
      <c r="AZ208" s="40"/>
      <c r="BA208" s="40"/>
      <c r="BB208" s="4"/>
      <c r="BC208" s="4"/>
      <c r="BD208" s="4"/>
      <c r="BE208" s="4"/>
      <c r="BF208" s="40"/>
      <c r="BG208" s="40"/>
      <c r="BH208" s="40"/>
      <c r="BI208" s="4"/>
      <c r="BJ208" s="4"/>
      <c r="BK208" s="4"/>
      <c r="BL208" s="4"/>
      <c r="BM208" s="40"/>
      <c r="BN208" s="40"/>
      <c r="BO208" s="40"/>
      <c r="BP208" s="4"/>
      <c r="BQ208" s="4"/>
      <c r="BR208" s="4"/>
      <c r="BS208" s="4"/>
      <c r="BT208" s="40"/>
      <c r="BU208" s="40"/>
      <c r="BV208" s="40"/>
      <c r="BW208" s="4"/>
      <c r="BX208" s="4"/>
      <c r="BY208" s="4"/>
      <c r="BZ208" s="4"/>
      <c r="CA208" s="40"/>
      <c r="CB208" s="40"/>
      <c r="CC208" s="40"/>
      <c r="CD208" s="4"/>
      <c r="CE208" s="4"/>
      <c r="CF208" s="4"/>
      <c r="CG208" s="4"/>
      <c r="CH208" s="40"/>
      <c r="CI208" s="40"/>
      <c r="CJ208" s="40"/>
      <c r="CK208" s="4"/>
      <c r="CL208" s="4"/>
      <c r="CM208" s="4"/>
      <c r="CN208" s="4"/>
      <c r="CO208" s="40"/>
      <c r="CP208" s="40"/>
      <c r="CQ208" s="40"/>
    </row>
    <row r="209" ht="15.75" customHeight="1">
      <c r="A209" s="4"/>
      <c r="B209" s="4"/>
      <c r="C209" s="4"/>
      <c r="D209" s="4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"/>
      <c r="AB209" s="4"/>
      <c r="AC209" s="4"/>
      <c r="AD209" s="40"/>
      <c r="AE209" s="40"/>
      <c r="AF209" s="40"/>
      <c r="AG209" s="4"/>
      <c r="AH209" s="4"/>
      <c r="AI209" s="4"/>
      <c r="AJ209" s="4"/>
      <c r="AK209" s="40"/>
      <c r="AL209" s="40"/>
      <c r="AM209" s="40"/>
      <c r="AN209" s="4"/>
      <c r="AO209" s="4"/>
      <c r="AP209" s="4"/>
      <c r="AQ209" s="4"/>
      <c r="AR209" s="40"/>
      <c r="AS209" s="40"/>
      <c r="AT209" s="40"/>
      <c r="AU209" s="4"/>
      <c r="AV209" s="4"/>
      <c r="AW209" s="4"/>
      <c r="AX209" s="4"/>
      <c r="AY209" s="40"/>
      <c r="AZ209" s="40"/>
      <c r="BA209" s="40"/>
      <c r="BB209" s="4"/>
      <c r="BC209" s="4"/>
      <c r="BD209" s="4"/>
      <c r="BE209" s="4"/>
      <c r="BF209" s="40"/>
      <c r="BG209" s="40"/>
      <c r="BH209" s="40"/>
      <c r="BI209" s="4"/>
      <c r="BJ209" s="4"/>
      <c r="BK209" s="4"/>
      <c r="BL209" s="4"/>
      <c r="BM209" s="40"/>
      <c r="BN209" s="40"/>
      <c r="BO209" s="40"/>
      <c r="BP209" s="4"/>
      <c r="BQ209" s="4"/>
      <c r="BR209" s="4"/>
      <c r="BS209" s="4"/>
      <c r="BT209" s="40"/>
      <c r="BU209" s="40"/>
      <c r="BV209" s="40"/>
      <c r="BW209" s="4"/>
      <c r="BX209" s="4"/>
      <c r="BY209" s="4"/>
      <c r="BZ209" s="4"/>
      <c r="CA209" s="40"/>
      <c r="CB209" s="40"/>
      <c r="CC209" s="40"/>
      <c r="CD209" s="4"/>
      <c r="CE209" s="4"/>
      <c r="CF209" s="4"/>
      <c r="CG209" s="4"/>
      <c r="CH209" s="40"/>
      <c r="CI209" s="40"/>
      <c r="CJ209" s="40"/>
      <c r="CK209" s="4"/>
      <c r="CL209" s="4"/>
      <c r="CM209" s="4"/>
      <c r="CN209" s="4"/>
      <c r="CO209" s="40"/>
      <c r="CP209" s="40"/>
      <c r="CQ209" s="40"/>
    </row>
    <row r="210" ht="15.75" customHeight="1">
      <c r="A210" s="4"/>
      <c r="B210" s="4"/>
      <c r="C210" s="4"/>
      <c r="D210" s="4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"/>
      <c r="AB210" s="4"/>
      <c r="AC210" s="4"/>
      <c r="AD210" s="40"/>
      <c r="AE210" s="40"/>
      <c r="AF210" s="40"/>
      <c r="AG210" s="4"/>
      <c r="AH210" s="4"/>
      <c r="AI210" s="4"/>
      <c r="AJ210" s="4"/>
      <c r="AK210" s="40"/>
      <c r="AL210" s="40"/>
      <c r="AM210" s="40"/>
      <c r="AN210" s="4"/>
      <c r="AO210" s="4"/>
      <c r="AP210" s="4"/>
      <c r="AQ210" s="4"/>
      <c r="AR210" s="40"/>
      <c r="AS210" s="40"/>
      <c r="AT210" s="40"/>
      <c r="AU210" s="4"/>
      <c r="AV210" s="4"/>
      <c r="AW210" s="4"/>
      <c r="AX210" s="4"/>
      <c r="AY210" s="40"/>
      <c r="AZ210" s="40"/>
      <c r="BA210" s="40"/>
      <c r="BB210" s="4"/>
      <c r="BC210" s="4"/>
      <c r="BD210" s="4"/>
      <c r="BE210" s="4"/>
      <c r="BF210" s="40"/>
      <c r="BG210" s="40"/>
      <c r="BH210" s="40"/>
      <c r="BI210" s="4"/>
      <c r="BJ210" s="4"/>
      <c r="BK210" s="4"/>
      <c r="BL210" s="4"/>
      <c r="BM210" s="40"/>
      <c r="BN210" s="40"/>
      <c r="BO210" s="40"/>
      <c r="BP210" s="4"/>
      <c r="BQ210" s="4"/>
      <c r="BR210" s="4"/>
      <c r="BS210" s="4"/>
      <c r="BT210" s="40"/>
      <c r="BU210" s="40"/>
      <c r="BV210" s="40"/>
      <c r="BW210" s="4"/>
      <c r="BX210" s="4"/>
      <c r="BY210" s="4"/>
      <c r="BZ210" s="4"/>
      <c r="CA210" s="40"/>
      <c r="CB210" s="40"/>
      <c r="CC210" s="40"/>
      <c r="CD210" s="4"/>
      <c r="CE210" s="4"/>
      <c r="CF210" s="4"/>
      <c r="CG210" s="4"/>
      <c r="CH210" s="40"/>
      <c r="CI210" s="40"/>
      <c r="CJ210" s="40"/>
      <c r="CK210" s="4"/>
      <c r="CL210" s="4"/>
      <c r="CM210" s="4"/>
      <c r="CN210" s="4"/>
      <c r="CO210" s="40"/>
      <c r="CP210" s="40"/>
      <c r="CQ210" s="40"/>
    </row>
    <row r="211" ht="15.75" customHeight="1">
      <c r="A211" s="4"/>
      <c r="B211" s="4"/>
      <c r="C211" s="4"/>
      <c r="D211" s="4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"/>
      <c r="AB211" s="4"/>
      <c r="AC211" s="4"/>
      <c r="AD211" s="40"/>
      <c r="AE211" s="40"/>
      <c r="AF211" s="40"/>
      <c r="AG211" s="4"/>
      <c r="AH211" s="4"/>
      <c r="AI211" s="4"/>
      <c r="AJ211" s="4"/>
      <c r="AK211" s="40"/>
      <c r="AL211" s="40"/>
      <c r="AM211" s="40"/>
      <c r="AN211" s="4"/>
      <c r="AO211" s="4"/>
      <c r="AP211" s="4"/>
      <c r="AQ211" s="4"/>
      <c r="AR211" s="40"/>
      <c r="AS211" s="40"/>
      <c r="AT211" s="40"/>
      <c r="AU211" s="4"/>
      <c r="AV211" s="4"/>
      <c r="AW211" s="4"/>
      <c r="AX211" s="4"/>
      <c r="AY211" s="40"/>
      <c r="AZ211" s="40"/>
      <c r="BA211" s="40"/>
      <c r="BB211" s="4"/>
      <c r="BC211" s="4"/>
      <c r="BD211" s="4"/>
      <c r="BE211" s="4"/>
      <c r="BF211" s="40"/>
      <c r="BG211" s="40"/>
      <c r="BH211" s="40"/>
      <c r="BI211" s="4"/>
      <c r="BJ211" s="4"/>
      <c r="BK211" s="4"/>
      <c r="BL211" s="4"/>
      <c r="BM211" s="40"/>
      <c r="BN211" s="40"/>
      <c r="BO211" s="40"/>
      <c r="BP211" s="4"/>
      <c r="BQ211" s="4"/>
      <c r="BR211" s="4"/>
      <c r="BS211" s="4"/>
      <c r="BT211" s="40"/>
      <c r="BU211" s="40"/>
      <c r="BV211" s="40"/>
      <c r="BW211" s="4"/>
      <c r="BX211" s="4"/>
      <c r="BY211" s="4"/>
      <c r="BZ211" s="4"/>
      <c r="CA211" s="40"/>
      <c r="CB211" s="40"/>
      <c r="CC211" s="40"/>
      <c r="CD211" s="4"/>
      <c r="CE211" s="4"/>
      <c r="CF211" s="4"/>
      <c r="CG211" s="4"/>
      <c r="CH211" s="40"/>
      <c r="CI211" s="40"/>
      <c r="CJ211" s="40"/>
      <c r="CK211" s="4"/>
      <c r="CL211" s="4"/>
      <c r="CM211" s="4"/>
      <c r="CN211" s="4"/>
      <c r="CO211" s="40"/>
      <c r="CP211" s="40"/>
      <c r="CQ211" s="40"/>
    </row>
    <row r="212" ht="15.75" customHeight="1">
      <c r="A212" s="4"/>
      <c r="B212" s="4"/>
      <c r="C212" s="4"/>
      <c r="D212" s="4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"/>
      <c r="AB212" s="4"/>
      <c r="AC212" s="4"/>
      <c r="AD212" s="40"/>
      <c r="AE212" s="40"/>
      <c r="AF212" s="40"/>
      <c r="AG212" s="4"/>
      <c r="AH212" s="4"/>
      <c r="AI212" s="4"/>
      <c r="AJ212" s="4"/>
      <c r="AK212" s="40"/>
      <c r="AL212" s="40"/>
      <c r="AM212" s="40"/>
      <c r="AN212" s="4"/>
      <c r="AO212" s="4"/>
      <c r="AP212" s="4"/>
      <c r="AQ212" s="4"/>
      <c r="AR212" s="40"/>
      <c r="AS212" s="40"/>
      <c r="AT212" s="40"/>
      <c r="AU212" s="4"/>
      <c r="AV212" s="4"/>
      <c r="AW212" s="4"/>
      <c r="AX212" s="4"/>
      <c r="AY212" s="40"/>
      <c r="AZ212" s="40"/>
      <c r="BA212" s="40"/>
      <c r="BB212" s="4"/>
      <c r="BC212" s="4"/>
      <c r="BD212" s="4"/>
      <c r="BE212" s="4"/>
      <c r="BF212" s="40"/>
      <c r="BG212" s="40"/>
      <c r="BH212" s="40"/>
      <c r="BI212" s="4"/>
      <c r="BJ212" s="4"/>
      <c r="BK212" s="4"/>
      <c r="BL212" s="4"/>
      <c r="BM212" s="40"/>
      <c r="BN212" s="40"/>
      <c r="BO212" s="40"/>
      <c r="BP212" s="4"/>
      <c r="BQ212" s="4"/>
      <c r="BR212" s="4"/>
      <c r="BS212" s="4"/>
      <c r="BT212" s="40"/>
      <c r="BU212" s="40"/>
      <c r="BV212" s="40"/>
      <c r="BW212" s="4"/>
      <c r="BX212" s="4"/>
      <c r="BY212" s="4"/>
      <c r="BZ212" s="4"/>
      <c r="CA212" s="40"/>
      <c r="CB212" s="40"/>
      <c r="CC212" s="40"/>
      <c r="CD212" s="4"/>
      <c r="CE212" s="4"/>
      <c r="CF212" s="4"/>
      <c r="CG212" s="4"/>
      <c r="CH212" s="40"/>
      <c r="CI212" s="40"/>
      <c r="CJ212" s="40"/>
      <c r="CK212" s="4"/>
      <c r="CL212" s="4"/>
      <c r="CM212" s="4"/>
      <c r="CN212" s="4"/>
      <c r="CO212" s="40"/>
      <c r="CP212" s="40"/>
      <c r="CQ212" s="40"/>
    </row>
    <row r="213" ht="15.75" customHeight="1">
      <c r="A213" s="4"/>
      <c r="B213" s="4"/>
      <c r="C213" s="4"/>
      <c r="D213" s="4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"/>
      <c r="AB213" s="4"/>
      <c r="AC213" s="4"/>
      <c r="AD213" s="40"/>
      <c r="AE213" s="40"/>
      <c r="AF213" s="40"/>
      <c r="AG213" s="4"/>
      <c r="AH213" s="4"/>
      <c r="AI213" s="4"/>
      <c r="AJ213" s="4"/>
      <c r="AK213" s="40"/>
      <c r="AL213" s="40"/>
      <c r="AM213" s="40"/>
      <c r="AN213" s="4"/>
      <c r="AO213" s="4"/>
      <c r="AP213" s="4"/>
      <c r="AQ213" s="4"/>
      <c r="AR213" s="40"/>
      <c r="AS213" s="40"/>
      <c r="AT213" s="40"/>
      <c r="AU213" s="4"/>
      <c r="AV213" s="4"/>
      <c r="AW213" s="4"/>
      <c r="AX213" s="4"/>
      <c r="AY213" s="40"/>
      <c r="AZ213" s="40"/>
      <c r="BA213" s="40"/>
      <c r="BB213" s="4"/>
      <c r="BC213" s="4"/>
      <c r="BD213" s="4"/>
      <c r="BE213" s="4"/>
      <c r="BF213" s="40"/>
      <c r="BG213" s="40"/>
      <c r="BH213" s="40"/>
      <c r="BI213" s="4"/>
      <c r="BJ213" s="4"/>
      <c r="BK213" s="4"/>
      <c r="BL213" s="4"/>
      <c r="BM213" s="40"/>
      <c r="BN213" s="40"/>
      <c r="BO213" s="40"/>
      <c r="BP213" s="4"/>
      <c r="BQ213" s="4"/>
      <c r="BR213" s="4"/>
      <c r="BS213" s="4"/>
      <c r="BT213" s="40"/>
      <c r="BU213" s="40"/>
      <c r="BV213" s="40"/>
      <c r="BW213" s="4"/>
      <c r="BX213" s="4"/>
      <c r="BY213" s="4"/>
      <c r="BZ213" s="4"/>
      <c r="CA213" s="40"/>
      <c r="CB213" s="40"/>
      <c r="CC213" s="40"/>
      <c r="CD213" s="4"/>
      <c r="CE213" s="4"/>
      <c r="CF213" s="4"/>
      <c r="CG213" s="4"/>
      <c r="CH213" s="40"/>
      <c r="CI213" s="40"/>
      <c r="CJ213" s="40"/>
      <c r="CK213" s="4"/>
      <c r="CL213" s="4"/>
      <c r="CM213" s="4"/>
      <c r="CN213" s="4"/>
      <c r="CO213" s="40"/>
      <c r="CP213" s="40"/>
      <c r="CQ213" s="40"/>
    </row>
    <row r="214" ht="15.75" customHeight="1">
      <c r="A214" s="4"/>
      <c r="B214" s="4"/>
      <c r="C214" s="4"/>
      <c r="D214" s="4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"/>
      <c r="AB214" s="4"/>
      <c r="AC214" s="4"/>
      <c r="AD214" s="40"/>
      <c r="AE214" s="40"/>
      <c r="AF214" s="40"/>
      <c r="AG214" s="4"/>
      <c r="AH214" s="4"/>
      <c r="AI214" s="4"/>
      <c r="AJ214" s="4"/>
      <c r="AK214" s="40"/>
      <c r="AL214" s="40"/>
      <c r="AM214" s="40"/>
      <c r="AN214" s="4"/>
      <c r="AO214" s="4"/>
      <c r="AP214" s="4"/>
      <c r="AQ214" s="4"/>
      <c r="AR214" s="40"/>
      <c r="AS214" s="40"/>
      <c r="AT214" s="40"/>
      <c r="AU214" s="4"/>
      <c r="AV214" s="4"/>
      <c r="AW214" s="4"/>
      <c r="AX214" s="4"/>
      <c r="AY214" s="40"/>
      <c r="AZ214" s="40"/>
      <c r="BA214" s="40"/>
      <c r="BB214" s="4"/>
      <c r="BC214" s="4"/>
      <c r="BD214" s="4"/>
      <c r="BE214" s="4"/>
      <c r="BF214" s="40"/>
      <c r="BG214" s="40"/>
      <c r="BH214" s="40"/>
      <c r="BI214" s="4"/>
      <c r="BJ214" s="4"/>
      <c r="BK214" s="4"/>
      <c r="BL214" s="4"/>
      <c r="BM214" s="40"/>
      <c r="BN214" s="40"/>
      <c r="BO214" s="40"/>
      <c r="BP214" s="4"/>
      <c r="BQ214" s="4"/>
      <c r="BR214" s="4"/>
      <c r="BS214" s="4"/>
      <c r="BT214" s="40"/>
      <c r="BU214" s="40"/>
      <c r="BV214" s="40"/>
      <c r="BW214" s="4"/>
      <c r="BX214" s="4"/>
      <c r="BY214" s="4"/>
      <c r="BZ214" s="4"/>
      <c r="CA214" s="40"/>
      <c r="CB214" s="40"/>
      <c r="CC214" s="40"/>
      <c r="CD214" s="4"/>
      <c r="CE214" s="4"/>
      <c r="CF214" s="4"/>
      <c r="CG214" s="4"/>
      <c r="CH214" s="40"/>
      <c r="CI214" s="40"/>
      <c r="CJ214" s="40"/>
      <c r="CK214" s="4"/>
      <c r="CL214" s="4"/>
      <c r="CM214" s="4"/>
      <c r="CN214" s="4"/>
      <c r="CO214" s="40"/>
      <c r="CP214" s="40"/>
      <c r="CQ214" s="40"/>
    </row>
    <row r="215" ht="15.75" customHeight="1">
      <c r="A215" s="4"/>
      <c r="B215" s="4"/>
      <c r="C215" s="4"/>
      <c r="D215" s="4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"/>
      <c r="AB215" s="4"/>
      <c r="AC215" s="4"/>
      <c r="AD215" s="40"/>
      <c r="AE215" s="40"/>
      <c r="AF215" s="40"/>
      <c r="AG215" s="4"/>
      <c r="AH215" s="4"/>
      <c r="AI215" s="4"/>
      <c r="AJ215" s="4"/>
      <c r="AK215" s="40"/>
      <c r="AL215" s="40"/>
      <c r="AM215" s="40"/>
      <c r="AN215" s="4"/>
      <c r="AO215" s="4"/>
      <c r="AP215" s="4"/>
      <c r="AQ215" s="4"/>
      <c r="AR215" s="40"/>
      <c r="AS215" s="40"/>
      <c r="AT215" s="40"/>
      <c r="AU215" s="4"/>
      <c r="AV215" s="4"/>
      <c r="AW215" s="4"/>
      <c r="AX215" s="4"/>
      <c r="AY215" s="40"/>
      <c r="AZ215" s="40"/>
      <c r="BA215" s="40"/>
      <c r="BB215" s="4"/>
      <c r="BC215" s="4"/>
      <c r="BD215" s="4"/>
      <c r="BE215" s="4"/>
      <c r="BF215" s="40"/>
      <c r="BG215" s="40"/>
      <c r="BH215" s="40"/>
      <c r="BI215" s="4"/>
      <c r="BJ215" s="4"/>
      <c r="BK215" s="4"/>
      <c r="BL215" s="4"/>
      <c r="BM215" s="40"/>
      <c r="BN215" s="40"/>
      <c r="BO215" s="40"/>
      <c r="BP215" s="4"/>
      <c r="BQ215" s="4"/>
      <c r="BR215" s="4"/>
      <c r="BS215" s="4"/>
      <c r="BT215" s="40"/>
      <c r="BU215" s="40"/>
      <c r="BV215" s="40"/>
      <c r="BW215" s="4"/>
      <c r="BX215" s="4"/>
      <c r="BY215" s="4"/>
      <c r="BZ215" s="4"/>
      <c r="CA215" s="40"/>
      <c r="CB215" s="40"/>
      <c r="CC215" s="40"/>
      <c r="CD215" s="4"/>
      <c r="CE215" s="4"/>
      <c r="CF215" s="4"/>
      <c r="CG215" s="4"/>
      <c r="CH215" s="40"/>
      <c r="CI215" s="40"/>
      <c r="CJ215" s="40"/>
      <c r="CK215" s="4"/>
      <c r="CL215" s="4"/>
      <c r="CM215" s="4"/>
      <c r="CN215" s="4"/>
      <c r="CO215" s="40"/>
      <c r="CP215" s="40"/>
      <c r="CQ215" s="40"/>
    </row>
    <row r="216" ht="15.75" customHeight="1">
      <c r="A216" s="4"/>
      <c r="B216" s="4"/>
      <c r="C216" s="4"/>
      <c r="D216" s="4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"/>
      <c r="AB216" s="4"/>
      <c r="AC216" s="4"/>
      <c r="AD216" s="40"/>
      <c r="AE216" s="40"/>
      <c r="AF216" s="40"/>
      <c r="AG216" s="4"/>
      <c r="AH216" s="4"/>
      <c r="AI216" s="4"/>
      <c r="AJ216" s="4"/>
      <c r="AK216" s="40"/>
      <c r="AL216" s="40"/>
      <c r="AM216" s="40"/>
      <c r="AN216" s="4"/>
      <c r="AO216" s="4"/>
      <c r="AP216" s="4"/>
      <c r="AQ216" s="4"/>
      <c r="AR216" s="40"/>
      <c r="AS216" s="40"/>
      <c r="AT216" s="40"/>
      <c r="AU216" s="4"/>
      <c r="AV216" s="4"/>
      <c r="AW216" s="4"/>
      <c r="AX216" s="4"/>
      <c r="AY216" s="40"/>
      <c r="AZ216" s="40"/>
      <c r="BA216" s="40"/>
      <c r="BB216" s="4"/>
      <c r="BC216" s="4"/>
      <c r="BD216" s="4"/>
      <c r="BE216" s="4"/>
      <c r="BF216" s="40"/>
      <c r="BG216" s="40"/>
      <c r="BH216" s="40"/>
      <c r="BI216" s="4"/>
      <c r="BJ216" s="4"/>
      <c r="BK216" s="4"/>
      <c r="BL216" s="4"/>
      <c r="BM216" s="40"/>
      <c r="BN216" s="40"/>
      <c r="BO216" s="40"/>
      <c r="BP216" s="4"/>
      <c r="BQ216" s="4"/>
      <c r="BR216" s="4"/>
      <c r="BS216" s="4"/>
      <c r="BT216" s="40"/>
      <c r="BU216" s="40"/>
      <c r="BV216" s="40"/>
      <c r="BW216" s="4"/>
      <c r="BX216" s="4"/>
      <c r="BY216" s="4"/>
      <c r="BZ216" s="4"/>
      <c r="CA216" s="40"/>
      <c r="CB216" s="40"/>
      <c r="CC216" s="40"/>
      <c r="CD216" s="4"/>
      <c r="CE216" s="4"/>
      <c r="CF216" s="4"/>
      <c r="CG216" s="4"/>
      <c r="CH216" s="40"/>
      <c r="CI216" s="40"/>
      <c r="CJ216" s="40"/>
      <c r="CK216" s="4"/>
      <c r="CL216" s="4"/>
      <c r="CM216" s="4"/>
      <c r="CN216" s="4"/>
      <c r="CO216" s="40"/>
      <c r="CP216" s="40"/>
      <c r="CQ216" s="40"/>
    </row>
    <row r="217" ht="15.75" customHeight="1">
      <c r="A217" s="4"/>
      <c r="B217" s="4"/>
      <c r="C217" s="4"/>
      <c r="D217" s="4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"/>
      <c r="AB217" s="4"/>
      <c r="AC217" s="4"/>
      <c r="AD217" s="40"/>
      <c r="AE217" s="40"/>
      <c r="AF217" s="40"/>
      <c r="AG217" s="4"/>
      <c r="AH217" s="4"/>
      <c r="AI217" s="4"/>
      <c r="AJ217" s="4"/>
      <c r="AK217" s="40"/>
      <c r="AL217" s="40"/>
      <c r="AM217" s="40"/>
      <c r="AN217" s="4"/>
      <c r="AO217" s="4"/>
      <c r="AP217" s="4"/>
      <c r="AQ217" s="4"/>
      <c r="AR217" s="40"/>
      <c r="AS217" s="40"/>
      <c r="AT217" s="40"/>
      <c r="AU217" s="4"/>
      <c r="AV217" s="4"/>
      <c r="AW217" s="4"/>
      <c r="AX217" s="4"/>
      <c r="AY217" s="40"/>
      <c r="AZ217" s="40"/>
      <c r="BA217" s="40"/>
      <c r="BB217" s="4"/>
      <c r="BC217" s="4"/>
      <c r="BD217" s="4"/>
      <c r="BE217" s="4"/>
      <c r="BF217" s="40"/>
      <c r="BG217" s="40"/>
      <c r="BH217" s="40"/>
      <c r="BI217" s="4"/>
      <c r="BJ217" s="4"/>
      <c r="BK217" s="4"/>
      <c r="BL217" s="4"/>
      <c r="BM217" s="40"/>
      <c r="BN217" s="40"/>
      <c r="BO217" s="40"/>
      <c r="BP217" s="4"/>
      <c r="BQ217" s="4"/>
      <c r="BR217" s="4"/>
      <c r="BS217" s="4"/>
      <c r="BT217" s="40"/>
      <c r="BU217" s="40"/>
      <c r="BV217" s="40"/>
      <c r="BW217" s="4"/>
      <c r="BX217" s="4"/>
      <c r="BY217" s="4"/>
      <c r="BZ217" s="4"/>
      <c r="CA217" s="40"/>
      <c r="CB217" s="40"/>
      <c r="CC217" s="40"/>
      <c r="CD217" s="4"/>
      <c r="CE217" s="4"/>
      <c r="CF217" s="4"/>
      <c r="CG217" s="4"/>
      <c r="CH217" s="40"/>
      <c r="CI217" s="40"/>
      <c r="CJ217" s="40"/>
      <c r="CK217" s="4"/>
      <c r="CL217" s="4"/>
      <c r="CM217" s="4"/>
      <c r="CN217" s="4"/>
      <c r="CO217" s="40"/>
      <c r="CP217" s="40"/>
      <c r="CQ217" s="40"/>
    </row>
    <row r="218" ht="15.75" customHeight="1">
      <c r="A218" s="4"/>
      <c r="B218" s="4"/>
      <c r="C218" s="4"/>
      <c r="D218" s="4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"/>
      <c r="AB218" s="4"/>
      <c r="AC218" s="4"/>
      <c r="AD218" s="40"/>
      <c r="AE218" s="40"/>
      <c r="AF218" s="40"/>
      <c r="AG218" s="4"/>
      <c r="AH218" s="4"/>
      <c r="AI218" s="4"/>
      <c r="AJ218" s="4"/>
      <c r="AK218" s="40"/>
      <c r="AL218" s="40"/>
      <c r="AM218" s="40"/>
      <c r="AN218" s="4"/>
      <c r="AO218" s="4"/>
      <c r="AP218" s="4"/>
      <c r="AQ218" s="4"/>
      <c r="AR218" s="40"/>
      <c r="AS218" s="40"/>
      <c r="AT218" s="40"/>
      <c r="AU218" s="4"/>
      <c r="AV218" s="4"/>
      <c r="AW218" s="4"/>
      <c r="AX218" s="4"/>
      <c r="AY218" s="40"/>
      <c r="AZ218" s="40"/>
      <c r="BA218" s="40"/>
      <c r="BB218" s="4"/>
      <c r="BC218" s="4"/>
      <c r="BD218" s="4"/>
      <c r="BE218" s="4"/>
      <c r="BF218" s="40"/>
      <c r="BG218" s="40"/>
      <c r="BH218" s="40"/>
      <c r="BI218" s="4"/>
      <c r="BJ218" s="4"/>
      <c r="BK218" s="4"/>
      <c r="BL218" s="4"/>
      <c r="BM218" s="40"/>
      <c r="BN218" s="40"/>
      <c r="BO218" s="40"/>
      <c r="BP218" s="4"/>
      <c r="BQ218" s="4"/>
      <c r="BR218" s="4"/>
      <c r="BS218" s="4"/>
      <c r="BT218" s="40"/>
      <c r="BU218" s="40"/>
      <c r="BV218" s="40"/>
      <c r="BW218" s="4"/>
      <c r="BX218" s="4"/>
      <c r="BY218" s="4"/>
      <c r="BZ218" s="4"/>
      <c r="CA218" s="40"/>
      <c r="CB218" s="40"/>
      <c r="CC218" s="40"/>
      <c r="CD218" s="4"/>
      <c r="CE218" s="4"/>
      <c r="CF218" s="4"/>
      <c r="CG218" s="4"/>
      <c r="CH218" s="40"/>
      <c r="CI218" s="40"/>
      <c r="CJ218" s="40"/>
      <c r="CK218" s="4"/>
      <c r="CL218" s="4"/>
      <c r="CM218" s="4"/>
      <c r="CN218" s="4"/>
      <c r="CO218" s="40"/>
      <c r="CP218" s="40"/>
      <c r="CQ218" s="40"/>
    </row>
    <row r="219" ht="15.75" customHeight="1">
      <c r="A219" s="4"/>
      <c r="B219" s="4"/>
      <c r="C219" s="4"/>
      <c r="D219" s="4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"/>
      <c r="AB219" s="4"/>
      <c r="AC219" s="4"/>
      <c r="AD219" s="40"/>
      <c r="AE219" s="40"/>
      <c r="AF219" s="40"/>
      <c r="AG219" s="4"/>
      <c r="AH219" s="4"/>
      <c r="AI219" s="4"/>
      <c r="AJ219" s="4"/>
      <c r="AK219" s="40"/>
      <c r="AL219" s="40"/>
      <c r="AM219" s="40"/>
      <c r="AN219" s="4"/>
      <c r="AO219" s="4"/>
      <c r="AP219" s="4"/>
      <c r="AQ219" s="4"/>
      <c r="AR219" s="40"/>
      <c r="AS219" s="40"/>
      <c r="AT219" s="40"/>
      <c r="AU219" s="4"/>
      <c r="AV219" s="4"/>
      <c r="AW219" s="4"/>
      <c r="AX219" s="4"/>
      <c r="AY219" s="40"/>
      <c r="AZ219" s="40"/>
      <c r="BA219" s="40"/>
      <c r="BB219" s="4"/>
      <c r="BC219" s="4"/>
      <c r="BD219" s="4"/>
      <c r="BE219" s="4"/>
      <c r="BF219" s="40"/>
      <c r="BG219" s="40"/>
      <c r="BH219" s="40"/>
      <c r="BI219" s="4"/>
      <c r="BJ219" s="4"/>
      <c r="BK219" s="4"/>
      <c r="BL219" s="4"/>
      <c r="BM219" s="40"/>
      <c r="BN219" s="40"/>
      <c r="BO219" s="40"/>
      <c r="BP219" s="4"/>
      <c r="BQ219" s="4"/>
      <c r="BR219" s="4"/>
      <c r="BS219" s="4"/>
      <c r="BT219" s="40"/>
      <c r="BU219" s="40"/>
      <c r="BV219" s="40"/>
      <c r="BW219" s="4"/>
      <c r="BX219" s="4"/>
      <c r="BY219" s="4"/>
      <c r="BZ219" s="4"/>
      <c r="CA219" s="40"/>
      <c r="CB219" s="40"/>
      <c r="CC219" s="40"/>
      <c r="CD219" s="4"/>
      <c r="CE219" s="4"/>
      <c r="CF219" s="4"/>
      <c r="CG219" s="4"/>
      <c r="CH219" s="40"/>
      <c r="CI219" s="40"/>
      <c r="CJ219" s="40"/>
      <c r="CK219" s="4"/>
      <c r="CL219" s="4"/>
      <c r="CM219" s="4"/>
      <c r="CN219" s="4"/>
      <c r="CO219" s="40"/>
      <c r="CP219" s="40"/>
      <c r="CQ219" s="40"/>
    </row>
    <row r="220" ht="15.75" customHeight="1">
      <c r="A220" s="4"/>
      <c r="B220" s="4"/>
      <c r="C220" s="4"/>
      <c r="D220" s="4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"/>
      <c r="AB220" s="4"/>
      <c r="AC220" s="4"/>
      <c r="AD220" s="40"/>
      <c r="AE220" s="40"/>
      <c r="AF220" s="40"/>
      <c r="AG220" s="4"/>
      <c r="AH220" s="4"/>
      <c r="AI220" s="4"/>
      <c r="AJ220" s="4"/>
      <c r="AK220" s="40"/>
      <c r="AL220" s="40"/>
      <c r="AM220" s="40"/>
      <c r="AN220" s="4"/>
      <c r="AO220" s="4"/>
      <c r="AP220" s="4"/>
      <c r="AQ220" s="4"/>
      <c r="AR220" s="40"/>
      <c r="AS220" s="40"/>
      <c r="AT220" s="40"/>
      <c r="AU220" s="4"/>
      <c r="AV220" s="4"/>
      <c r="AW220" s="4"/>
      <c r="AX220" s="4"/>
      <c r="AY220" s="40"/>
      <c r="AZ220" s="40"/>
      <c r="BA220" s="40"/>
      <c r="BB220" s="4"/>
      <c r="BC220" s="4"/>
      <c r="BD220" s="4"/>
      <c r="BE220" s="4"/>
      <c r="BF220" s="40"/>
      <c r="BG220" s="40"/>
      <c r="BH220" s="40"/>
      <c r="BI220" s="4"/>
      <c r="BJ220" s="4"/>
      <c r="BK220" s="4"/>
      <c r="BL220" s="4"/>
      <c r="BM220" s="40"/>
      <c r="BN220" s="40"/>
      <c r="BO220" s="40"/>
      <c r="BP220" s="4"/>
      <c r="BQ220" s="4"/>
      <c r="BR220" s="4"/>
      <c r="BS220" s="4"/>
      <c r="BT220" s="40"/>
      <c r="BU220" s="40"/>
      <c r="BV220" s="40"/>
      <c r="BW220" s="4"/>
      <c r="BX220" s="4"/>
      <c r="BY220" s="4"/>
      <c r="BZ220" s="4"/>
      <c r="CA220" s="40"/>
      <c r="CB220" s="40"/>
      <c r="CC220" s="40"/>
      <c r="CD220" s="4"/>
      <c r="CE220" s="4"/>
      <c r="CF220" s="4"/>
      <c r="CG220" s="4"/>
      <c r="CH220" s="40"/>
      <c r="CI220" s="40"/>
      <c r="CJ220" s="40"/>
      <c r="CK220" s="4"/>
      <c r="CL220" s="4"/>
      <c r="CM220" s="4"/>
      <c r="CN220" s="4"/>
      <c r="CO220" s="40"/>
      <c r="CP220" s="40"/>
      <c r="CQ220" s="40"/>
    </row>
    <row r="221" ht="15.75" customHeight="1">
      <c r="A221" s="4"/>
      <c r="B221" s="4"/>
      <c r="C221" s="4"/>
      <c r="D221" s="4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"/>
      <c r="AB221" s="4"/>
      <c r="AC221" s="4"/>
      <c r="AD221" s="40"/>
      <c r="AE221" s="40"/>
      <c r="AF221" s="40"/>
      <c r="AG221" s="4"/>
      <c r="AH221" s="4"/>
      <c r="AI221" s="4"/>
      <c r="AJ221" s="4"/>
      <c r="AK221" s="40"/>
      <c r="AL221" s="40"/>
      <c r="AM221" s="40"/>
      <c r="AN221" s="4"/>
      <c r="AO221" s="4"/>
      <c r="AP221" s="4"/>
      <c r="AQ221" s="4"/>
      <c r="AR221" s="40"/>
      <c r="AS221" s="40"/>
      <c r="AT221" s="40"/>
      <c r="AU221" s="4"/>
      <c r="AV221" s="4"/>
      <c r="AW221" s="4"/>
      <c r="AX221" s="4"/>
      <c r="AY221" s="40"/>
      <c r="AZ221" s="40"/>
      <c r="BA221" s="40"/>
      <c r="BB221" s="4"/>
      <c r="BC221" s="4"/>
      <c r="BD221" s="4"/>
      <c r="BE221" s="4"/>
      <c r="BF221" s="40"/>
      <c r="BG221" s="40"/>
      <c r="BH221" s="40"/>
      <c r="BI221" s="4"/>
      <c r="BJ221" s="4"/>
      <c r="BK221" s="4"/>
      <c r="BL221" s="4"/>
      <c r="BM221" s="40"/>
      <c r="BN221" s="40"/>
      <c r="BO221" s="40"/>
      <c r="BP221" s="4"/>
      <c r="BQ221" s="4"/>
      <c r="BR221" s="4"/>
      <c r="BS221" s="4"/>
      <c r="BT221" s="40"/>
      <c r="BU221" s="40"/>
      <c r="BV221" s="40"/>
      <c r="BW221" s="4"/>
      <c r="BX221" s="4"/>
      <c r="BY221" s="4"/>
      <c r="BZ221" s="4"/>
      <c r="CA221" s="40"/>
      <c r="CB221" s="40"/>
      <c r="CC221" s="40"/>
      <c r="CD221" s="4"/>
      <c r="CE221" s="4"/>
      <c r="CF221" s="4"/>
      <c r="CG221" s="4"/>
      <c r="CH221" s="40"/>
      <c r="CI221" s="40"/>
      <c r="CJ221" s="40"/>
      <c r="CK221" s="4"/>
      <c r="CL221" s="4"/>
      <c r="CM221" s="4"/>
      <c r="CN221" s="4"/>
      <c r="CO221" s="40"/>
      <c r="CP221" s="40"/>
      <c r="CQ221" s="40"/>
    </row>
    <row r="222" ht="15.75" customHeight="1">
      <c r="A222" s="4"/>
      <c r="B222" s="4"/>
      <c r="C222" s="4"/>
      <c r="D222" s="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"/>
      <c r="AB222" s="4"/>
      <c r="AC222" s="4"/>
      <c r="AD222" s="40"/>
      <c r="AE222" s="40"/>
      <c r="AF222" s="40"/>
      <c r="AG222" s="4"/>
      <c r="AH222" s="4"/>
      <c r="AI222" s="4"/>
      <c r="AJ222" s="4"/>
      <c r="AK222" s="40"/>
      <c r="AL222" s="40"/>
      <c r="AM222" s="40"/>
      <c r="AN222" s="4"/>
      <c r="AO222" s="4"/>
      <c r="AP222" s="4"/>
      <c r="AQ222" s="4"/>
      <c r="AR222" s="40"/>
      <c r="AS222" s="40"/>
      <c r="AT222" s="40"/>
      <c r="AU222" s="4"/>
      <c r="AV222" s="4"/>
      <c r="AW222" s="4"/>
      <c r="AX222" s="4"/>
      <c r="AY222" s="40"/>
      <c r="AZ222" s="40"/>
      <c r="BA222" s="40"/>
      <c r="BB222" s="4"/>
      <c r="BC222" s="4"/>
      <c r="BD222" s="4"/>
      <c r="BE222" s="4"/>
      <c r="BF222" s="40"/>
      <c r="BG222" s="40"/>
      <c r="BH222" s="40"/>
      <c r="BI222" s="4"/>
      <c r="BJ222" s="4"/>
      <c r="BK222" s="4"/>
      <c r="BL222" s="4"/>
      <c r="BM222" s="40"/>
      <c r="BN222" s="40"/>
      <c r="BO222" s="40"/>
      <c r="BP222" s="4"/>
      <c r="BQ222" s="4"/>
      <c r="BR222" s="4"/>
      <c r="BS222" s="4"/>
      <c r="BT222" s="40"/>
      <c r="BU222" s="40"/>
      <c r="BV222" s="40"/>
      <c r="BW222" s="4"/>
      <c r="BX222" s="4"/>
      <c r="BY222" s="4"/>
      <c r="BZ222" s="4"/>
      <c r="CA222" s="40"/>
      <c r="CB222" s="40"/>
      <c r="CC222" s="40"/>
      <c r="CD222" s="4"/>
      <c r="CE222" s="4"/>
      <c r="CF222" s="4"/>
      <c r="CG222" s="4"/>
      <c r="CH222" s="40"/>
      <c r="CI222" s="40"/>
      <c r="CJ222" s="40"/>
      <c r="CK222" s="4"/>
      <c r="CL222" s="4"/>
      <c r="CM222" s="4"/>
      <c r="CN222" s="4"/>
      <c r="CO222" s="40"/>
      <c r="CP222" s="40"/>
      <c r="CQ222" s="40"/>
    </row>
    <row r="223" ht="15.75" customHeight="1">
      <c r="A223" s="4"/>
      <c r="B223" s="4"/>
      <c r="C223" s="4"/>
      <c r="D223" s="4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"/>
      <c r="AB223" s="4"/>
      <c r="AC223" s="4"/>
      <c r="AD223" s="40"/>
      <c r="AE223" s="40"/>
      <c r="AF223" s="40"/>
      <c r="AG223" s="4"/>
      <c r="AH223" s="4"/>
      <c r="AI223" s="4"/>
      <c r="AJ223" s="4"/>
      <c r="AK223" s="40"/>
      <c r="AL223" s="40"/>
      <c r="AM223" s="40"/>
      <c r="AN223" s="4"/>
      <c r="AO223" s="4"/>
      <c r="AP223" s="4"/>
      <c r="AQ223" s="4"/>
      <c r="AR223" s="40"/>
      <c r="AS223" s="40"/>
      <c r="AT223" s="40"/>
      <c r="AU223" s="4"/>
      <c r="AV223" s="4"/>
      <c r="AW223" s="4"/>
      <c r="AX223" s="4"/>
      <c r="AY223" s="40"/>
      <c r="AZ223" s="40"/>
      <c r="BA223" s="40"/>
      <c r="BB223" s="4"/>
      <c r="BC223" s="4"/>
      <c r="BD223" s="4"/>
      <c r="BE223" s="4"/>
      <c r="BF223" s="40"/>
      <c r="BG223" s="40"/>
      <c r="BH223" s="40"/>
      <c r="BI223" s="4"/>
      <c r="BJ223" s="4"/>
      <c r="BK223" s="4"/>
      <c r="BL223" s="4"/>
      <c r="BM223" s="40"/>
      <c r="BN223" s="40"/>
      <c r="BO223" s="40"/>
      <c r="BP223" s="4"/>
      <c r="BQ223" s="4"/>
      <c r="BR223" s="4"/>
      <c r="BS223" s="4"/>
      <c r="BT223" s="40"/>
      <c r="BU223" s="40"/>
      <c r="BV223" s="40"/>
      <c r="BW223" s="4"/>
      <c r="BX223" s="4"/>
      <c r="BY223" s="4"/>
      <c r="BZ223" s="4"/>
      <c r="CA223" s="40"/>
      <c r="CB223" s="40"/>
      <c r="CC223" s="40"/>
      <c r="CD223" s="4"/>
      <c r="CE223" s="4"/>
      <c r="CF223" s="4"/>
      <c r="CG223" s="4"/>
      <c r="CH223" s="40"/>
      <c r="CI223" s="40"/>
      <c r="CJ223" s="40"/>
      <c r="CK223" s="4"/>
      <c r="CL223" s="4"/>
      <c r="CM223" s="4"/>
      <c r="CN223" s="4"/>
      <c r="CO223" s="40"/>
      <c r="CP223" s="40"/>
      <c r="CQ223" s="40"/>
    </row>
    <row r="224" ht="15.75" customHeight="1">
      <c r="A224" s="4"/>
      <c r="B224" s="4"/>
      <c r="C224" s="4"/>
      <c r="D224" s="4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"/>
      <c r="AB224" s="4"/>
      <c r="AC224" s="4"/>
      <c r="AD224" s="40"/>
      <c r="AE224" s="40"/>
      <c r="AF224" s="40"/>
      <c r="AG224" s="4"/>
      <c r="AH224" s="4"/>
      <c r="AI224" s="4"/>
      <c r="AJ224" s="4"/>
      <c r="AK224" s="40"/>
      <c r="AL224" s="40"/>
      <c r="AM224" s="40"/>
      <c r="AN224" s="4"/>
      <c r="AO224" s="4"/>
      <c r="AP224" s="4"/>
      <c r="AQ224" s="4"/>
      <c r="AR224" s="40"/>
      <c r="AS224" s="40"/>
      <c r="AT224" s="40"/>
      <c r="AU224" s="4"/>
      <c r="AV224" s="4"/>
      <c r="AW224" s="4"/>
      <c r="AX224" s="4"/>
      <c r="AY224" s="40"/>
      <c r="AZ224" s="40"/>
      <c r="BA224" s="40"/>
      <c r="BB224" s="4"/>
      <c r="BC224" s="4"/>
      <c r="BD224" s="4"/>
      <c r="BE224" s="4"/>
      <c r="BF224" s="40"/>
      <c r="BG224" s="40"/>
      <c r="BH224" s="40"/>
      <c r="BI224" s="4"/>
      <c r="BJ224" s="4"/>
      <c r="BK224" s="4"/>
      <c r="BL224" s="4"/>
      <c r="BM224" s="40"/>
      <c r="BN224" s="40"/>
      <c r="BO224" s="40"/>
      <c r="BP224" s="4"/>
      <c r="BQ224" s="4"/>
      <c r="BR224" s="4"/>
      <c r="BS224" s="4"/>
      <c r="BT224" s="40"/>
      <c r="BU224" s="40"/>
      <c r="BV224" s="40"/>
      <c r="BW224" s="4"/>
      <c r="BX224" s="4"/>
      <c r="BY224" s="4"/>
      <c r="BZ224" s="4"/>
      <c r="CA224" s="40"/>
      <c r="CB224" s="40"/>
      <c r="CC224" s="40"/>
      <c r="CD224" s="4"/>
      <c r="CE224" s="4"/>
      <c r="CF224" s="4"/>
      <c r="CG224" s="4"/>
      <c r="CH224" s="40"/>
      <c r="CI224" s="40"/>
      <c r="CJ224" s="40"/>
      <c r="CK224" s="4"/>
      <c r="CL224" s="4"/>
      <c r="CM224" s="4"/>
      <c r="CN224" s="4"/>
      <c r="CO224" s="40"/>
      <c r="CP224" s="40"/>
      <c r="CQ224" s="40"/>
    </row>
    <row r="225" ht="15.75" customHeight="1">
      <c r="A225" s="4"/>
      <c r="B225" s="4"/>
      <c r="C225" s="4"/>
      <c r="D225" s="4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"/>
      <c r="AB225" s="4"/>
      <c r="AC225" s="4"/>
      <c r="AD225" s="40"/>
      <c r="AE225" s="40"/>
      <c r="AF225" s="40"/>
      <c r="AG225" s="4"/>
      <c r="AH225" s="4"/>
      <c r="AI225" s="4"/>
      <c r="AJ225" s="4"/>
      <c r="AK225" s="40"/>
      <c r="AL225" s="40"/>
      <c r="AM225" s="40"/>
      <c r="AN225" s="4"/>
      <c r="AO225" s="4"/>
      <c r="AP225" s="4"/>
      <c r="AQ225" s="4"/>
      <c r="AR225" s="40"/>
      <c r="AS225" s="40"/>
      <c r="AT225" s="40"/>
      <c r="AU225" s="4"/>
      <c r="AV225" s="4"/>
      <c r="AW225" s="4"/>
      <c r="AX225" s="4"/>
      <c r="AY225" s="40"/>
      <c r="AZ225" s="40"/>
      <c r="BA225" s="40"/>
      <c r="BB225" s="4"/>
      <c r="BC225" s="4"/>
      <c r="BD225" s="4"/>
      <c r="BE225" s="4"/>
      <c r="BF225" s="40"/>
      <c r="BG225" s="40"/>
      <c r="BH225" s="40"/>
      <c r="BI225" s="4"/>
      <c r="BJ225" s="4"/>
      <c r="BK225" s="4"/>
      <c r="BL225" s="4"/>
      <c r="BM225" s="40"/>
      <c r="BN225" s="40"/>
      <c r="BO225" s="40"/>
      <c r="BP225" s="4"/>
      <c r="BQ225" s="4"/>
      <c r="BR225" s="4"/>
      <c r="BS225" s="4"/>
      <c r="BT225" s="40"/>
      <c r="BU225" s="40"/>
      <c r="BV225" s="40"/>
      <c r="BW225" s="4"/>
      <c r="BX225" s="4"/>
      <c r="BY225" s="4"/>
      <c r="BZ225" s="4"/>
      <c r="CA225" s="40"/>
      <c r="CB225" s="40"/>
      <c r="CC225" s="40"/>
      <c r="CD225" s="4"/>
      <c r="CE225" s="4"/>
      <c r="CF225" s="4"/>
      <c r="CG225" s="4"/>
      <c r="CH225" s="40"/>
      <c r="CI225" s="40"/>
      <c r="CJ225" s="40"/>
      <c r="CK225" s="4"/>
      <c r="CL225" s="4"/>
      <c r="CM225" s="4"/>
      <c r="CN225" s="4"/>
      <c r="CO225" s="40"/>
      <c r="CP225" s="40"/>
      <c r="CQ225" s="40"/>
    </row>
    <row r="226" ht="15.75" customHeight="1">
      <c r="A226" s="4"/>
      <c r="B226" s="4"/>
      <c r="C226" s="4"/>
      <c r="D226" s="4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"/>
      <c r="AB226" s="4"/>
      <c r="AC226" s="4"/>
      <c r="AD226" s="40"/>
      <c r="AE226" s="40"/>
      <c r="AF226" s="40"/>
      <c r="AG226" s="4"/>
      <c r="AH226" s="4"/>
      <c r="AI226" s="4"/>
      <c r="AJ226" s="4"/>
      <c r="AK226" s="40"/>
      <c r="AL226" s="40"/>
      <c r="AM226" s="40"/>
      <c r="AN226" s="4"/>
      <c r="AO226" s="4"/>
      <c r="AP226" s="4"/>
      <c r="AQ226" s="4"/>
      <c r="AR226" s="40"/>
      <c r="AS226" s="40"/>
      <c r="AT226" s="40"/>
      <c r="AU226" s="4"/>
      <c r="AV226" s="4"/>
      <c r="AW226" s="4"/>
      <c r="AX226" s="4"/>
      <c r="AY226" s="40"/>
      <c r="AZ226" s="40"/>
      <c r="BA226" s="40"/>
      <c r="BB226" s="4"/>
      <c r="BC226" s="4"/>
      <c r="BD226" s="4"/>
      <c r="BE226" s="4"/>
      <c r="BF226" s="40"/>
      <c r="BG226" s="40"/>
      <c r="BH226" s="40"/>
      <c r="BI226" s="4"/>
      <c r="BJ226" s="4"/>
      <c r="BK226" s="4"/>
      <c r="BL226" s="4"/>
      <c r="BM226" s="40"/>
      <c r="BN226" s="40"/>
      <c r="BO226" s="40"/>
      <c r="BP226" s="4"/>
      <c r="BQ226" s="4"/>
      <c r="BR226" s="4"/>
      <c r="BS226" s="4"/>
      <c r="BT226" s="40"/>
      <c r="BU226" s="40"/>
      <c r="BV226" s="40"/>
      <c r="BW226" s="4"/>
      <c r="BX226" s="4"/>
      <c r="BY226" s="4"/>
      <c r="BZ226" s="4"/>
      <c r="CA226" s="40"/>
      <c r="CB226" s="40"/>
      <c r="CC226" s="40"/>
      <c r="CD226" s="4"/>
      <c r="CE226" s="4"/>
      <c r="CF226" s="4"/>
      <c r="CG226" s="4"/>
      <c r="CH226" s="40"/>
      <c r="CI226" s="40"/>
      <c r="CJ226" s="40"/>
      <c r="CK226" s="4"/>
      <c r="CL226" s="4"/>
      <c r="CM226" s="4"/>
      <c r="CN226" s="4"/>
      <c r="CO226" s="40"/>
      <c r="CP226" s="40"/>
      <c r="CQ226" s="40"/>
    </row>
    <row r="227" ht="15.75" customHeight="1">
      <c r="A227" s="4"/>
      <c r="B227" s="4"/>
      <c r="C227" s="4"/>
      <c r="D227" s="4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"/>
      <c r="AB227" s="4"/>
      <c r="AC227" s="4"/>
      <c r="AD227" s="40"/>
      <c r="AE227" s="40"/>
      <c r="AF227" s="40"/>
      <c r="AG227" s="4"/>
      <c r="AH227" s="4"/>
      <c r="AI227" s="4"/>
      <c r="AJ227" s="4"/>
      <c r="AK227" s="40"/>
      <c r="AL227" s="40"/>
      <c r="AM227" s="40"/>
      <c r="AN227" s="4"/>
      <c r="AO227" s="4"/>
      <c r="AP227" s="4"/>
      <c r="AQ227" s="4"/>
      <c r="AR227" s="40"/>
      <c r="AS227" s="40"/>
      <c r="AT227" s="40"/>
      <c r="AU227" s="4"/>
      <c r="AV227" s="4"/>
      <c r="AW227" s="4"/>
      <c r="AX227" s="4"/>
      <c r="AY227" s="40"/>
      <c r="AZ227" s="40"/>
      <c r="BA227" s="40"/>
      <c r="BB227" s="4"/>
      <c r="BC227" s="4"/>
      <c r="BD227" s="4"/>
      <c r="BE227" s="4"/>
      <c r="BF227" s="40"/>
      <c r="BG227" s="40"/>
      <c r="BH227" s="40"/>
      <c r="BI227" s="4"/>
      <c r="BJ227" s="4"/>
      <c r="BK227" s="4"/>
      <c r="BL227" s="4"/>
      <c r="BM227" s="40"/>
      <c r="BN227" s="40"/>
      <c r="BO227" s="40"/>
      <c r="BP227" s="4"/>
      <c r="BQ227" s="4"/>
      <c r="BR227" s="4"/>
      <c r="BS227" s="4"/>
      <c r="BT227" s="40"/>
      <c r="BU227" s="40"/>
      <c r="BV227" s="40"/>
      <c r="BW227" s="4"/>
      <c r="BX227" s="4"/>
      <c r="BY227" s="4"/>
      <c r="BZ227" s="4"/>
      <c r="CA227" s="40"/>
      <c r="CB227" s="40"/>
      <c r="CC227" s="40"/>
      <c r="CD227" s="4"/>
      <c r="CE227" s="4"/>
      <c r="CF227" s="4"/>
      <c r="CG227" s="4"/>
      <c r="CH227" s="40"/>
      <c r="CI227" s="40"/>
      <c r="CJ227" s="40"/>
      <c r="CK227" s="4"/>
      <c r="CL227" s="4"/>
      <c r="CM227" s="4"/>
      <c r="CN227" s="4"/>
      <c r="CO227" s="40"/>
      <c r="CP227" s="40"/>
      <c r="CQ227" s="40"/>
    </row>
    <row r="228" ht="15.75" customHeight="1">
      <c r="A228" s="4"/>
      <c r="B228" s="4"/>
      <c r="C228" s="4"/>
      <c r="D228" s="4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"/>
      <c r="AB228" s="4"/>
      <c r="AC228" s="4"/>
      <c r="AD228" s="40"/>
      <c r="AE228" s="40"/>
      <c r="AF228" s="40"/>
      <c r="AG228" s="4"/>
      <c r="AH228" s="4"/>
      <c r="AI228" s="4"/>
      <c r="AJ228" s="4"/>
      <c r="AK228" s="40"/>
      <c r="AL228" s="40"/>
      <c r="AM228" s="40"/>
      <c r="AN228" s="4"/>
      <c r="AO228" s="4"/>
      <c r="AP228" s="4"/>
      <c r="AQ228" s="4"/>
      <c r="AR228" s="40"/>
      <c r="AS228" s="40"/>
      <c r="AT228" s="40"/>
      <c r="AU228" s="4"/>
      <c r="AV228" s="4"/>
      <c r="AW228" s="4"/>
      <c r="AX228" s="4"/>
      <c r="AY228" s="40"/>
      <c r="AZ228" s="40"/>
      <c r="BA228" s="40"/>
      <c r="BB228" s="4"/>
      <c r="BC228" s="4"/>
      <c r="BD228" s="4"/>
      <c r="BE228" s="4"/>
      <c r="BF228" s="40"/>
      <c r="BG228" s="40"/>
      <c r="BH228" s="40"/>
      <c r="BI228" s="4"/>
      <c r="BJ228" s="4"/>
      <c r="BK228" s="4"/>
      <c r="BL228" s="4"/>
      <c r="BM228" s="40"/>
      <c r="BN228" s="40"/>
      <c r="BO228" s="40"/>
      <c r="BP228" s="4"/>
      <c r="BQ228" s="4"/>
      <c r="BR228" s="4"/>
      <c r="BS228" s="4"/>
      <c r="BT228" s="40"/>
      <c r="BU228" s="40"/>
      <c r="BV228" s="40"/>
      <c r="BW228" s="4"/>
      <c r="BX228" s="4"/>
      <c r="BY228" s="4"/>
      <c r="BZ228" s="4"/>
      <c r="CA228" s="40"/>
      <c r="CB228" s="40"/>
      <c r="CC228" s="40"/>
      <c r="CD228" s="4"/>
      <c r="CE228" s="4"/>
      <c r="CF228" s="4"/>
      <c r="CG228" s="4"/>
      <c r="CH228" s="40"/>
      <c r="CI228" s="40"/>
      <c r="CJ228" s="40"/>
      <c r="CK228" s="4"/>
      <c r="CL228" s="4"/>
      <c r="CM228" s="4"/>
      <c r="CN228" s="4"/>
      <c r="CO228" s="40"/>
      <c r="CP228" s="40"/>
      <c r="CQ228" s="40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AP4:AP5"/>
    <mergeCell ref="AQ4:AR4"/>
    <mergeCell ref="AG4:AG5"/>
    <mergeCell ref="AH4:AH5"/>
    <mergeCell ref="AI4:AI5"/>
    <mergeCell ref="AJ4:AK4"/>
    <mergeCell ref="AL4:AM4"/>
    <mergeCell ref="AN4:AN5"/>
    <mergeCell ref="AO4:AO5"/>
    <mergeCell ref="BC4:BC5"/>
    <mergeCell ref="BD4:BD5"/>
    <mergeCell ref="AS4:AT4"/>
    <mergeCell ref="AU4:AU5"/>
    <mergeCell ref="AV4:AV5"/>
    <mergeCell ref="AW4:AW5"/>
    <mergeCell ref="AX4:AY4"/>
    <mergeCell ref="AZ4:BA4"/>
    <mergeCell ref="BB4:BB5"/>
    <mergeCell ref="BP4:BP5"/>
    <mergeCell ref="BQ4:BQ5"/>
    <mergeCell ref="BE4:BF4"/>
    <mergeCell ref="BG4:BH4"/>
    <mergeCell ref="BI4:BI5"/>
    <mergeCell ref="BJ4:BJ5"/>
    <mergeCell ref="BK4:BK5"/>
    <mergeCell ref="BL4:BM4"/>
    <mergeCell ref="BN4:BO4"/>
    <mergeCell ref="BY4:BY5"/>
    <mergeCell ref="BZ4:CA4"/>
    <mergeCell ref="CB4:CC4"/>
    <mergeCell ref="CD4:CD5"/>
    <mergeCell ref="CE4:CE5"/>
    <mergeCell ref="CF4:CF5"/>
    <mergeCell ref="CE29:CG29"/>
    <mergeCell ref="CE30:CG30"/>
    <mergeCell ref="CG4:CH4"/>
    <mergeCell ref="CI4:CJ4"/>
    <mergeCell ref="CK4:CK5"/>
    <mergeCell ref="CL4:CL5"/>
    <mergeCell ref="CM4:CM5"/>
    <mergeCell ref="CN4:CO4"/>
    <mergeCell ref="BP3:BV3"/>
    <mergeCell ref="BW3:CC3"/>
    <mergeCell ref="CD3:CJ3"/>
    <mergeCell ref="CK3:CQ3"/>
    <mergeCell ref="BR4:BR5"/>
    <mergeCell ref="BS4:BT4"/>
    <mergeCell ref="BU4:BV4"/>
    <mergeCell ref="CP4:CQ4"/>
    <mergeCell ref="E4:E5"/>
    <mergeCell ref="F4:F5"/>
    <mergeCell ref="G4:G5"/>
    <mergeCell ref="H4:I4"/>
    <mergeCell ref="J4:K4"/>
    <mergeCell ref="L4:L5"/>
    <mergeCell ref="M4:M5"/>
    <mergeCell ref="N4:N5"/>
    <mergeCell ref="O4:P4"/>
    <mergeCell ref="Q4:R4"/>
    <mergeCell ref="S4:S5"/>
    <mergeCell ref="T4:T5"/>
    <mergeCell ref="U4:U5"/>
    <mergeCell ref="A1:Z1"/>
    <mergeCell ref="A2:Z2"/>
    <mergeCell ref="B3:B4"/>
    <mergeCell ref="C3:C4"/>
    <mergeCell ref="D3:D4"/>
    <mergeCell ref="E3:K3"/>
    <mergeCell ref="L3:R3"/>
    <mergeCell ref="V4:W4"/>
    <mergeCell ref="X4:Y4"/>
    <mergeCell ref="Z4:Z5"/>
    <mergeCell ref="AA4:AA5"/>
    <mergeCell ref="AB4:AB5"/>
    <mergeCell ref="AC4:AD4"/>
    <mergeCell ref="AE4:AF4"/>
    <mergeCell ref="S3:Y3"/>
    <mergeCell ref="Z3:AF3"/>
    <mergeCell ref="AG3:AM3"/>
    <mergeCell ref="AN3:AT3"/>
    <mergeCell ref="AU3:BA3"/>
    <mergeCell ref="BB3:BH3"/>
    <mergeCell ref="BI3:BO3"/>
    <mergeCell ref="BW4:BW5"/>
    <mergeCell ref="BX4:BX5"/>
  </mergeCells>
  <conditionalFormatting sqref="E6:H28 L6:O28 S6:V28 AG6:AJ28 AU6:AX28 BI6:BL28 BW6:BZ28">
    <cfRule type="cellIs" dxfId="0" priority="1" operator="greaterThan">
      <formula>0</formula>
    </cfRule>
  </conditionalFormatting>
  <conditionalFormatting sqref="I6:K27">
    <cfRule type="cellIs" dxfId="0" priority="2" operator="greaterThan">
      <formula>0</formula>
    </cfRule>
  </conditionalFormatting>
  <conditionalFormatting sqref="P6:R27">
    <cfRule type="cellIs" dxfId="0" priority="3" operator="greaterThan">
      <formula>0</formula>
    </cfRule>
  </conditionalFormatting>
  <conditionalFormatting sqref="W6:Y27">
    <cfRule type="cellIs" dxfId="0" priority="4" operator="greaterThan">
      <formula>0</formula>
    </cfRule>
  </conditionalFormatting>
  <conditionalFormatting sqref="Z6:AC28">
    <cfRule type="cellIs" dxfId="0" priority="5" operator="greaterThan">
      <formula>0</formula>
    </cfRule>
  </conditionalFormatting>
  <conditionalFormatting sqref="AK6:AM27">
    <cfRule type="cellIs" dxfId="0" priority="6" operator="greaterThan">
      <formula>0</formula>
    </cfRule>
  </conditionalFormatting>
  <conditionalFormatting sqref="AY6:BA27">
    <cfRule type="cellIs" dxfId="0" priority="7" operator="greaterThan">
      <formula>0</formula>
    </cfRule>
  </conditionalFormatting>
  <conditionalFormatting sqref="BM6:BO27">
    <cfRule type="cellIs" dxfId="0" priority="8" operator="greaterThan">
      <formula>0</formula>
    </cfRule>
  </conditionalFormatting>
  <conditionalFormatting sqref="CA6:CC27">
    <cfRule type="cellIs" dxfId="0" priority="9" operator="greaterThan">
      <formula>0</formula>
    </cfRule>
  </conditionalFormatting>
  <conditionalFormatting sqref="CH6:CJ27">
    <cfRule type="cellIs" dxfId="0" priority="10" operator="greaterThan">
      <formula>0</formula>
    </cfRule>
  </conditionalFormatting>
  <conditionalFormatting sqref="AD6:AF27">
    <cfRule type="cellIs" dxfId="0" priority="11" operator="greaterThan">
      <formula>0</formula>
    </cfRule>
  </conditionalFormatting>
  <conditionalFormatting sqref="AN6:AQ28">
    <cfRule type="cellIs" dxfId="0" priority="12" operator="greaterThan">
      <formula>0</formula>
    </cfRule>
  </conditionalFormatting>
  <conditionalFormatting sqref="AR6:AT27">
    <cfRule type="cellIs" dxfId="0" priority="13" operator="greaterThan">
      <formula>0</formula>
    </cfRule>
  </conditionalFormatting>
  <conditionalFormatting sqref="BB6:BE28">
    <cfRule type="cellIs" dxfId="0" priority="14" operator="greaterThan">
      <formula>0</formula>
    </cfRule>
  </conditionalFormatting>
  <conditionalFormatting sqref="BF6:BH27">
    <cfRule type="cellIs" dxfId="0" priority="15" operator="greaterThan">
      <formula>0</formula>
    </cfRule>
  </conditionalFormatting>
  <conditionalFormatting sqref="BP6:BS28">
    <cfRule type="cellIs" dxfId="0" priority="16" operator="greaterThan">
      <formula>0</formula>
    </cfRule>
  </conditionalFormatting>
  <conditionalFormatting sqref="BT6:BV27">
    <cfRule type="cellIs" dxfId="0" priority="17" operator="greaterThan">
      <formula>0</formula>
    </cfRule>
  </conditionalFormatting>
  <conditionalFormatting sqref="CD6:CG28">
    <cfRule type="cellIs" dxfId="0" priority="18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